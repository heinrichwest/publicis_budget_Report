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pecconsa-my.sharepoint.com/personal/hein_speccon_co_za/Documents/Software Development/Projects v2/Publicis/Country Budget Report/"/>
    </mc:Choice>
  </mc:AlternateContent>
  <xr:revisionPtr revIDLastSave="1" documentId="8_{EE120E66-2A7B-4509-BB37-47A5EF491418}" xr6:coauthVersionLast="47" xr6:coauthVersionMax="47" xr10:uidLastSave="{09BF9680-D088-40A7-9A5E-BE0591BAC0EF}"/>
  <bookViews>
    <workbookView xWindow="-110" yWindow="-110" windowWidth="25820" windowHeight="13900" xr2:uid="{B4B3A51A-76E0-4545-98E9-A298B3FE926E}"/>
  </bookViews>
  <sheets>
    <sheet name="Mnth Spend&amp;Discount Report" sheetId="1" r:id="rId1"/>
    <sheet name="Sheet1" sheetId="4" state="hidden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6" i="4" l="1"/>
  <c r="L24" i="4"/>
  <c r="L20" i="4"/>
  <c r="L19" i="4"/>
  <c r="L16" i="4"/>
  <c r="L14" i="4"/>
  <c r="L11" i="4"/>
  <c r="L7" i="4"/>
  <c r="L4" i="4"/>
  <c r="L5" i="4"/>
  <c r="L6" i="4"/>
  <c r="L8" i="4"/>
  <c r="L9" i="4"/>
  <c r="L10" i="4"/>
  <c r="L12" i="4"/>
  <c r="L13" i="4"/>
  <c r="L15" i="4"/>
  <c r="L17" i="4"/>
  <c r="L18" i="4"/>
  <c r="L21" i="4"/>
  <c r="L22" i="4"/>
  <c r="L23" i="4"/>
  <c r="L25" i="4"/>
  <c r="L27" i="4"/>
  <c r="L28" i="4"/>
  <c r="H18" i="4"/>
  <c r="H19" i="4"/>
  <c r="H20" i="4"/>
  <c r="H21" i="4"/>
  <c r="H22" i="4"/>
  <c r="H23" i="4"/>
  <c r="H24" i="4"/>
  <c r="H25" i="4"/>
  <c r="H26" i="4"/>
  <c r="H27" i="4"/>
  <c r="H17" i="4"/>
  <c r="BL127" i="1" l="1"/>
  <c r="CD127" i="1"/>
  <c r="CC88" i="1"/>
  <c r="CC99" i="1" s="1"/>
  <c r="CC100" i="1" s="1"/>
  <c r="CA88" i="1"/>
  <c r="CD88" i="1" s="1"/>
  <c r="CB88" i="1"/>
  <c r="BZ88" i="1"/>
  <c r="CG94" i="1"/>
  <c r="CC115" i="1"/>
  <c r="CC125" i="1" s="1"/>
  <c r="CG120" i="1"/>
  <c r="CG118" i="1"/>
  <c r="CG117" i="1"/>
  <c r="CG114" i="1"/>
  <c r="CC112" i="1"/>
  <c r="CC85" i="1"/>
  <c r="CC86" i="1" s="1"/>
  <c r="CC72" i="1"/>
  <c r="CC17" i="1"/>
  <c r="BZ85" i="1"/>
  <c r="CA85" i="1"/>
  <c r="CD85" i="1" s="1"/>
  <c r="CB85" i="1"/>
  <c r="CE85" i="1"/>
  <c r="CE86" i="1" s="1"/>
  <c r="CD81" i="1"/>
  <c r="CG88" i="1" l="1"/>
  <c r="CF85" i="1"/>
  <c r="CG115" i="1"/>
  <c r="BZ112" i="1"/>
  <c r="CA112" i="1"/>
  <c r="CB112" i="1"/>
  <c r="CE112" i="1"/>
  <c r="BZ125" i="1" l="1"/>
  <c r="CA125" i="1"/>
  <c r="CB125" i="1"/>
  <c r="CC126" i="1"/>
  <c r="CE17" i="1"/>
  <c r="CE18" i="1" s="1"/>
  <c r="BW100" i="1"/>
  <c r="CF116" i="1"/>
  <c r="CF117" i="1"/>
  <c r="CF118" i="1"/>
  <c r="CF119" i="1"/>
  <c r="CF120" i="1"/>
  <c r="CD125" i="1"/>
  <c r="CD116" i="1"/>
  <c r="CD117" i="1"/>
  <c r="CD118" i="1"/>
  <c r="CD119" i="1"/>
  <c r="CD120" i="1"/>
  <c r="CD121" i="1"/>
  <c r="CC59" i="1"/>
  <c r="CC30" i="1"/>
  <c r="CC46" i="1"/>
  <c r="CB126" i="1"/>
  <c r="CG124" i="1"/>
  <c r="CG123" i="1"/>
  <c r="CG122" i="1"/>
  <c r="CG121" i="1"/>
  <c r="CG126" i="1" s="1"/>
  <c r="CG98" i="1" l="1"/>
  <c r="CG97" i="1"/>
  <c r="CG96" i="1"/>
  <c r="CG95" i="1"/>
  <c r="CG93" i="1"/>
  <c r="CG92" i="1"/>
  <c r="CG91" i="1"/>
  <c r="CG90" i="1"/>
  <c r="CG89" i="1"/>
  <c r="CG87" i="1"/>
  <c r="CG71" i="1"/>
  <c r="CF98" i="1"/>
  <c r="CF96" i="1"/>
  <c r="CF95" i="1"/>
  <c r="CF94" i="1"/>
  <c r="CF87" i="1"/>
  <c r="CF81" i="1"/>
  <c r="CB99" i="1"/>
  <c r="BZ99" i="1"/>
  <c r="CA99" i="1"/>
  <c r="CG100" i="1" l="1"/>
  <c r="CG64" i="1" l="1"/>
  <c r="CG65" i="1"/>
  <c r="CG66" i="1"/>
  <c r="CG67" i="1"/>
  <c r="CG68" i="1"/>
  <c r="CF64" i="1"/>
  <c r="CF65" i="1"/>
  <c r="CF66" i="1"/>
  <c r="CF67" i="1"/>
  <c r="CA71" i="1"/>
  <c r="CD71" i="1" s="1"/>
  <c r="CA62" i="1"/>
  <c r="CD62" i="1" s="1"/>
  <c r="CA64" i="1"/>
  <c r="CD64" i="1" s="1"/>
  <c r="CA66" i="1"/>
  <c r="CD66" i="1" s="1"/>
  <c r="CA67" i="1"/>
  <c r="CD67" i="1" s="1"/>
  <c r="CA68" i="1"/>
  <c r="CD68" i="1" s="1"/>
  <c r="CA69" i="1"/>
  <c r="CD69" i="1" s="1"/>
  <c r="CA70" i="1"/>
  <c r="CD70" i="1" s="1"/>
  <c r="CA61" i="1"/>
  <c r="CD65" i="1"/>
  <c r="F68" i="1" l="1"/>
  <c r="CG32" i="1"/>
  <c r="CD43" i="1"/>
  <c r="CE46" i="1"/>
  <c r="CE47" i="1" s="1"/>
  <c r="CF35" i="1"/>
  <c r="CF36" i="1"/>
  <c r="CF37" i="1"/>
  <c r="CF38" i="1"/>
  <c r="CF39" i="1"/>
  <c r="CF40" i="1"/>
  <c r="CF41" i="1"/>
  <c r="CD35" i="1"/>
  <c r="CD36" i="1"/>
  <c r="CD37" i="1"/>
  <c r="CD38" i="1"/>
  <c r="CD39" i="1"/>
  <c r="CD40" i="1"/>
  <c r="CD41" i="1"/>
  <c r="CG6" i="1"/>
  <c r="CD13" i="1"/>
  <c r="CG119" i="1"/>
  <c r="CG111" i="1"/>
  <c r="CG110" i="1"/>
  <c r="CG109" i="1"/>
  <c r="CG108" i="1"/>
  <c r="CG102" i="1"/>
  <c r="CG101" i="1"/>
  <c r="CG84" i="1"/>
  <c r="CG83" i="1"/>
  <c r="CG82" i="1"/>
  <c r="CG81" i="1"/>
  <c r="CG75" i="1"/>
  <c r="CG74" i="1"/>
  <c r="CG70" i="1"/>
  <c r="CG69" i="1"/>
  <c r="CG62" i="1"/>
  <c r="CG61" i="1"/>
  <c r="CG58" i="1"/>
  <c r="CG57" i="1"/>
  <c r="CG56" i="1"/>
  <c r="CG55" i="1"/>
  <c r="CG49" i="1"/>
  <c r="CG48" i="1"/>
  <c r="CG45" i="1"/>
  <c r="CG44" i="1"/>
  <c r="CG43" i="1"/>
  <c r="CG42" i="1"/>
  <c r="CG41" i="1"/>
  <c r="CG40" i="1"/>
  <c r="CG39" i="1"/>
  <c r="CG38" i="1"/>
  <c r="CG37" i="1"/>
  <c r="CG36" i="1"/>
  <c r="CG35" i="1"/>
  <c r="CG29" i="1"/>
  <c r="CG28" i="1"/>
  <c r="CG27" i="1"/>
  <c r="CG26" i="1"/>
  <c r="CG20" i="1"/>
  <c r="CG19" i="1"/>
  <c r="CG16" i="1"/>
  <c r="CG15" i="1"/>
  <c r="CG14" i="1"/>
  <c r="CG13" i="1"/>
  <c r="CG12" i="1"/>
  <c r="CG11" i="1"/>
  <c r="CG10" i="1"/>
  <c r="CG9" i="1"/>
  <c r="CG7" i="1"/>
  <c r="BR125" i="1"/>
  <c r="BR126" i="1" s="1"/>
  <c r="BU20" i="1"/>
  <c r="CG128" i="1" l="1"/>
  <c r="CG130" i="1"/>
  <c r="CG133" i="1"/>
  <c r="CG73" i="1"/>
  <c r="CG132" i="1"/>
  <c r="CG131" i="1"/>
  <c r="CG86" i="1"/>
  <c r="CG113" i="1"/>
  <c r="CG60" i="1"/>
  <c r="CG31" i="1"/>
  <c r="CG33" i="1"/>
  <c r="CG129" i="1" s="1"/>
  <c r="CG47" i="1"/>
  <c r="CG18" i="1"/>
  <c r="BV112" i="1"/>
  <c r="BT125" i="1"/>
  <c r="BT126" i="1" s="1"/>
  <c r="BT85" i="1"/>
  <c r="BT72" i="1"/>
  <c r="BT59" i="1"/>
  <c r="BT60" i="1" s="1"/>
  <c r="BX38" i="1"/>
  <c r="BX37" i="1"/>
  <c r="BX36" i="1"/>
  <c r="BX35" i="1"/>
  <c r="BT30" i="1"/>
  <c r="BT31" i="1" s="1"/>
  <c r="BT17" i="1"/>
  <c r="BV46" i="1"/>
  <c r="BR33" i="1"/>
  <c r="BR46" i="1" s="1"/>
  <c r="BS33" i="1"/>
  <c r="BS46" i="1" s="1"/>
  <c r="BS47" i="1" s="1"/>
  <c r="BT33" i="1"/>
  <c r="BT46" i="1" s="1"/>
  <c r="BQ33" i="1"/>
  <c r="BQ46" i="1" s="1"/>
  <c r="BM46" i="1"/>
  <c r="BK46" i="1"/>
  <c r="BJ46" i="1"/>
  <c r="BI46" i="1"/>
  <c r="BH46" i="1"/>
  <c r="BH33" i="1"/>
  <c r="C35" i="1"/>
  <c r="BU46" i="1" l="1"/>
  <c r="BT47" i="1"/>
  <c r="BR85" i="1" l="1"/>
  <c r="BS85" i="1"/>
  <c r="BV85" i="1"/>
  <c r="BV86" i="1" s="1"/>
  <c r="BV113" i="1"/>
  <c r="H35" i="1" l="1"/>
  <c r="I35" i="1" s="1"/>
  <c r="H36" i="1"/>
  <c r="H37" i="1"/>
  <c r="H38" i="1"/>
  <c r="H39" i="1"/>
  <c r="H40" i="1"/>
  <c r="H41" i="1"/>
  <c r="H42" i="1"/>
  <c r="H43" i="1"/>
  <c r="C38" i="1"/>
  <c r="C36" i="1"/>
  <c r="C33" i="1"/>
  <c r="E35" i="1"/>
  <c r="F35" i="1"/>
  <c r="J35" i="1" s="1"/>
  <c r="E36" i="1"/>
  <c r="F36" i="1"/>
  <c r="J36" i="1" s="1"/>
  <c r="C37" i="1"/>
  <c r="E37" i="1"/>
  <c r="F37" i="1"/>
  <c r="J37" i="1" s="1"/>
  <c r="E38" i="1"/>
  <c r="F38" i="1"/>
  <c r="J38" i="1" s="1"/>
  <c r="C39" i="1"/>
  <c r="E39" i="1"/>
  <c r="F39" i="1"/>
  <c r="J39" i="1" s="1"/>
  <c r="C40" i="1"/>
  <c r="E40" i="1"/>
  <c r="F40" i="1"/>
  <c r="J40" i="1" s="1"/>
  <c r="C41" i="1"/>
  <c r="E41" i="1"/>
  <c r="F41" i="1"/>
  <c r="J41" i="1" s="1"/>
  <c r="I41" i="1" l="1"/>
  <c r="I38" i="1"/>
  <c r="I39" i="1"/>
  <c r="I37" i="1"/>
  <c r="I36" i="1"/>
  <c r="I40" i="1"/>
  <c r="J33" i="1"/>
  <c r="BK112" i="1"/>
  <c r="Y112" i="1"/>
  <c r="BQ111" i="1"/>
  <c r="BR111" i="1" s="1"/>
  <c r="BS109" i="1"/>
  <c r="BT109" i="1" s="1"/>
  <c r="BT112" i="1" s="1"/>
  <c r="BQ109" i="1"/>
  <c r="BR108" i="1"/>
  <c r="BQ101" i="1"/>
  <c r="BQ112" i="1" l="1"/>
  <c r="BR101" i="1"/>
  <c r="BR112" i="1" s="1"/>
  <c r="BS112" i="1"/>
  <c r="BR113" i="1" l="1"/>
  <c r="BU112" i="1"/>
  <c r="BX114" i="1"/>
  <c r="BX117" i="1"/>
  <c r="BX118" i="1"/>
  <c r="BX119" i="1"/>
  <c r="BX120" i="1"/>
  <c r="BX121" i="1"/>
  <c r="BX122" i="1"/>
  <c r="BW117" i="1"/>
  <c r="BW118" i="1"/>
  <c r="BU117" i="1"/>
  <c r="BU118" i="1"/>
  <c r="BO114" i="1"/>
  <c r="BX124" i="1" l="1"/>
  <c r="BX123" i="1"/>
  <c r="BX115" i="1"/>
  <c r="BX111" i="1"/>
  <c r="BX110" i="1"/>
  <c r="BX109" i="1"/>
  <c r="BX108" i="1"/>
  <c r="BX102" i="1"/>
  <c r="BX101" i="1"/>
  <c r="BX100" i="1"/>
  <c r="BX84" i="1"/>
  <c r="BX83" i="1"/>
  <c r="BX82" i="1"/>
  <c r="BX81" i="1"/>
  <c r="BX75" i="1"/>
  <c r="BX74" i="1"/>
  <c r="BX71" i="1"/>
  <c r="BX70" i="1"/>
  <c r="BX69" i="1"/>
  <c r="BX68" i="1"/>
  <c r="BX62" i="1"/>
  <c r="BX61" i="1"/>
  <c r="BX58" i="1"/>
  <c r="BX57" i="1"/>
  <c r="BX56" i="1"/>
  <c r="BX55" i="1"/>
  <c r="BX49" i="1"/>
  <c r="BX48" i="1"/>
  <c r="BX45" i="1"/>
  <c r="BX44" i="1"/>
  <c r="BX43" i="1"/>
  <c r="BX42" i="1"/>
  <c r="BX41" i="1"/>
  <c r="BX40" i="1"/>
  <c r="BX39" i="1"/>
  <c r="BX32" i="1"/>
  <c r="BX29" i="1"/>
  <c r="BX28" i="1"/>
  <c r="BX27" i="1"/>
  <c r="BX26" i="1"/>
  <c r="BX20" i="1"/>
  <c r="BX19" i="1"/>
  <c r="BX16" i="1"/>
  <c r="BX15" i="1"/>
  <c r="BX14" i="1"/>
  <c r="BX13" i="1"/>
  <c r="BX12" i="1"/>
  <c r="BX11" i="1"/>
  <c r="BX10" i="1"/>
  <c r="BX9" i="1"/>
  <c r="BX7" i="1"/>
  <c r="BX6" i="1"/>
  <c r="BU35" i="1"/>
  <c r="BU36" i="1"/>
  <c r="BU37" i="1"/>
  <c r="BU38" i="1"/>
  <c r="BU39" i="1"/>
  <c r="BU40" i="1"/>
  <c r="BU41" i="1"/>
  <c r="BX73" i="1" l="1"/>
  <c r="BX33" i="1"/>
  <c r="BX126" i="1"/>
  <c r="BX47" i="1"/>
  <c r="BX46" i="1" s="1"/>
  <c r="BX18" i="1"/>
  <c r="BX128" i="1"/>
  <c r="BX31" i="1"/>
  <c r="BX129" i="1"/>
  <c r="BX86" i="1"/>
  <c r="BX60" i="1"/>
  <c r="BX130" i="1"/>
  <c r="BX113" i="1"/>
  <c r="BX131" i="1"/>
  <c r="BX132" i="1"/>
  <c r="BX133" i="1"/>
  <c r="BO35" i="1"/>
  <c r="BO36" i="1"/>
  <c r="BO37" i="1"/>
  <c r="BO38" i="1"/>
  <c r="BO39" i="1"/>
  <c r="BO40" i="1"/>
  <c r="BO41" i="1"/>
  <c r="BO42" i="1"/>
  <c r="BO43" i="1"/>
  <c r="BO44" i="1"/>
  <c r="BO45" i="1"/>
  <c r="BM47" i="1"/>
  <c r="BK47" i="1"/>
  <c r="BI130" i="1" s="1"/>
  <c r="BH47" i="1"/>
  <c r="BI47" i="1"/>
  <c r="BG130" i="1" s="1"/>
  <c r="BO32" i="1"/>
  <c r="BO6" i="1"/>
  <c r="BO124" i="1"/>
  <c r="BO123" i="1"/>
  <c r="BO122" i="1"/>
  <c r="BO121" i="1"/>
  <c r="BO115" i="1"/>
  <c r="BO111" i="1"/>
  <c r="BO110" i="1"/>
  <c r="BO109" i="1"/>
  <c r="BO108" i="1"/>
  <c r="BO102" i="1"/>
  <c r="BO101" i="1"/>
  <c r="BO98" i="1"/>
  <c r="BO97" i="1"/>
  <c r="BO96" i="1"/>
  <c r="BO95" i="1"/>
  <c r="BO88" i="1"/>
  <c r="BO87" i="1"/>
  <c r="BO84" i="1"/>
  <c r="BO83" i="1"/>
  <c r="BO82" i="1"/>
  <c r="BO81" i="1"/>
  <c r="BO75" i="1"/>
  <c r="BO74" i="1"/>
  <c r="BO71" i="1"/>
  <c r="BO70" i="1"/>
  <c r="BO69" i="1"/>
  <c r="BO68" i="1"/>
  <c r="BO62" i="1"/>
  <c r="BO61" i="1"/>
  <c r="BO58" i="1"/>
  <c r="BO57" i="1"/>
  <c r="BO56" i="1"/>
  <c r="BO55" i="1"/>
  <c r="BO49" i="1"/>
  <c r="BO48" i="1"/>
  <c r="BO29" i="1"/>
  <c r="BO28" i="1"/>
  <c r="BO27" i="1"/>
  <c r="BO26" i="1"/>
  <c r="BO20" i="1"/>
  <c r="BO19" i="1"/>
  <c r="BO12" i="1"/>
  <c r="BO11" i="1"/>
  <c r="BO10" i="1"/>
  <c r="BO9" i="1"/>
  <c r="BO7" i="1"/>
  <c r="H97" i="1"/>
  <c r="C61" i="1"/>
  <c r="C48" i="1"/>
  <c r="C32" i="1"/>
  <c r="C19" i="1"/>
  <c r="C6" i="1"/>
  <c r="BN84" i="1"/>
  <c r="BO60" i="1" l="1"/>
  <c r="BO126" i="1"/>
  <c r="BO100" i="1"/>
  <c r="BO128" i="1"/>
  <c r="BO31" i="1"/>
  <c r="BO33" i="1"/>
  <c r="BO129" i="1" s="1"/>
  <c r="BO86" i="1"/>
  <c r="BO47" i="1"/>
  <c r="BO46" i="1" s="1"/>
  <c r="BO73" i="1"/>
  <c r="BO113" i="1"/>
  <c r="BH72" i="1"/>
  <c r="BH73" i="1" l="1"/>
  <c r="C114" i="1" l="1"/>
  <c r="C111" i="1" l="1"/>
  <c r="C110" i="1"/>
  <c r="C109" i="1"/>
  <c r="C108" i="1"/>
  <c r="C101" i="1"/>
  <c r="BJ112" i="1"/>
  <c r="BI112" i="1"/>
  <c r="BH112" i="1"/>
  <c r="BN77" i="1"/>
  <c r="BN78" i="1"/>
  <c r="BN79" i="1"/>
  <c r="BN80" i="1"/>
  <c r="BN81" i="1"/>
  <c r="BN82" i="1"/>
  <c r="BL77" i="1"/>
  <c r="BL78" i="1"/>
  <c r="BL79" i="1"/>
  <c r="BL80" i="1"/>
  <c r="BL81" i="1"/>
  <c r="R41" i="1" l="1"/>
  <c r="P41" i="1"/>
  <c r="Q46" i="1"/>
  <c r="Q47" i="1" s="1"/>
  <c r="BN41" i="1"/>
  <c r="BL41" i="1"/>
  <c r="BF35" i="1"/>
  <c r="BF36" i="1"/>
  <c r="BF37" i="1"/>
  <c r="BF38" i="1"/>
  <c r="BF39" i="1"/>
  <c r="BF40" i="1"/>
  <c r="BF41" i="1"/>
  <c r="BD35" i="1"/>
  <c r="BD36" i="1"/>
  <c r="BD37" i="1"/>
  <c r="BD38" i="1"/>
  <c r="BD39" i="1"/>
  <c r="BD40" i="1"/>
  <c r="BD41" i="1"/>
  <c r="BA35" i="1"/>
  <c r="BA36" i="1"/>
  <c r="BA37" i="1"/>
  <c r="BA38" i="1"/>
  <c r="BA39" i="1"/>
  <c r="BA40" i="1"/>
  <c r="BA41" i="1"/>
  <c r="AX35" i="1"/>
  <c r="AX36" i="1"/>
  <c r="AX37" i="1"/>
  <c r="AX38" i="1"/>
  <c r="AX39" i="1"/>
  <c r="AX40" i="1"/>
  <c r="AX41" i="1"/>
  <c r="AV35" i="1"/>
  <c r="AV36" i="1"/>
  <c r="AV37" i="1"/>
  <c r="AV38" i="1"/>
  <c r="AV39" i="1"/>
  <c r="AV40" i="1"/>
  <c r="AV41" i="1"/>
  <c r="AP35" i="1"/>
  <c r="AP36" i="1"/>
  <c r="AP37" i="1"/>
  <c r="AP38" i="1"/>
  <c r="AP39" i="1"/>
  <c r="AP40" i="1"/>
  <c r="AP41" i="1"/>
  <c r="AN35" i="1"/>
  <c r="AN36" i="1"/>
  <c r="AN37" i="1"/>
  <c r="AN38" i="1"/>
  <c r="AN39" i="1"/>
  <c r="AN40" i="1"/>
  <c r="AN41" i="1"/>
  <c r="AN42" i="1"/>
  <c r="AH35" i="1"/>
  <c r="AH36" i="1"/>
  <c r="AH37" i="1"/>
  <c r="AH38" i="1"/>
  <c r="AH39" i="1"/>
  <c r="AH40" i="1"/>
  <c r="AH41" i="1"/>
  <c r="AF35" i="1"/>
  <c r="AF36" i="1"/>
  <c r="AF37" i="1"/>
  <c r="AF38" i="1"/>
  <c r="AF39" i="1"/>
  <c r="AF40" i="1"/>
  <c r="AF41" i="1"/>
  <c r="AC35" i="1"/>
  <c r="AC36" i="1"/>
  <c r="AC37" i="1"/>
  <c r="D37" i="1" s="1"/>
  <c r="G37" i="1" s="1"/>
  <c r="AC38" i="1"/>
  <c r="AC39" i="1"/>
  <c r="AC40" i="1"/>
  <c r="AC41" i="1"/>
  <c r="Z35" i="1"/>
  <c r="Z36" i="1"/>
  <c r="Z37" i="1"/>
  <c r="Z38" i="1"/>
  <c r="Z39" i="1"/>
  <c r="Z40" i="1"/>
  <c r="Z41" i="1"/>
  <c r="X32" i="1"/>
  <c r="X33" i="1"/>
  <c r="X35" i="1"/>
  <c r="X36" i="1"/>
  <c r="X37" i="1"/>
  <c r="X38" i="1"/>
  <c r="X39" i="1"/>
  <c r="X40" i="1"/>
  <c r="X41" i="1"/>
  <c r="R35" i="1"/>
  <c r="R36" i="1"/>
  <c r="R37" i="1"/>
  <c r="R38" i="1"/>
  <c r="R39" i="1"/>
  <c r="R40" i="1"/>
  <c r="P35" i="1"/>
  <c r="P36" i="1"/>
  <c r="P37" i="1"/>
  <c r="P38" i="1"/>
  <c r="P39" i="1"/>
  <c r="P40" i="1"/>
  <c r="BN35" i="1"/>
  <c r="BN36" i="1"/>
  <c r="BN37" i="1"/>
  <c r="BN38" i="1"/>
  <c r="BN39" i="1"/>
  <c r="BN40" i="1"/>
  <c r="BN42" i="1"/>
  <c r="BL32" i="1"/>
  <c r="BL33" i="1"/>
  <c r="BL35" i="1"/>
  <c r="BL36" i="1"/>
  <c r="BL37" i="1"/>
  <c r="BL38" i="1"/>
  <c r="BL39" i="1"/>
  <c r="BL40" i="1"/>
  <c r="BJ47" i="1"/>
  <c r="BH130" i="1" s="1"/>
  <c r="BL20" i="1"/>
  <c r="BL26" i="1"/>
  <c r="BL27" i="1"/>
  <c r="BL28" i="1"/>
  <c r="BL29" i="1"/>
  <c r="BL19" i="1"/>
  <c r="H7" i="1"/>
  <c r="H9" i="1"/>
  <c r="H10" i="1"/>
  <c r="H11" i="1"/>
  <c r="H12" i="1"/>
  <c r="H13" i="1"/>
  <c r="H14" i="1"/>
  <c r="H15" i="1"/>
  <c r="H16" i="1"/>
  <c r="H6" i="1"/>
  <c r="D6" i="1"/>
  <c r="E6" i="1"/>
  <c r="F6" i="1"/>
  <c r="J6" i="1" s="1"/>
  <c r="D7" i="1"/>
  <c r="E7" i="1"/>
  <c r="F7" i="1"/>
  <c r="J7" i="1" s="1"/>
  <c r="D9" i="1"/>
  <c r="E9" i="1"/>
  <c r="F9" i="1"/>
  <c r="J9" i="1" s="1"/>
  <c r="D10" i="1"/>
  <c r="E10" i="1"/>
  <c r="F10" i="1"/>
  <c r="J10" i="1" s="1"/>
  <c r="D11" i="1"/>
  <c r="E11" i="1"/>
  <c r="F11" i="1"/>
  <c r="J11" i="1" s="1"/>
  <c r="D12" i="1"/>
  <c r="E12" i="1"/>
  <c r="F12" i="1"/>
  <c r="J12" i="1" s="1"/>
  <c r="D13" i="1"/>
  <c r="E13" i="1"/>
  <c r="D14" i="1"/>
  <c r="E14" i="1"/>
  <c r="D15" i="1"/>
  <c r="E15" i="1"/>
  <c r="D16" i="1"/>
  <c r="E16" i="1"/>
  <c r="C7" i="1"/>
  <c r="C9" i="1"/>
  <c r="C10" i="1"/>
  <c r="C11" i="1"/>
  <c r="C12" i="1"/>
  <c r="C14" i="1"/>
  <c r="C15" i="1"/>
  <c r="C16" i="1"/>
  <c r="C13" i="1"/>
  <c r="BL14" i="1"/>
  <c r="BL13" i="1"/>
  <c r="BK14" i="1"/>
  <c r="BK15" i="1"/>
  <c r="BK16" i="1"/>
  <c r="BK13" i="1"/>
  <c r="BO13" i="1" s="1"/>
  <c r="BH17" i="1"/>
  <c r="D41" i="1" l="1"/>
  <c r="G41" i="1" s="1"/>
  <c r="D35" i="1"/>
  <c r="G35" i="1" s="1"/>
  <c r="D40" i="1"/>
  <c r="G40" i="1" s="1"/>
  <c r="D36" i="1"/>
  <c r="G36" i="1" s="1"/>
  <c r="D38" i="1"/>
  <c r="G38" i="1" s="1"/>
  <c r="D39" i="1"/>
  <c r="G39" i="1" s="1"/>
  <c r="F13" i="1"/>
  <c r="J13" i="1" s="1"/>
  <c r="F16" i="1"/>
  <c r="J16" i="1" s="1"/>
  <c r="BO16" i="1"/>
  <c r="BO133" i="1" s="1"/>
  <c r="F15" i="1"/>
  <c r="J15" i="1" s="1"/>
  <c r="BO15" i="1"/>
  <c r="BO132" i="1" s="1"/>
  <c r="F14" i="1"/>
  <c r="J14" i="1" s="1"/>
  <c r="BO14" i="1"/>
  <c r="BO131" i="1" s="1"/>
  <c r="BL46" i="1"/>
  <c r="BJ130" i="1" s="1"/>
  <c r="I7" i="1"/>
  <c r="I6" i="1"/>
  <c r="I12" i="1"/>
  <c r="I10" i="1"/>
  <c r="I9" i="1"/>
  <c r="I11" i="1"/>
  <c r="G13" i="1"/>
  <c r="AE86" i="1"/>
  <c r="AD86" i="1"/>
  <c r="AC86" i="1"/>
  <c r="AB86" i="1"/>
  <c r="W86" i="1"/>
  <c r="V86" i="1"/>
  <c r="U86" i="1"/>
  <c r="T86" i="1"/>
  <c r="BO130" i="1" l="1"/>
  <c r="BO18" i="1"/>
  <c r="BE112" i="1"/>
  <c r="BE113" i="1" s="1"/>
  <c r="BW101" i="1" l="1"/>
  <c r="CF124" i="1"/>
  <c r="CF123" i="1"/>
  <c r="CF122" i="1"/>
  <c r="CF121" i="1"/>
  <c r="CF115" i="1"/>
  <c r="CF114" i="1"/>
  <c r="CF111" i="1"/>
  <c r="CF110" i="1"/>
  <c r="CF109" i="1"/>
  <c r="CF108" i="1"/>
  <c r="CF102" i="1"/>
  <c r="CF101" i="1"/>
  <c r="DE124" i="1"/>
  <c r="DE123" i="1"/>
  <c r="DE122" i="1"/>
  <c r="DE121" i="1"/>
  <c r="DE115" i="1"/>
  <c r="DE114" i="1"/>
  <c r="DE111" i="1"/>
  <c r="DE110" i="1"/>
  <c r="DE109" i="1"/>
  <c r="DE108" i="1"/>
  <c r="DE102" i="1"/>
  <c r="DE101" i="1"/>
  <c r="CW124" i="1"/>
  <c r="CW123" i="1"/>
  <c r="CW122" i="1"/>
  <c r="CW121" i="1"/>
  <c r="CW115" i="1"/>
  <c r="CW114" i="1"/>
  <c r="CW111" i="1"/>
  <c r="CW110" i="1"/>
  <c r="CW109" i="1"/>
  <c r="CW108" i="1"/>
  <c r="CW102" i="1"/>
  <c r="CW101" i="1"/>
  <c r="CO124" i="1"/>
  <c r="CO123" i="1"/>
  <c r="CO122" i="1"/>
  <c r="CO121" i="1"/>
  <c r="CO115" i="1"/>
  <c r="CO114" i="1"/>
  <c r="CO111" i="1"/>
  <c r="CO110" i="1"/>
  <c r="CO109" i="1"/>
  <c r="CO108" i="1"/>
  <c r="CO102" i="1"/>
  <c r="CO101" i="1"/>
  <c r="BW124" i="1"/>
  <c r="BW123" i="1"/>
  <c r="BW122" i="1"/>
  <c r="BW121" i="1"/>
  <c r="BW115" i="1"/>
  <c r="BW114" i="1"/>
  <c r="BW111" i="1"/>
  <c r="BW110" i="1"/>
  <c r="BW109" i="1"/>
  <c r="BW108" i="1"/>
  <c r="BW102" i="1"/>
  <c r="BN124" i="1"/>
  <c r="BN123" i="1"/>
  <c r="BN122" i="1"/>
  <c r="BN121" i="1"/>
  <c r="BN115" i="1"/>
  <c r="BN114" i="1"/>
  <c r="BN111" i="1"/>
  <c r="BN110" i="1"/>
  <c r="BN109" i="1"/>
  <c r="BN108" i="1"/>
  <c r="BN102" i="1"/>
  <c r="BN101" i="1"/>
  <c r="BF124" i="1"/>
  <c r="BF123" i="1"/>
  <c r="BF122" i="1"/>
  <c r="BF121" i="1"/>
  <c r="BF115" i="1"/>
  <c r="BF114" i="1"/>
  <c r="BF111" i="1"/>
  <c r="BF110" i="1"/>
  <c r="BF109" i="1"/>
  <c r="BF108" i="1"/>
  <c r="BF102" i="1"/>
  <c r="BF101" i="1"/>
  <c r="DC124" i="1"/>
  <c r="DC123" i="1"/>
  <c r="DC122" i="1"/>
  <c r="DC121" i="1"/>
  <c r="DC115" i="1"/>
  <c r="DC114" i="1"/>
  <c r="DC111" i="1"/>
  <c r="DC110" i="1"/>
  <c r="DC109" i="1"/>
  <c r="DC108" i="1"/>
  <c r="DC102" i="1"/>
  <c r="DC101" i="1"/>
  <c r="CU124" i="1"/>
  <c r="CU123" i="1"/>
  <c r="CU122" i="1"/>
  <c r="CU121" i="1"/>
  <c r="CU115" i="1"/>
  <c r="CU114" i="1"/>
  <c r="CU111" i="1"/>
  <c r="CU110" i="1"/>
  <c r="CU109" i="1"/>
  <c r="CU108" i="1"/>
  <c r="CU102" i="1"/>
  <c r="CU101" i="1"/>
  <c r="CM124" i="1"/>
  <c r="CM123" i="1"/>
  <c r="CM122" i="1"/>
  <c r="CM121" i="1"/>
  <c r="CG125" i="1" s="1"/>
  <c r="CM115" i="1"/>
  <c r="CM114" i="1"/>
  <c r="CM111" i="1"/>
  <c r="CM110" i="1"/>
  <c r="CM109" i="1"/>
  <c r="CM108" i="1"/>
  <c r="CM102" i="1"/>
  <c r="CM101" i="1"/>
  <c r="CD124" i="1"/>
  <c r="CD123" i="1"/>
  <c r="CD122" i="1"/>
  <c r="CD115" i="1"/>
  <c r="CD114" i="1"/>
  <c r="CD111" i="1"/>
  <c r="CD110" i="1"/>
  <c r="CD109" i="1"/>
  <c r="CD108" i="1"/>
  <c r="CD102" i="1"/>
  <c r="CD101" i="1"/>
  <c r="BU124" i="1"/>
  <c r="BU123" i="1"/>
  <c r="BU122" i="1"/>
  <c r="BU121" i="1"/>
  <c r="BU115" i="1"/>
  <c r="BU114" i="1"/>
  <c r="BU111" i="1"/>
  <c r="BU110" i="1"/>
  <c r="BU109" i="1"/>
  <c r="BU108" i="1"/>
  <c r="BU102" i="1"/>
  <c r="BU101" i="1"/>
  <c r="BL124" i="1"/>
  <c r="BL123" i="1"/>
  <c r="BL122" i="1"/>
  <c r="BL121" i="1"/>
  <c r="BL115" i="1"/>
  <c r="BL114" i="1"/>
  <c r="BL111" i="1"/>
  <c r="BL110" i="1"/>
  <c r="BL109" i="1"/>
  <c r="BL108" i="1"/>
  <c r="BL102" i="1"/>
  <c r="BL101" i="1"/>
  <c r="BD124" i="1"/>
  <c r="BD123" i="1"/>
  <c r="BD122" i="1"/>
  <c r="BD121" i="1"/>
  <c r="BD115" i="1"/>
  <c r="BD114" i="1"/>
  <c r="BD111" i="1"/>
  <c r="BD110" i="1"/>
  <c r="BD109" i="1"/>
  <c r="BD108" i="1"/>
  <c r="BD102" i="1"/>
  <c r="BD101" i="1"/>
  <c r="DD112" i="1"/>
  <c r="DD113" i="1" s="1"/>
  <c r="DB112" i="1"/>
  <c r="DB113" i="1" s="1"/>
  <c r="DA112" i="1"/>
  <c r="DA113" i="1" s="1"/>
  <c r="CZ112" i="1"/>
  <c r="CZ113" i="1" s="1"/>
  <c r="CY112" i="1"/>
  <c r="CY113" i="1" s="1"/>
  <c r="CV112" i="1"/>
  <c r="CV113" i="1" s="1"/>
  <c r="CT112" i="1"/>
  <c r="CT113" i="1" s="1"/>
  <c r="CS112" i="1"/>
  <c r="CS113" i="1" s="1"/>
  <c r="CR112" i="1"/>
  <c r="CR113" i="1" s="1"/>
  <c r="CQ112" i="1"/>
  <c r="CQ113" i="1" s="1"/>
  <c r="CN112" i="1"/>
  <c r="CN113" i="1" s="1"/>
  <c r="CL112" i="1"/>
  <c r="CL113" i="1" s="1"/>
  <c r="CK112" i="1"/>
  <c r="CK113" i="1" s="1"/>
  <c r="CJ112" i="1"/>
  <c r="CJ113" i="1" s="1"/>
  <c r="CI112" i="1"/>
  <c r="CI113" i="1" s="1"/>
  <c r="CE113" i="1"/>
  <c r="CC113" i="1"/>
  <c r="CG112" i="1" s="1"/>
  <c r="CB113" i="1"/>
  <c r="CA113" i="1"/>
  <c r="BZ113" i="1"/>
  <c r="BT113" i="1"/>
  <c r="BX112" i="1" s="1"/>
  <c r="BS113" i="1"/>
  <c r="BQ113" i="1"/>
  <c r="BM112" i="1"/>
  <c r="BM113" i="1" s="1"/>
  <c r="BK113" i="1"/>
  <c r="BJ113" i="1"/>
  <c r="BH135" i="1" s="1"/>
  <c r="BI113" i="1"/>
  <c r="BG135" i="1" s="1"/>
  <c r="BC112" i="1"/>
  <c r="BC113" i="1" s="1"/>
  <c r="BB112" i="1"/>
  <c r="BB113" i="1" s="1"/>
  <c r="BA112" i="1"/>
  <c r="BA113" i="1" s="1"/>
  <c r="AZ112" i="1"/>
  <c r="AZ113" i="1" s="1"/>
  <c r="DD125" i="1"/>
  <c r="DD126" i="1" s="1"/>
  <c r="DB125" i="1"/>
  <c r="DB126" i="1" s="1"/>
  <c r="DA125" i="1"/>
  <c r="DA126" i="1" s="1"/>
  <c r="CZ125" i="1"/>
  <c r="CZ126" i="1" s="1"/>
  <c r="CY125" i="1"/>
  <c r="CY126" i="1" s="1"/>
  <c r="CV125" i="1"/>
  <c r="CV126" i="1" s="1"/>
  <c r="CT125" i="1"/>
  <c r="CT126" i="1" s="1"/>
  <c r="CS125" i="1"/>
  <c r="CS126" i="1" s="1"/>
  <c r="CR125" i="1"/>
  <c r="CR126" i="1" s="1"/>
  <c r="CQ125" i="1"/>
  <c r="CQ126" i="1" s="1"/>
  <c r="CN125" i="1"/>
  <c r="CN126" i="1" s="1"/>
  <c r="CL125" i="1"/>
  <c r="CL126" i="1" s="1"/>
  <c r="CK125" i="1"/>
  <c r="CK126" i="1" s="1"/>
  <c r="CJ125" i="1"/>
  <c r="CJ126" i="1" s="1"/>
  <c r="CI125" i="1"/>
  <c r="CI126" i="1" s="1"/>
  <c r="CE125" i="1"/>
  <c r="CA126" i="1"/>
  <c r="BV125" i="1"/>
  <c r="BV126" i="1" s="1"/>
  <c r="BS125" i="1"/>
  <c r="BS126" i="1" s="1"/>
  <c r="BQ125" i="1"/>
  <c r="BQ126" i="1" s="1"/>
  <c r="BM125" i="1"/>
  <c r="BM126" i="1" s="1"/>
  <c r="BK125" i="1"/>
  <c r="BK126" i="1" s="1"/>
  <c r="BJ125" i="1"/>
  <c r="BJ126" i="1" s="1"/>
  <c r="BH136" i="1" s="1"/>
  <c r="BI125" i="1"/>
  <c r="BI126" i="1" s="1"/>
  <c r="BG136" i="1" s="1"/>
  <c r="BH125" i="1"/>
  <c r="BH126" i="1" s="1"/>
  <c r="BE125" i="1"/>
  <c r="BE126" i="1" s="1"/>
  <c r="BC125" i="1"/>
  <c r="BC126" i="1" s="1"/>
  <c r="BB125" i="1"/>
  <c r="BB126" i="1" s="1"/>
  <c r="BA125" i="1"/>
  <c r="BA126" i="1" s="1"/>
  <c r="AZ125" i="1"/>
  <c r="AZ126" i="1" s="1"/>
  <c r="AW125" i="1"/>
  <c r="AW126" i="1" s="1"/>
  <c r="AS125" i="1"/>
  <c r="AS126" i="1" s="1"/>
  <c r="AT125" i="1"/>
  <c r="AT126" i="1" s="1"/>
  <c r="AU125" i="1"/>
  <c r="AU126" i="1" s="1"/>
  <c r="AR125" i="1"/>
  <c r="AR126" i="1" s="1"/>
  <c r="AW112" i="1"/>
  <c r="AW113" i="1" s="1"/>
  <c r="AS112" i="1"/>
  <c r="AS113" i="1" s="1"/>
  <c r="AT112" i="1"/>
  <c r="AT113" i="1" s="1"/>
  <c r="AU112" i="1"/>
  <c r="AU113" i="1" s="1"/>
  <c r="AR112" i="1"/>
  <c r="AR113" i="1" s="1"/>
  <c r="AV124" i="1"/>
  <c r="AV123" i="1"/>
  <c r="AV122" i="1"/>
  <c r="AV121" i="1"/>
  <c r="AV115" i="1"/>
  <c r="AV114" i="1"/>
  <c r="AV111" i="1"/>
  <c r="AV110" i="1"/>
  <c r="AV109" i="1"/>
  <c r="AV108" i="1"/>
  <c r="AV102" i="1"/>
  <c r="AV101" i="1"/>
  <c r="AX124" i="1"/>
  <c r="AX123" i="1"/>
  <c r="AX122" i="1"/>
  <c r="AX121" i="1"/>
  <c r="AX115" i="1"/>
  <c r="AX114" i="1"/>
  <c r="AX111" i="1"/>
  <c r="AX110" i="1"/>
  <c r="AX109" i="1"/>
  <c r="AX108" i="1"/>
  <c r="AX102" i="1"/>
  <c r="AX101" i="1"/>
  <c r="AP109" i="1"/>
  <c r="AP124" i="1"/>
  <c r="AP123" i="1"/>
  <c r="AP122" i="1"/>
  <c r="AP121" i="1"/>
  <c r="AP115" i="1"/>
  <c r="AP114" i="1"/>
  <c r="AP111" i="1"/>
  <c r="AP110" i="1"/>
  <c r="AP108" i="1"/>
  <c r="AP102" i="1"/>
  <c r="AP101" i="1"/>
  <c r="AN124" i="1"/>
  <c r="AN123" i="1"/>
  <c r="AN122" i="1"/>
  <c r="AN121" i="1"/>
  <c r="AN115" i="1"/>
  <c r="AN114" i="1"/>
  <c r="AN111" i="1"/>
  <c r="AN110" i="1"/>
  <c r="AN109" i="1"/>
  <c r="AN108" i="1"/>
  <c r="AN102" i="1"/>
  <c r="AN101" i="1"/>
  <c r="AO112" i="1"/>
  <c r="AO113" i="1" s="1"/>
  <c r="AO125" i="1"/>
  <c r="AO126" i="1" s="1"/>
  <c r="AK112" i="1"/>
  <c r="AK113" i="1" s="1"/>
  <c r="AJ112" i="1"/>
  <c r="AJ113" i="1" s="1"/>
  <c r="AH122" i="1"/>
  <c r="AB112" i="1"/>
  <c r="AB113" i="1" s="1"/>
  <c r="AD125" i="1"/>
  <c r="AD126" i="1" s="1"/>
  <c r="AG125" i="1"/>
  <c r="AE125" i="1"/>
  <c r="AE126" i="1" s="1"/>
  <c r="AC125" i="1"/>
  <c r="AC126" i="1" s="1"/>
  <c r="AB125" i="1"/>
  <c r="AB126" i="1" s="1"/>
  <c r="AG112" i="1"/>
  <c r="AE112" i="1"/>
  <c r="AE113" i="1" s="1"/>
  <c r="AD112" i="1"/>
  <c r="AD113" i="1" s="1"/>
  <c r="AC112" i="1"/>
  <c r="AC113" i="1" s="1"/>
  <c r="V112" i="1"/>
  <c r="V113" i="1" s="1"/>
  <c r="AF109" i="1"/>
  <c r="AH124" i="1"/>
  <c r="AH123" i="1"/>
  <c r="AH121" i="1"/>
  <c r="AH115" i="1"/>
  <c r="AH114" i="1"/>
  <c r="AH111" i="1"/>
  <c r="AH110" i="1"/>
  <c r="AH109" i="1"/>
  <c r="AH108" i="1"/>
  <c r="AH102" i="1"/>
  <c r="AH101" i="1"/>
  <c r="AF124" i="1"/>
  <c r="AF123" i="1"/>
  <c r="AF122" i="1"/>
  <c r="AF121" i="1"/>
  <c r="AF115" i="1"/>
  <c r="AF114" i="1"/>
  <c r="AF111" i="1"/>
  <c r="AF110" i="1"/>
  <c r="AF108" i="1"/>
  <c r="AF102" i="1"/>
  <c r="AF101" i="1"/>
  <c r="T125" i="1"/>
  <c r="T126" i="1" s="1"/>
  <c r="T112" i="1"/>
  <c r="T113" i="1" s="1"/>
  <c r="Y113" i="1"/>
  <c r="W112" i="1"/>
  <c r="W113" i="1" s="1"/>
  <c r="U112" i="1"/>
  <c r="U113" i="1" s="1"/>
  <c r="Y125" i="1"/>
  <c r="Y126" i="1" s="1"/>
  <c r="W125" i="1"/>
  <c r="W126" i="1" s="1"/>
  <c r="V125" i="1"/>
  <c r="V126" i="1" s="1"/>
  <c r="U125" i="1"/>
  <c r="U126" i="1" s="1"/>
  <c r="Z101" i="1"/>
  <c r="Z124" i="1"/>
  <c r="Z123" i="1"/>
  <c r="Z122" i="1"/>
  <c r="Z121" i="1"/>
  <c r="Z115" i="1"/>
  <c r="Z114" i="1"/>
  <c r="Z111" i="1"/>
  <c r="Z110" i="1"/>
  <c r="Z109" i="1"/>
  <c r="Z108" i="1"/>
  <c r="Z102" i="1"/>
  <c r="X124" i="1"/>
  <c r="X123" i="1"/>
  <c r="X122" i="1"/>
  <c r="X121" i="1"/>
  <c r="X115" i="1"/>
  <c r="X114" i="1"/>
  <c r="X111" i="1"/>
  <c r="X110" i="1"/>
  <c r="X109" i="1"/>
  <c r="X108" i="1"/>
  <c r="X102" i="1"/>
  <c r="X101" i="1"/>
  <c r="O125" i="1"/>
  <c r="O126" i="1" s="1"/>
  <c r="R122" i="1"/>
  <c r="R114" i="1"/>
  <c r="R109" i="1"/>
  <c r="R101" i="1"/>
  <c r="P114" i="1"/>
  <c r="P110" i="1"/>
  <c r="O112" i="1"/>
  <c r="O113" i="1" s="1"/>
  <c r="N112" i="1"/>
  <c r="N113" i="1" s="1"/>
  <c r="M112" i="1"/>
  <c r="M113" i="1" s="1"/>
  <c r="L112" i="1"/>
  <c r="L113" i="1" s="1"/>
  <c r="P124" i="1"/>
  <c r="P123" i="1"/>
  <c r="P122" i="1"/>
  <c r="P121" i="1"/>
  <c r="P115" i="1"/>
  <c r="P101" i="1"/>
  <c r="N125" i="1"/>
  <c r="N126" i="1" s="1"/>
  <c r="M125" i="1"/>
  <c r="M126" i="1" s="1"/>
  <c r="L125" i="1"/>
  <c r="L126" i="1" s="1"/>
  <c r="R124" i="1"/>
  <c r="R123" i="1"/>
  <c r="R121" i="1"/>
  <c r="R115" i="1"/>
  <c r="R111" i="1"/>
  <c r="R110" i="1"/>
  <c r="R108" i="1"/>
  <c r="R102" i="1"/>
  <c r="P111" i="1"/>
  <c r="P109" i="1"/>
  <c r="P108" i="1"/>
  <c r="P102" i="1"/>
  <c r="C102" i="1"/>
  <c r="CE126" i="1" l="1"/>
  <c r="CF125" i="1"/>
  <c r="AG113" i="1"/>
  <c r="AH112" i="1"/>
  <c r="BO125" i="1"/>
  <c r="BI136" i="1"/>
  <c r="BO112" i="1"/>
  <c r="BI135" i="1"/>
  <c r="AH125" i="1"/>
  <c r="AG126" i="1"/>
  <c r="BZ126" i="1"/>
  <c r="BN112" i="1"/>
  <c r="BH113" i="1"/>
  <c r="CO112" i="1"/>
  <c r="CU125" i="1"/>
  <c r="P125" i="1"/>
  <c r="CU112" i="1"/>
  <c r="DE112" i="1"/>
  <c r="DC125" i="1"/>
  <c r="BL112" i="1"/>
  <c r="BJ135" i="1" s="1"/>
  <c r="DE125" i="1"/>
  <c r="P112" i="1"/>
  <c r="CF112" i="1"/>
  <c r="BU125" i="1"/>
  <c r="BN125" i="1"/>
  <c r="CM125" i="1"/>
  <c r="CW125" i="1"/>
  <c r="AV125" i="1"/>
  <c r="BW125" i="1"/>
  <c r="CM112" i="1"/>
  <c r="CW112" i="1"/>
  <c r="AX125" i="1"/>
  <c r="BF125" i="1"/>
  <c r="CO125" i="1"/>
  <c r="CD112" i="1"/>
  <c r="DC112" i="1"/>
  <c r="BL125" i="1"/>
  <c r="BJ136" i="1" s="1"/>
  <c r="AF125" i="1"/>
  <c r="BD125" i="1"/>
  <c r="BW112" i="1"/>
  <c r="AV112" i="1"/>
  <c r="AX112" i="1"/>
  <c r="AF112" i="1"/>
  <c r="Z112" i="1"/>
  <c r="BF112" i="1"/>
  <c r="BD112" i="1"/>
  <c r="AN112" i="1"/>
  <c r="AP112" i="1"/>
  <c r="Z125" i="1"/>
  <c r="X125" i="1"/>
  <c r="X112" i="1"/>
  <c r="DD30" i="1" l="1"/>
  <c r="DD31" i="1" s="1"/>
  <c r="DE29" i="1"/>
  <c r="DC29" i="1"/>
  <c r="DE28" i="1"/>
  <c r="DC28" i="1"/>
  <c r="DE27" i="1"/>
  <c r="DC27" i="1"/>
  <c r="DE26" i="1"/>
  <c r="DC26" i="1"/>
  <c r="DE20" i="1"/>
  <c r="DC20" i="1"/>
  <c r="DE19" i="1"/>
  <c r="DC19" i="1"/>
  <c r="CW29" i="1"/>
  <c r="CU29" i="1"/>
  <c r="CW28" i="1"/>
  <c r="CU28" i="1"/>
  <c r="CW27" i="1"/>
  <c r="CU27" i="1"/>
  <c r="CW26" i="1"/>
  <c r="CU26" i="1"/>
  <c r="CW20" i="1"/>
  <c r="CU20" i="1"/>
  <c r="CW19" i="1"/>
  <c r="CU19" i="1"/>
  <c r="CN30" i="1"/>
  <c r="CN31" i="1" s="1"/>
  <c r="CO29" i="1"/>
  <c r="CM29" i="1"/>
  <c r="CO28" i="1"/>
  <c r="CM28" i="1"/>
  <c r="CO27" i="1"/>
  <c r="CM27" i="1"/>
  <c r="CO26" i="1"/>
  <c r="CM26" i="1"/>
  <c r="CO20" i="1"/>
  <c r="CM20" i="1"/>
  <c r="CO19" i="1"/>
  <c r="CM19" i="1"/>
  <c r="CD19" i="1"/>
  <c r="CE30" i="1"/>
  <c r="CE31" i="1" s="1"/>
  <c r="CF29" i="1"/>
  <c r="CD29" i="1"/>
  <c r="CF28" i="1"/>
  <c r="CD28" i="1"/>
  <c r="CF27" i="1"/>
  <c r="CD27" i="1"/>
  <c r="CF26" i="1"/>
  <c r="CD26" i="1"/>
  <c r="CF20" i="1"/>
  <c r="CD20" i="1"/>
  <c r="CF19" i="1"/>
  <c r="BU19" i="1"/>
  <c r="BV30" i="1"/>
  <c r="BW29" i="1"/>
  <c r="BW28" i="1"/>
  <c r="BU28" i="1"/>
  <c r="BW27" i="1"/>
  <c r="BW26" i="1"/>
  <c r="BU26" i="1"/>
  <c r="BW20" i="1"/>
  <c r="BW19" i="1"/>
  <c r="BM30" i="1"/>
  <c r="BM31" i="1" s="1"/>
  <c r="BN29" i="1"/>
  <c r="BN28" i="1"/>
  <c r="BN27" i="1"/>
  <c r="BN26" i="1"/>
  <c r="BN20" i="1"/>
  <c r="BN19" i="1"/>
  <c r="BK30" i="1"/>
  <c r="BK31" i="1" s="1"/>
  <c r="BF29" i="1"/>
  <c r="BF28" i="1"/>
  <c r="BF27" i="1"/>
  <c r="BF26" i="1"/>
  <c r="BF20" i="1"/>
  <c r="BF19" i="1"/>
  <c r="BD29" i="1"/>
  <c r="BD28" i="1"/>
  <c r="BD27" i="1"/>
  <c r="BD26" i="1"/>
  <c r="BD20" i="1"/>
  <c r="BD19" i="1"/>
  <c r="AZ30" i="1"/>
  <c r="AZ31" i="1" s="1"/>
  <c r="AR30" i="1"/>
  <c r="AR31" i="1" s="1"/>
  <c r="AS30" i="1"/>
  <c r="AS31" i="1" s="1"/>
  <c r="AT30" i="1"/>
  <c r="AT31" i="1" s="1"/>
  <c r="AN20" i="1"/>
  <c r="AN19" i="1"/>
  <c r="AM30" i="1"/>
  <c r="AM31" i="1" s="1"/>
  <c r="AW30" i="1"/>
  <c r="AW31" i="1" s="1"/>
  <c r="AX29" i="1"/>
  <c r="AV29" i="1"/>
  <c r="AX28" i="1"/>
  <c r="AV28" i="1"/>
  <c r="AX27" i="1"/>
  <c r="AV27" i="1"/>
  <c r="AX26" i="1"/>
  <c r="AV26" i="1"/>
  <c r="AX20" i="1"/>
  <c r="AV20" i="1"/>
  <c r="AX19" i="1"/>
  <c r="AV19" i="1"/>
  <c r="AO30" i="1"/>
  <c r="AO31" i="1" s="1"/>
  <c r="AP29" i="1"/>
  <c r="AN29" i="1"/>
  <c r="AP28" i="1"/>
  <c r="AN28" i="1"/>
  <c r="AP27" i="1"/>
  <c r="AN27" i="1"/>
  <c r="AP26" i="1"/>
  <c r="AN26" i="1"/>
  <c r="AP20" i="1"/>
  <c r="AP19" i="1"/>
  <c r="DB30" i="1"/>
  <c r="DB31" i="1" s="1"/>
  <c r="DA30" i="1"/>
  <c r="DA31" i="1" s="1"/>
  <c r="CZ30" i="1"/>
  <c r="CZ31" i="1" s="1"/>
  <c r="CY30" i="1"/>
  <c r="CY31" i="1" s="1"/>
  <c r="CV30" i="1"/>
  <c r="CT30" i="1"/>
  <c r="CT31" i="1" s="1"/>
  <c r="CS30" i="1"/>
  <c r="CS31" i="1" s="1"/>
  <c r="CR30" i="1"/>
  <c r="CR31" i="1" s="1"/>
  <c r="CQ30" i="1"/>
  <c r="CQ31" i="1" s="1"/>
  <c r="CL30" i="1"/>
  <c r="CL31" i="1" s="1"/>
  <c r="CK30" i="1"/>
  <c r="CK31" i="1" s="1"/>
  <c r="CJ30" i="1"/>
  <c r="CJ31" i="1" s="1"/>
  <c r="CI30" i="1"/>
  <c r="CI31" i="1" s="1"/>
  <c r="CC31" i="1"/>
  <c r="CG30" i="1" s="1"/>
  <c r="CB30" i="1"/>
  <c r="CB31" i="1" s="1"/>
  <c r="CA30" i="1"/>
  <c r="CA31" i="1" s="1"/>
  <c r="BZ30" i="1"/>
  <c r="BX30" i="1"/>
  <c r="BS30" i="1"/>
  <c r="BS31" i="1" s="1"/>
  <c r="BR30" i="1"/>
  <c r="BR31" i="1" s="1"/>
  <c r="BQ30" i="1"/>
  <c r="BJ30" i="1"/>
  <c r="BJ31" i="1" s="1"/>
  <c r="BH129" i="1" s="1"/>
  <c r="BI30" i="1"/>
  <c r="BI31" i="1" s="1"/>
  <c r="BG129" i="1" s="1"/>
  <c r="BH30" i="1"/>
  <c r="BE30" i="1"/>
  <c r="BE31" i="1" s="1"/>
  <c r="BC30" i="1"/>
  <c r="BB30" i="1"/>
  <c r="BB31" i="1" s="1"/>
  <c r="BA30" i="1"/>
  <c r="BA31" i="1" s="1"/>
  <c r="AU30" i="1"/>
  <c r="AU31" i="1" s="1"/>
  <c r="AL30" i="1"/>
  <c r="AL31" i="1" s="1"/>
  <c r="AK30" i="1"/>
  <c r="AK31" i="1" s="1"/>
  <c r="AJ30" i="1"/>
  <c r="AJ31" i="1" s="1"/>
  <c r="AC30" i="1"/>
  <c r="AC31" i="1" s="1"/>
  <c r="AD30" i="1"/>
  <c r="AD31" i="1" s="1"/>
  <c r="AE30" i="1"/>
  <c r="AE31" i="1" s="1"/>
  <c r="AG30" i="1"/>
  <c r="AB30" i="1"/>
  <c r="AH28" i="1"/>
  <c r="AH27" i="1"/>
  <c r="AH26" i="1"/>
  <c r="AH20" i="1"/>
  <c r="AH19" i="1"/>
  <c r="AF29" i="1"/>
  <c r="AF28" i="1"/>
  <c r="AF27" i="1"/>
  <c r="AF26" i="1"/>
  <c r="AF20" i="1"/>
  <c r="AF19" i="1"/>
  <c r="AF6" i="1"/>
  <c r="X29" i="1"/>
  <c r="X28" i="1"/>
  <c r="X19" i="1"/>
  <c r="X27" i="1"/>
  <c r="X26" i="1"/>
  <c r="X20" i="1"/>
  <c r="Z29" i="1"/>
  <c r="Z28" i="1"/>
  <c r="Z27" i="1"/>
  <c r="Z26" i="1"/>
  <c r="Z20" i="1"/>
  <c r="Z19" i="1"/>
  <c r="Y30" i="1"/>
  <c r="Y31" i="1" s="1"/>
  <c r="W30" i="1"/>
  <c r="W31" i="1" s="1"/>
  <c r="V30" i="1"/>
  <c r="V31" i="1" s="1"/>
  <c r="U30" i="1"/>
  <c r="U31" i="1" s="1"/>
  <c r="T30" i="1"/>
  <c r="T31" i="1" s="1"/>
  <c r="O30" i="1"/>
  <c r="O31" i="1" s="1"/>
  <c r="M30" i="1"/>
  <c r="M31" i="1" s="1"/>
  <c r="L30" i="1"/>
  <c r="BZ31" i="1" l="1"/>
  <c r="CD30" i="1"/>
  <c r="BQ31" i="1"/>
  <c r="BU30" i="1"/>
  <c r="BV31" i="1"/>
  <c r="BO30" i="1"/>
  <c r="BI129" i="1"/>
  <c r="BH31" i="1"/>
  <c r="BL30" i="1"/>
  <c r="BJ129" i="1" s="1"/>
  <c r="AH29" i="1"/>
  <c r="AG31" i="1"/>
  <c r="P30" i="1"/>
  <c r="L31" i="1"/>
  <c r="CW30" i="1"/>
  <c r="CV31" i="1"/>
  <c r="BD30" i="1"/>
  <c r="BC31" i="1"/>
  <c r="AH30" i="1"/>
  <c r="AB31" i="1"/>
  <c r="AV30" i="1"/>
  <c r="X30" i="1"/>
  <c r="BF30" i="1"/>
  <c r="CU30" i="1"/>
  <c r="AP30" i="1"/>
  <c r="Z30" i="1"/>
  <c r="CO30" i="1"/>
  <c r="BW30" i="1"/>
  <c r="CM30" i="1"/>
  <c r="CF30" i="1"/>
  <c r="DC30" i="1"/>
  <c r="AF30" i="1"/>
  <c r="AN30" i="1"/>
  <c r="BN30" i="1"/>
  <c r="DE30" i="1"/>
  <c r="AX30" i="1"/>
  <c r="AN6" i="1" l="1"/>
  <c r="AL17" i="1"/>
  <c r="AL18" i="1" s="1"/>
  <c r="AB17" i="1"/>
  <c r="AB18" i="1" s="1"/>
  <c r="AH14" i="1"/>
  <c r="AH15" i="1"/>
  <c r="X6" i="1"/>
  <c r="Y17" i="1"/>
  <c r="Y18" i="1" s="1"/>
  <c r="P6" i="1"/>
  <c r="M17" i="1"/>
  <c r="M18" i="1" s="1"/>
  <c r="L17" i="1"/>
  <c r="L18" i="1" s="1"/>
  <c r="P17" i="1" l="1"/>
  <c r="BU74" i="1" l="1"/>
  <c r="BL74" i="1"/>
  <c r="BH85" i="1"/>
  <c r="BH86" i="1" s="1"/>
  <c r="F74" i="1"/>
  <c r="J74" i="1" l="1"/>
  <c r="DD85" i="1"/>
  <c r="DD86" i="1" s="1"/>
  <c r="DB85" i="1"/>
  <c r="DB86" i="1" s="1"/>
  <c r="DA85" i="1"/>
  <c r="DA86" i="1" s="1"/>
  <c r="CZ85" i="1"/>
  <c r="CZ86" i="1" s="1"/>
  <c r="CY85" i="1"/>
  <c r="CY86" i="1" s="1"/>
  <c r="DE84" i="1"/>
  <c r="DC84" i="1"/>
  <c r="DE83" i="1"/>
  <c r="DC83" i="1"/>
  <c r="DE82" i="1"/>
  <c r="DC82" i="1"/>
  <c r="DE81" i="1"/>
  <c r="DC81" i="1"/>
  <c r="DE75" i="1"/>
  <c r="DC75" i="1"/>
  <c r="DE74" i="1"/>
  <c r="DC74" i="1"/>
  <c r="CV85" i="1"/>
  <c r="CV86" i="1" s="1"/>
  <c r="CT85" i="1"/>
  <c r="CT86" i="1" s="1"/>
  <c r="CS85" i="1"/>
  <c r="CS86" i="1" s="1"/>
  <c r="CR85" i="1"/>
  <c r="CR86" i="1" s="1"/>
  <c r="CQ85" i="1"/>
  <c r="CQ86" i="1" s="1"/>
  <c r="CW84" i="1"/>
  <c r="CU84" i="1"/>
  <c r="CW83" i="1"/>
  <c r="CU83" i="1"/>
  <c r="CW82" i="1"/>
  <c r="CU82" i="1"/>
  <c r="CW81" i="1"/>
  <c r="CU81" i="1"/>
  <c r="CW75" i="1"/>
  <c r="CU75" i="1"/>
  <c r="CW74" i="1"/>
  <c r="CU74" i="1"/>
  <c r="CN85" i="1"/>
  <c r="CL85" i="1"/>
  <c r="CL86" i="1" s="1"/>
  <c r="CK85" i="1"/>
  <c r="CK86" i="1" s="1"/>
  <c r="CJ85" i="1"/>
  <c r="CJ86" i="1" s="1"/>
  <c r="CI85" i="1"/>
  <c r="CI86" i="1" s="1"/>
  <c r="CO84" i="1"/>
  <c r="CM84" i="1"/>
  <c r="CO83" i="1"/>
  <c r="CM83" i="1"/>
  <c r="CO82" i="1"/>
  <c r="CM82" i="1"/>
  <c r="CO81" i="1"/>
  <c r="CM81" i="1"/>
  <c r="CO75" i="1"/>
  <c r="CM75" i="1"/>
  <c r="CO74" i="1"/>
  <c r="CM74" i="1"/>
  <c r="CG85" i="1"/>
  <c r="CB86" i="1"/>
  <c r="CA86" i="1"/>
  <c r="CF84" i="1"/>
  <c r="CD84" i="1"/>
  <c r="CF83" i="1"/>
  <c r="CD83" i="1"/>
  <c r="CF82" i="1"/>
  <c r="CD82" i="1"/>
  <c r="CF75" i="1"/>
  <c r="CD75" i="1"/>
  <c r="CF74" i="1"/>
  <c r="CD74" i="1"/>
  <c r="BT86" i="1"/>
  <c r="BX85" i="1" s="1"/>
  <c r="BS86" i="1"/>
  <c r="BR86" i="1"/>
  <c r="BQ85" i="1"/>
  <c r="BQ86" i="1" s="1"/>
  <c r="BW84" i="1"/>
  <c r="BU84" i="1"/>
  <c r="BW83" i="1"/>
  <c r="BU83" i="1"/>
  <c r="BW82" i="1"/>
  <c r="BU82" i="1"/>
  <c r="BW81" i="1"/>
  <c r="BU81" i="1"/>
  <c r="BW75" i="1"/>
  <c r="BU75" i="1"/>
  <c r="BW74" i="1"/>
  <c r="BM85" i="1"/>
  <c r="BM86" i="1" s="1"/>
  <c r="BI85" i="1"/>
  <c r="BJ85" i="1"/>
  <c r="BJ86" i="1" s="1"/>
  <c r="BH133" i="1" s="1"/>
  <c r="BK85" i="1"/>
  <c r="BK86" i="1" s="1"/>
  <c r="BL84" i="1"/>
  <c r="BN83" i="1"/>
  <c r="BL83" i="1"/>
  <c r="BL82" i="1"/>
  <c r="BN75" i="1"/>
  <c r="BL75" i="1"/>
  <c r="BN74" i="1"/>
  <c r="BE85" i="1"/>
  <c r="BE86" i="1" s="1"/>
  <c r="BA85" i="1"/>
  <c r="BA86" i="1" s="1"/>
  <c r="BB85" i="1"/>
  <c r="BB86" i="1" s="1"/>
  <c r="BC85" i="1"/>
  <c r="BC86" i="1" s="1"/>
  <c r="AZ85" i="1"/>
  <c r="AZ86" i="1" s="1"/>
  <c r="BF81" i="1"/>
  <c r="BF75" i="1"/>
  <c r="BF74" i="1"/>
  <c r="BF84" i="1"/>
  <c r="BF83" i="1"/>
  <c r="BF82" i="1"/>
  <c r="BD84" i="1"/>
  <c r="BD83" i="1"/>
  <c r="BD82" i="1"/>
  <c r="BD81" i="1"/>
  <c r="BD75" i="1"/>
  <c r="BD74" i="1"/>
  <c r="AU85" i="1"/>
  <c r="AU86" i="1" s="1"/>
  <c r="AT85" i="1"/>
  <c r="AT86" i="1" s="1"/>
  <c r="AS85" i="1"/>
  <c r="AS86" i="1" s="1"/>
  <c r="AR85" i="1"/>
  <c r="AR86" i="1" s="1"/>
  <c r="AX75" i="1"/>
  <c r="AX74" i="1"/>
  <c r="AX84" i="1"/>
  <c r="AX83" i="1"/>
  <c r="AX82" i="1"/>
  <c r="AX81" i="1"/>
  <c r="AV84" i="1"/>
  <c r="AV83" i="1"/>
  <c r="AV82" i="1"/>
  <c r="AV81" i="1"/>
  <c r="AV75" i="1"/>
  <c r="AV74" i="1"/>
  <c r="AW85" i="1"/>
  <c r="AW86" i="1" s="1"/>
  <c r="AJ85" i="1"/>
  <c r="AJ86" i="1" s="1"/>
  <c r="AO85" i="1"/>
  <c r="AO86" i="1" s="1"/>
  <c r="AN74" i="1"/>
  <c r="AP84" i="1"/>
  <c r="AN84" i="1"/>
  <c r="AP83" i="1"/>
  <c r="AN83" i="1"/>
  <c r="AP82" i="1"/>
  <c r="AN82" i="1"/>
  <c r="AP81" i="1"/>
  <c r="AN81" i="1"/>
  <c r="AP75" i="1"/>
  <c r="AN75" i="1"/>
  <c r="AP74" i="1"/>
  <c r="AG85" i="1"/>
  <c r="AF85" i="1"/>
  <c r="AH84" i="1"/>
  <c r="AF84" i="1"/>
  <c r="AH83" i="1"/>
  <c r="AF83" i="1"/>
  <c r="AH82" i="1"/>
  <c r="AF82" i="1"/>
  <c r="AH81" i="1"/>
  <c r="AF81" i="1"/>
  <c r="AH75" i="1"/>
  <c r="AF75" i="1"/>
  <c r="AH74" i="1"/>
  <c r="AF74" i="1"/>
  <c r="Y85" i="1"/>
  <c r="X75" i="1"/>
  <c r="X74" i="1"/>
  <c r="X85" i="1"/>
  <c r="Z84" i="1"/>
  <c r="X84" i="1"/>
  <c r="Z83" i="1"/>
  <c r="X83" i="1"/>
  <c r="Z82" i="1"/>
  <c r="X82" i="1"/>
  <c r="Z81" i="1"/>
  <c r="X81" i="1"/>
  <c r="Z75" i="1"/>
  <c r="Z74" i="1"/>
  <c r="P84" i="1"/>
  <c r="P83" i="1"/>
  <c r="P82" i="1"/>
  <c r="P81" i="1"/>
  <c r="P75" i="1"/>
  <c r="P74" i="1"/>
  <c r="R84" i="1"/>
  <c r="R83" i="1"/>
  <c r="R82" i="1"/>
  <c r="R81" i="1"/>
  <c r="R75" i="1"/>
  <c r="R74" i="1"/>
  <c r="Q85" i="1"/>
  <c r="O85" i="1"/>
  <c r="O86" i="1" s="1"/>
  <c r="N85" i="1"/>
  <c r="N86" i="1" s="1"/>
  <c r="M85" i="1"/>
  <c r="M86" i="1" s="1"/>
  <c r="BZ86" i="1" l="1"/>
  <c r="BO85" i="1"/>
  <c r="BI133" i="1"/>
  <c r="H84" i="1"/>
  <c r="BL85" i="1"/>
  <c r="BJ133" i="1" s="1"/>
  <c r="BI86" i="1"/>
  <c r="BG133" i="1" s="1"/>
  <c r="AH85" i="1"/>
  <c r="AG86" i="1"/>
  <c r="CO85" i="1"/>
  <c r="CN86" i="1"/>
  <c r="Z85" i="1"/>
  <c r="Y86" i="1"/>
  <c r="CM85" i="1"/>
  <c r="DC85" i="1"/>
  <c r="CU85" i="1"/>
  <c r="CW85" i="1"/>
  <c r="DE85" i="1"/>
  <c r="BD85" i="1"/>
  <c r="AV85" i="1"/>
  <c r="BU85" i="1"/>
  <c r="BW85" i="1"/>
  <c r="BN85" i="1"/>
  <c r="BF85" i="1"/>
  <c r="AX85" i="1"/>
  <c r="AP85" i="1"/>
  <c r="F98" i="1" l="1"/>
  <c r="J98" i="1" s="1"/>
  <c r="C98" i="1"/>
  <c r="C97" i="1"/>
  <c r="C96" i="1"/>
  <c r="C95" i="1"/>
  <c r="C88" i="1"/>
  <c r="C87" i="1"/>
  <c r="DD99" i="1"/>
  <c r="DD100" i="1" s="1"/>
  <c r="DC98" i="1"/>
  <c r="DC97" i="1"/>
  <c r="DC96" i="1"/>
  <c r="DC95" i="1"/>
  <c r="DC88" i="1"/>
  <c r="DC87" i="1"/>
  <c r="CV99" i="1"/>
  <c r="CV100" i="1" s="1"/>
  <c r="CU98" i="1"/>
  <c r="CU97" i="1"/>
  <c r="CU96" i="1"/>
  <c r="CU95" i="1"/>
  <c r="CU88" i="1"/>
  <c r="CU87" i="1"/>
  <c r="CN99" i="1"/>
  <c r="CN100" i="1" s="1"/>
  <c r="CM98" i="1"/>
  <c r="CM97" i="1"/>
  <c r="CM96" i="1"/>
  <c r="CM95" i="1"/>
  <c r="CM88" i="1"/>
  <c r="CM87" i="1"/>
  <c r="CE99" i="1"/>
  <c r="CD98" i="1"/>
  <c r="CD97" i="1"/>
  <c r="CD96" i="1"/>
  <c r="CD95" i="1"/>
  <c r="CD87" i="1"/>
  <c r="BV99" i="1"/>
  <c r="BV100" i="1" s="1"/>
  <c r="BL88" i="1"/>
  <c r="BD87" i="1"/>
  <c r="BD98" i="1"/>
  <c r="BD97" i="1"/>
  <c r="BD96" i="1"/>
  <c r="BD95" i="1"/>
  <c r="BD88" i="1"/>
  <c r="BF98" i="1"/>
  <c r="BF97" i="1"/>
  <c r="BF96" i="1"/>
  <c r="BF95" i="1"/>
  <c r="BF88" i="1"/>
  <c r="BF87" i="1"/>
  <c r="AX95" i="1"/>
  <c r="AX98" i="1"/>
  <c r="AX97" i="1"/>
  <c r="AX96" i="1"/>
  <c r="AX88" i="1"/>
  <c r="AX87" i="1"/>
  <c r="AV87" i="1"/>
  <c r="AV98" i="1"/>
  <c r="AV97" i="1"/>
  <c r="AV96" i="1"/>
  <c r="AV95" i="1"/>
  <c r="AV88" i="1"/>
  <c r="AR99" i="1"/>
  <c r="AJ99" i="1"/>
  <c r="AJ100" i="1" s="1"/>
  <c r="AK99" i="1"/>
  <c r="AK100" i="1" s="1"/>
  <c r="AL99" i="1"/>
  <c r="AL100" i="1" s="1"/>
  <c r="AM99" i="1"/>
  <c r="AM100" i="1" s="1"/>
  <c r="X98" i="1"/>
  <c r="AF98" i="1"/>
  <c r="AN87" i="1"/>
  <c r="AF87" i="1"/>
  <c r="AP96" i="1"/>
  <c r="AP95" i="1"/>
  <c r="AP88" i="1"/>
  <c r="AP87" i="1"/>
  <c r="AP98" i="1"/>
  <c r="AP97" i="1"/>
  <c r="AN98" i="1"/>
  <c r="AN97" i="1"/>
  <c r="AN96" i="1"/>
  <c r="AN95" i="1"/>
  <c r="AN88" i="1"/>
  <c r="DB99" i="1"/>
  <c r="DB100" i="1" s="1"/>
  <c r="DA99" i="1"/>
  <c r="DA100" i="1" s="1"/>
  <c r="CZ99" i="1"/>
  <c r="CY99" i="1"/>
  <c r="CY100" i="1" s="1"/>
  <c r="CT99" i="1"/>
  <c r="CT100" i="1" s="1"/>
  <c r="CS99" i="1"/>
  <c r="CS100" i="1" s="1"/>
  <c r="CR99" i="1"/>
  <c r="CR100" i="1" s="1"/>
  <c r="CQ99" i="1"/>
  <c r="CQ100" i="1" s="1"/>
  <c r="CL99" i="1"/>
  <c r="CL100" i="1" s="1"/>
  <c r="CK99" i="1"/>
  <c r="CK100" i="1" s="1"/>
  <c r="CJ99" i="1"/>
  <c r="CI99" i="1"/>
  <c r="CI100" i="1" s="1"/>
  <c r="CB100" i="1"/>
  <c r="CA100" i="1"/>
  <c r="BZ100" i="1"/>
  <c r="BT99" i="1"/>
  <c r="BT100" i="1" s="1"/>
  <c r="BX99" i="1" s="1"/>
  <c r="BS99" i="1"/>
  <c r="BS100" i="1" s="1"/>
  <c r="BR99" i="1"/>
  <c r="BQ99" i="1"/>
  <c r="BQ100" i="1" s="1"/>
  <c r="BM99" i="1"/>
  <c r="BK99" i="1"/>
  <c r="BK100" i="1" s="1"/>
  <c r="BJ99" i="1"/>
  <c r="BJ100" i="1" s="1"/>
  <c r="BH134" i="1" s="1"/>
  <c r="BI99" i="1"/>
  <c r="BI100" i="1" s="1"/>
  <c r="BG134" i="1" s="1"/>
  <c r="BH99" i="1"/>
  <c r="BH100" i="1" s="1"/>
  <c r="BE99" i="1"/>
  <c r="BE100" i="1" s="1"/>
  <c r="BC99" i="1"/>
  <c r="BC100" i="1" s="1"/>
  <c r="BB99" i="1"/>
  <c r="BB100" i="1" s="1"/>
  <c r="BA99" i="1"/>
  <c r="BA100" i="1" s="1"/>
  <c r="AZ99" i="1"/>
  <c r="AZ100" i="1" s="1"/>
  <c r="AW99" i="1"/>
  <c r="AU99" i="1"/>
  <c r="AT99" i="1"/>
  <c r="AS99" i="1"/>
  <c r="AO99" i="1"/>
  <c r="AO100" i="1" s="1"/>
  <c r="AB99" i="1"/>
  <c r="AB100" i="1" s="1"/>
  <c r="AG99" i="1"/>
  <c r="AE99" i="1"/>
  <c r="AE100" i="1" s="1"/>
  <c r="AD99" i="1"/>
  <c r="AD100" i="1" s="1"/>
  <c r="AC99" i="1"/>
  <c r="T99" i="1"/>
  <c r="T100" i="1" s="1"/>
  <c r="P98" i="1"/>
  <c r="AH98" i="1"/>
  <c r="AH97" i="1"/>
  <c r="AH96" i="1"/>
  <c r="AH95" i="1"/>
  <c r="AH88" i="1"/>
  <c r="AH87" i="1"/>
  <c r="Z87" i="1"/>
  <c r="AF97" i="1"/>
  <c r="AF96" i="1"/>
  <c r="AF95" i="1"/>
  <c r="AF88" i="1"/>
  <c r="X87" i="1"/>
  <c r="W99" i="1"/>
  <c r="W100" i="1" s="1"/>
  <c r="Z98" i="1"/>
  <c r="Z97" i="1"/>
  <c r="Z96" i="1"/>
  <c r="Z95" i="1"/>
  <c r="Z88" i="1"/>
  <c r="X97" i="1"/>
  <c r="X96" i="1"/>
  <c r="X95" i="1"/>
  <c r="X88" i="1"/>
  <c r="O99" i="1"/>
  <c r="O100" i="1" s="1"/>
  <c r="Q99" i="1"/>
  <c r="R87" i="1"/>
  <c r="R98" i="1"/>
  <c r="R97" i="1"/>
  <c r="R96" i="1"/>
  <c r="R95" i="1"/>
  <c r="R88" i="1"/>
  <c r="P97" i="1"/>
  <c r="P96" i="1"/>
  <c r="P95" i="1"/>
  <c r="P88" i="1"/>
  <c r="P87" i="1"/>
  <c r="N99" i="1"/>
  <c r="N100" i="1" s="1"/>
  <c r="M99" i="1"/>
  <c r="M100" i="1" s="1"/>
  <c r="L99" i="1"/>
  <c r="L100" i="1" s="1"/>
  <c r="Y99" i="1"/>
  <c r="U99" i="1"/>
  <c r="U100" i="1" s="1"/>
  <c r="V99" i="1"/>
  <c r="V100" i="1" s="1"/>
  <c r="CG99" i="1" l="1"/>
  <c r="CE100" i="1"/>
  <c r="CF99" i="1"/>
  <c r="BO99" i="1"/>
  <c r="BI134" i="1"/>
  <c r="BM100" i="1"/>
  <c r="H98" i="1"/>
  <c r="DC99" i="1"/>
  <c r="CZ100" i="1"/>
  <c r="Z99" i="1"/>
  <c r="Y100" i="1"/>
  <c r="CM99" i="1"/>
  <c r="CJ100" i="1"/>
  <c r="BU99" i="1"/>
  <c r="BR100" i="1"/>
  <c r="AF99" i="1"/>
  <c r="AC100" i="1"/>
  <c r="AH99" i="1"/>
  <c r="AG100" i="1"/>
  <c r="BF99" i="1"/>
  <c r="AV99" i="1"/>
  <c r="AX99" i="1"/>
  <c r="P99" i="1"/>
  <c r="CD99" i="1"/>
  <c r="CU99" i="1"/>
  <c r="AN99" i="1"/>
  <c r="BD99" i="1"/>
  <c r="AP99" i="1"/>
  <c r="R99" i="1"/>
  <c r="X99" i="1"/>
  <c r="BL99" i="1"/>
  <c r="BJ134" i="1" s="1"/>
  <c r="AX32" i="1"/>
  <c r="AP45" i="1"/>
  <c r="AP44" i="1"/>
  <c r="AP43" i="1"/>
  <c r="AP42" i="1"/>
  <c r="AX33" i="1"/>
  <c r="AX42" i="1"/>
  <c r="AX43" i="1"/>
  <c r="AX44" i="1"/>
  <c r="AX45" i="1"/>
  <c r="AL46" i="1"/>
  <c r="AL47" i="1" s="1"/>
  <c r="AP32" i="1"/>
  <c r="AN32" i="1"/>
  <c r="U46" i="1"/>
  <c r="U47" i="1" s="1"/>
  <c r="V46" i="1"/>
  <c r="V47" i="1" s="1"/>
  <c r="Z32" i="1"/>
  <c r="W44" i="1"/>
  <c r="R32" i="1"/>
  <c r="P32" i="1"/>
  <c r="L46" i="1"/>
  <c r="C45" i="1"/>
  <c r="C44" i="1"/>
  <c r="C43" i="1"/>
  <c r="C42" i="1"/>
  <c r="C46" i="1" l="1"/>
  <c r="L47" i="1"/>
  <c r="L52" i="1"/>
  <c r="L59" i="1" s="1"/>
  <c r="L60" i="1" s="1"/>
  <c r="DD59" i="1"/>
  <c r="DD60" i="1" s="1"/>
  <c r="DE58" i="1"/>
  <c r="DC58" i="1"/>
  <c r="DE57" i="1"/>
  <c r="DC57" i="1"/>
  <c r="DE56" i="1"/>
  <c r="DC56" i="1"/>
  <c r="DE55" i="1"/>
  <c r="DC55" i="1"/>
  <c r="DE49" i="1"/>
  <c r="DC49" i="1"/>
  <c r="DE48" i="1"/>
  <c r="DC48" i="1"/>
  <c r="CV59" i="1"/>
  <c r="CV60" i="1" s="1"/>
  <c r="CW58" i="1"/>
  <c r="CU58" i="1"/>
  <c r="CW57" i="1"/>
  <c r="CU57" i="1"/>
  <c r="CW56" i="1"/>
  <c r="CU56" i="1"/>
  <c r="CW55" i="1"/>
  <c r="CU55" i="1"/>
  <c r="CW49" i="1"/>
  <c r="CU49" i="1"/>
  <c r="CW48" i="1"/>
  <c r="CU48" i="1"/>
  <c r="CN59" i="1"/>
  <c r="CN60" i="1" s="1"/>
  <c r="CO58" i="1"/>
  <c r="CM58" i="1"/>
  <c r="CO57" i="1"/>
  <c r="CM57" i="1"/>
  <c r="CO56" i="1"/>
  <c r="CM56" i="1"/>
  <c r="CO55" i="1"/>
  <c r="CM55" i="1"/>
  <c r="CO49" i="1"/>
  <c r="CM49" i="1"/>
  <c r="CO48" i="1"/>
  <c r="CM48" i="1"/>
  <c r="CE59" i="1"/>
  <c r="CE60" i="1" s="1"/>
  <c r="CF58" i="1"/>
  <c r="CD58" i="1"/>
  <c r="CF57" i="1"/>
  <c r="CD57" i="1"/>
  <c r="CF56" i="1"/>
  <c r="CD56" i="1"/>
  <c r="CF55" i="1"/>
  <c r="CD55" i="1"/>
  <c r="CF49" i="1"/>
  <c r="CD49" i="1"/>
  <c r="CF48" i="1"/>
  <c r="CD48" i="1"/>
  <c r="BV59" i="1"/>
  <c r="BV60" i="1" s="1"/>
  <c r="BW58" i="1"/>
  <c r="BU58" i="1"/>
  <c r="BW57" i="1"/>
  <c r="BU57" i="1"/>
  <c r="BW56" i="1"/>
  <c r="BU56" i="1"/>
  <c r="BW55" i="1"/>
  <c r="BU55" i="1"/>
  <c r="BW49" i="1"/>
  <c r="BU49" i="1"/>
  <c r="BW48" i="1"/>
  <c r="BU48" i="1"/>
  <c r="BM59" i="1"/>
  <c r="BM60" i="1" s="1"/>
  <c r="BN58" i="1"/>
  <c r="BL58" i="1"/>
  <c r="BN57" i="1"/>
  <c r="BL57" i="1"/>
  <c r="BN56" i="1"/>
  <c r="BL56" i="1"/>
  <c r="BN55" i="1"/>
  <c r="BL55" i="1"/>
  <c r="BN49" i="1"/>
  <c r="BL49" i="1"/>
  <c r="BN48" i="1"/>
  <c r="BL48" i="1"/>
  <c r="BH59" i="1"/>
  <c r="BH60" i="1" s="1"/>
  <c r="BI59" i="1"/>
  <c r="BI60" i="1" s="1"/>
  <c r="BG131" i="1" s="1"/>
  <c r="BJ59" i="1"/>
  <c r="BJ60" i="1" s="1"/>
  <c r="BH131" i="1" s="1"/>
  <c r="BK59" i="1"/>
  <c r="BK60" i="1" s="1"/>
  <c r="BQ59" i="1"/>
  <c r="BQ60" i="1" s="1"/>
  <c r="BR59" i="1"/>
  <c r="BR60" i="1" s="1"/>
  <c r="BS59" i="1"/>
  <c r="BS60" i="1" s="1"/>
  <c r="BX59" i="1"/>
  <c r="BZ59" i="1"/>
  <c r="BZ60" i="1" s="1"/>
  <c r="CA59" i="1"/>
  <c r="CA60" i="1" s="1"/>
  <c r="CB59" i="1"/>
  <c r="CB60" i="1" s="1"/>
  <c r="CC60" i="1"/>
  <c r="CG59" i="1" s="1"/>
  <c r="CI59" i="1"/>
  <c r="CI60" i="1" s="1"/>
  <c r="CJ59" i="1"/>
  <c r="CJ60" i="1" s="1"/>
  <c r="CK59" i="1"/>
  <c r="CK60" i="1" s="1"/>
  <c r="CL59" i="1"/>
  <c r="CL60" i="1" s="1"/>
  <c r="CQ59" i="1"/>
  <c r="CQ60" i="1" s="1"/>
  <c r="CR59" i="1"/>
  <c r="CR60" i="1" s="1"/>
  <c r="CS59" i="1"/>
  <c r="CS60" i="1" s="1"/>
  <c r="CT59" i="1"/>
  <c r="CT60" i="1" s="1"/>
  <c r="CY59" i="1"/>
  <c r="CY60" i="1" s="1"/>
  <c r="CZ59" i="1"/>
  <c r="CZ60" i="1" s="1"/>
  <c r="DA59" i="1"/>
  <c r="DA60" i="1" s="1"/>
  <c r="DB59" i="1"/>
  <c r="DB60" i="1" s="1"/>
  <c r="BE59" i="1"/>
  <c r="BE60" i="1" s="1"/>
  <c r="BC59" i="1"/>
  <c r="BC60" i="1" s="1"/>
  <c r="BB59" i="1"/>
  <c r="BB60" i="1" s="1"/>
  <c r="BA59" i="1"/>
  <c r="BA60" i="1" s="1"/>
  <c r="AZ59" i="1"/>
  <c r="AZ60" i="1" s="1"/>
  <c r="BF58" i="1"/>
  <c r="BD58" i="1"/>
  <c r="BF57" i="1"/>
  <c r="BD57" i="1"/>
  <c r="BF56" i="1"/>
  <c r="BD56" i="1"/>
  <c r="BF55" i="1"/>
  <c r="BD55" i="1"/>
  <c r="BF49" i="1"/>
  <c r="BD49" i="1"/>
  <c r="BF48" i="1"/>
  <c r="BD48" i="1"/>
  <c r="AW59" i="1"/>
  <c r="AW60" i="1" s="1"/>
  <c r="AU59" i="1"/>
  <c r="AU60" i="1" s="1"/>
  <c r="AT59" i="1"/>
  <c r="AT60" i="1" s="1"/>
  <c r="AS59" i="1"/>
  <c r="AS60" i="1" s="1"/>
  <c r="AR59" i="1"/>
  <c r="AR60" i="1" s="1"/>
  <c r="AX58" i="1"/>
  <c r="AV58" i="1"/>
  <c r="AX57" i="1"/>
  <c r="AV57" i="1"/>
  <c r="AX56" i="1"/>
  <c r="AV56" i="1"/>
  <c r="AX55" i="1"/>
  <c r="AV55" i="1"/>
  <c r="AX49" i="1"/>
  <c r="AV49" i="1"/>
  <c r="AX48" i="1"/>
  <c r="AV48" i="1"/>
  <c r="AL59" i="1"/>
  <c r="AL60" i="1" s="1"/>
  <c r="AP48" i="1"/>
  <c r="AP58" i="1"/>
  <c r="AP57" i="1"/>
  <c r="AP56" i="1"/>
  <c r="AP55" i="1"/>
  <c r="AP49" i="1"/>
  <c r="AN58" i="1"/>
  <c r="AN57" i="1"/>
  <c r="AN56" i="1"/>
  <c r="AN55" i="1"/>
  <c r="AN49" i="1"/>
  <c r="AN48" i="1"/>
  <c r="AF48" i="1"/>
  <c r="AH58" i="1"/>
  <c r="AH57" i="1"/>
  <c r="AH56" i="1"/>
  <c r="AH55" i="1"/>
  <c r="AH49" i="1"/>
  <c r="AH48" i="1"/>
  <c r="AF58" i="1"/>
  <c r="AF57" i="1"/>
  <c r="AF56" i="1"/>
  <c r="AF55" i="1"/>
  <c r="AF49" i="1"/>
  <c r="U59" i="1"/>
  <c r="U60" i="1" s="1"/>
  <c r="Z58" i="1"/>
  <c r="Z57" i="1"/>
  <c r="Z56" i="1"/>
  <c r="Z55" i="1"/>
  <c r="Z49" i="1"/>
  <c r="Z48" i="1"/>
  <c r="X58" i="1"/>
  <c r="X57" i="1"/>
  <c r="X56" i="1"/>
  <c r="X55" i="1"/>
  <c r="X49" i="1"/>
  <c r="X48" i="1"/>
  <c r="T59" i="1"/>
  <c r="T60" i="1" s="1"/>
  <c r="P48" i="1"/>
  <c r="AO59" i="1"/>
  <c r="AO60" i="1" s="1"/>
  <c r="AM59" i="1"/>
  <c r="AM60" i="1" s="1"/>
  <c r="AK59" i="1"/>
  <c r="AK60" i="1" s="1"/>
  <c r="AJ59" i="1"/>
  <c r="AJ60" i="1" s="1"/>
  <c r="AG59" i="1"/>
  <c r="AG60" i="1" s="1"/>
  <c r="AE59" i="1"/>
  <c r="AE60" i="1" s="1"/>
  <c r="AD59" i="1"/>
  <c r="AD60" i="1" s="1"/>
  <c r="AC59" i="1"/>
  <c r="AC60" i="1" s="1"/>
  <c r="AB59" i="1"/>
  <c r="AB60" i="1" s="1"/>
  <c r="Y59" i="1"/>
  <c r="Y60" i="1" s="1"/>
  <c r="W59" i="1"/>
  <c r="W60" i="1" s="1"/>
  <c r="V59" i="1"/>
  <c r="V60" i="1" s="1"/>
  <c r="O59" i="1"/>
  <c r="O60" i="1" s="1"/>
  <c r="N59" i="1"/>
  <c r="N60" i="1" s="1"/>
  <c r="M59" i="1"/>
  <c r="M60" i="1" s="1"/>
  <c r="R58" i="1"/>
  <c r="R57" i="1"/>
  <c r="R56" i="1"/>
  <c r="R55" i="1"/>
  <c r="R49" i="1"/>
  <c r="R48" i="1"/>
  <c r="P58" i="1"/>
  <c r="P57" i="1"/>
  <c r="P56" i="1"/>
  <c r="P55" i="1"/>
  <c r="P49" i="1"/>
  <c r="C58" i="1"/>
  <c r="C57" i="1"/>
  <c r="C56" i="1"/>
  <c r="C55" i="1"/>
  <c r="C49" i="1"/>
  <c r="BO59" i="1" l="1"/>
  <c r="BI131" i="1"/>
  <c r="Z59" i="1"/>
  <c r="AF59" i="1"/>
  <c r="AV59" i="1"/>
  <c r="AN59" i="1"/>
  <c r="X59" i="1"/>
  <c r="CW59" i="1"/>
  <c r="AP59" i="1"/>
  <c r="BD59" i="1"/>
  <c r="DC59" i="1"/>
  <c r="CM59" i="1"/>
  <c r="CU59" i="1"/>
  <c r="BL59" i="1"/>
  <c r="BJ131" i="1" s="1"/>
  <c r="BN59" i="1"/>
  <c r="P59" i="1"/>
  <c r="AH59" i="1"/>
  <c r="BW59" i="1"/>
  <c r="AX59" i="1"/>
  <c r="BF59" i="1"/>
  <c r="CD59" i="1"/>
  <c r="DE59" i="1"/>
  <c r="CO59" i="1"/>
  <c r="CF59" i="1"/>
  <c r="BU59" i="1"/>
  <c r="C59" i="1"/>
  <c r="C60" i="1" s="1"/>
  <c r="C71" i="1" l="1"/>
  <c r="C70" i="1"/>
  <c r="C69" i="1"/>
  <c r="C68" i="1"/>
  <c r="C62" i="1"/>
  <c r="DE71" i="1"/>
  <c r="DC71" i="1"/>
  <c r="DE70" i="1"/>
  <c r="DC70" i="1"/>
  <c r="DE69" i="1"/>
  <c r="DC69" i="1"/>
  <c r="DE62" i="1"/>
  <c r="DC62" i="1"/>
  <c r="DE61" i="1"/>
  <c r="DC61" i="1"/>
  <c r="CW71" i="1"/>
  <c r="CU71" i="1"/>
  <c r="CW70" i="1"/>
  <c r="CU70" i="1"/>
  <c r="CW69" i="1"/>
  <c r="CU69" i="1"/>
  <c r="CW62" i="1"/>
  <c r="CU62" i="1"/>
  <c r="CW61" i="1"/>
  <c r="CU61" i="1"/>
  <c r="CO71" i="1"/>
  <c r="CM71" i="1"/>
  <c r="CO70" i="1"/>
  <c r="CM70" i="1"/>
  <c r="CO69" i="1"/>
  <c r="CM69" i="1"/>
  <c r="CO62" i="1"/>
  <c r="CM62" i="1"/>
  <c r="CO61" i="1"/>
  <c r="CM61" i="1"/>
  <c r="CE72" i="1"/>
  <c r="CE73" i="1" s="1"/>
  <c r="CE127" i="1" s="1"/>
  <c r="CF71" i="1"/>
  <c r="CF70" i="1"/>
  <c r="CF69" i="1"/>
  <c r="CF68" i="1"/>
  <c r="DD72" i="1" s="1"/>
  <c r="DD73" i="1" s="1"/>
  <c r="CF62" i="1"/>
  <c r="CF61" i="1"/>
  <c r="CD61" i="1"/>
  <c r="BV72" i="1"/>
  <c r="BV73" i="1" s="1"/>
  <c r="BW71" i="1"/>
  <c r="BU71" i="1"/>
  <c r="BW70" i="1"/>
  <c r="BU70" i="1"/>
  <c r="BW69" i="1"/>
  <c r="BU69" i="1"/>
  <c r="BW68" i="1"/>
  <c r="BU68" i="1"/>
  <c r="BW62" i="1"/>
  <c r="BU62" i="1"/>
  <c r="BW61" i="1"/>
  <c r="BU61" i="1"/>
  <c r="BN70" i="1"/>
  <c r="BN62" i="1"/>
  <c r="BN61" i="1"/>
  <c r="BL71" i="1"/>
  <c r="BL70" i="1"/>
  <c r="BL62" i="1"/>
  <c r="BL61" i="1"/>
  <c r="DB72" i="1"/>
  <c r="DB73" i="1" s="1"/>
  <c r="DA72" i="1"/>
  <c r="DA73" i="1" s="1"/>
  <c r="CY72" i="1"/>
  <c r="CY73" i="1" s="1"/>
  <c r="CT72" i="1"/>
  <c r="CT73" i="1" s="1"/>
  <c r="CS72" i="1"/>
  <c r="CS73" i="1" s="1"/>
  <c r="CQ72" i="1"/>
  <c r="CQ73" i="1" s="1"/>
  <c r="CL72" i="1"/>
  <c r="CL73" i="1" s="1"/>
  <c r="CK72" i="1"/>
  <c r="CK73" i="1" s="1"/>
  <c r="CI72" i="1"/>
  <c r="CI73" i="1" s="1"/>
  <c r="CC73" i="1"/>
  <c r="CB72" i="1"/>
  <c r="CB73" i="1" s="1"/>
  <c r="BZ72" i="1"/>
  <c r="BT73" i="1"/>
  <c r="BX72" i="1" s="1"/>
  <c r="BS72" i="1"/>
  <c r="BS73" i="1" s="1"/>
  <c r="BQ72" i="1"/>
  <c r="BQ73" i="1" s="1"/>
  <c r="BM72" i="1"/>
  <c r="BK72" i="1"/>
  <c r="BJ72" i="1"/>
  <c r="BJ73" i="1" s="1"/>
  <c r="BH132" i="1" s="1"/>
  <c r="BB69" i="1"/>
  <c r="BB71" i="1"/>
  <c r="BB70" i="1"/>
  <c r="BB68" i="1"/>
  <c r="BB62" i="1"/>
  <c r="BB61" i="1"/>
  <c r="BF71" i="1"/>
  <c r="BF70" i="1"/>
  <c r="BF69" i="1"/>
  <c r="BF68" i="1"/>
  <c r="BF62" i="1"/>
  <c r="BF61" i="1"/>
  <c r="BD71" i="1"/>
  <c r="BD70" i="1"/>
  <c r="BD69" i="1"/>
  <c r="BD68" i="1"/>
  <c r="BD62" i="1"/>
  <c r="BD61" i="1"/>
  <c r="BE72" i="1"/>
  <c r="BE73" i="1" s="1"/>
  <c r="BC72" i="1"/>
  <c r="BC73" i="1" s="1"/>
  <c r="AZ72" i="1"/>
  <c r="AZ73" i="1" s="1"/>
  <c r="AS71" i="1"/>
  <c r="AV71" i="1" s="1"/>
  <c r="AS70" i="1"/>
  <c r="AV70" i="1" s="1"/>
  <c r="AS69" i="1"/>
  <c r="AV69" i="1" s="1"/>
  <c r="AS68" i="1"/>
  <c r="AV68" i="1" s="1"/>
  <c r="AS62" i="1"/>
  <c r="AV62" i="1" s="1"/>
  <c r="AS61" i="1"/>
  <c r="AV61" i="1" s="1"/>
  <c r="AX71" i="1"/>
  <c r="AX70" i="1"/>
  <c r="AX69" i="1"/>
  <c r="AX68" i="1"/>
  <c r="AX62" i="1"/>
  <c r="AX61" i="1"/>
  <c r="AW72" i="1"/>
  <c r="AW73" i="1" s="1"/>
  <c r="AU72" i="1"/>
  <c r="AU73" i="1" s="1"/>
  <c r="AT72" i="1"/>
  <c r="AT73" i="1" s="1"/>
  <c r="AR72" i="1"/>
  <c r="AR73" i="1" s="1"/>
  <c r="AK70" i="1"/>
  <c r="AN70" i="1" s="1"/>
  <c r="AK71" i="1"/>
  <c r="AN71" i="1" s="1"/>
  <c r="AK61" i="1"/>
  <c r="AN61" i="1" s="1"/>
  <c r="AK62" i="1"/>
  <c r="AN62" i="1" s="1"/>
  <c r="AK68" i="1"/>
  <c r="AN68" i="1" s="1"/>
  <c r="AK69" i="1"/>
  <c r="AN69" i="1" s="1"/>
  <c r="AO72" i="1"/>
  <c r="AO73" i="1" s="1"/>
  <c r="AM72" i="1"/>
  <c r="AM73" i="1" s="1"/>
  <c r="AL72" i="1"/>
  <c r="AL73" i="1" s="1"/>
  <c r="AJ72" i="1"/>
  <c r="AJ73" i="1" s="1"/>
  <c r="AP71" i="1"/>
  <c r="AP70" i="1"/>
  <c r="AP69" i="1"/>
  <c r="AP68" i="1"/>
  <c r="AP62" i="1"/>
  <c r="AP61" i="1"/>
  <c r="AE71" i="1"/>
  <c r="AD71" i="1"/>
  <c r="AE70" i="1"/>
  <c r="AD70" i="1"/>
  <c r="AG72" i="1"/>
  <c r="AG73" i="1" s="1"/>
  <c r="AC72" i="1"/>
  <c r="AC73" i="1" s="1"/>
  <c r="AB72" i="1"/>
  <c r="AB73" i="1" s="1"/>
  <c r="AH62" i="1"/>
  <c r="AH71" i="1"/>
  <c r="AH70" i="1"/>
  <c r="AH69" i="1"/>
  <c r="AH68" i="1"/>
  <c r="AH61" i="1"/>
  <c r="AD69" i="1"/>
  <c r="AE69" i="1"/>
  <c r="AF69" i="1"/>
  <c r="AF62" i="1"/>
  <c r="AF61" i="1"/>
  <c r="AF71" i="1"/>
  <c r="AF70" i="1"/>
  <c r="AF68" i="1"/>
  <c r="AE62" i="1"/>
  <c r="AD62" i="1"/>
  <c r="X70" i="1"/>
  <c r="Y72" i="1"/>
  <c r="Y73" i="1" s="1"/>
  <c r="V72" i="1"/>
  <c r="V73" i="1" s="1"/>
  <c r="T72" i="1"/>
  <c r="T73" i="1" s="1"/>
  <c r="U68" i="1"/>
  <c r="U72" i="1" s="1"/>
  <c r="U73" i="1" s="1"/>
  <c r="X62" i="1"/>
  <c r="X61" i="1"/>
  <c r="X71" i="1"/>
  <c r="X69" i="1"/>
  <c r="R61" i="1"/>
  <c r="W69" i="1"/>
  <c r="W72" i="1" s="1"/>
  <c r="W73" i="1" s="1"/>
  <c r="Z61" i="1"/>
  <c r="Z71" i="1"/>
  <c r="Z70" i="1"/>
  <c r="Z69" i="1"/>
  <c r="Z68" i="1"/>
  <c r="Z62" i="1"/>
  <c r="P71" i="1"/>
  <c r="P70" i="1"/>
  <c r="P69" i="1"/>
  <c r="P68" i="1"/>
  <c r="P62" i="1"/>
  <c r="P61" i="1"/>
  <c r="R70" i="1"/>
  <c r="R69" i="1"/>
  <c r="R68" i="1"/>
  <c r="R62" i="1"/>
  <c r="R71" i="1"/>
  <c r="CN72" i="1" l="1"/>
  <c r="CN73" i="1" s="1"/>
  <c r="CV72" i="1"/>
  <c r="CV73" i="1" s="1"/>
  <c r="BZ73" i="1"/>
  <c r="CA72" i="1"/>
  <c r="CA73" i="1" s="1"/>
  <c r="BM73" i="1"/>
  <c r="H71" i="1"/>
  <c r="BN71" i="1"/>
  <c r="BK73" i="1"/>
  <c r="BL72" i="1"/>
  <c r="BJ132" i="1" s="1"/>
  <c r="CD72" i="1"/>
  <c r="BI72" i="1"/>
  <c r="BI73" i="1" s="1"/>
  <c r="BG132" i="1" s="1"/>
  <c r="AS72" i="1"/>
  <c r="AS73" i="1" s="1"/>
  <c r="BW72" i="1"/>
  <c r="X72" i="1"/>
  <c r="DC72" i="1"/>
  <c r="AN72" i="1"/>
  <c r="BR72" i="1"/>
  <c r="BR73" i="1" s="1"/>
  <c r="BN72" i="1"/>
  <c r="CW72" i="1"/>
  <c r="X68" i="1"/>
  <c r="CR72" i="1"/>
  <c r="CR73" i="1" s="1"/>
  <c r="Z72" i="1"/>
  <c r="BU72" i="1"/>
  <c r="CF72" i="1"/>
  <c r="AE72" i="1"/>
  <c r="CU72" i="1"/>
  <c r="DE72" i="1"/>
  <c r="AD72" i="1"/>
  <c r="AD73" i="1" s="1"/>
  <c r="CJ72" i="1"/>
  <c r="CJ73" i="1" s="1"/>
  <c r="CM72" i="1"/>
  <c r="C72" i="1"/>
  <c r="CZ72" i="1"/>
  <c r="CZ73" i="1" s="1"/>
  <c r="BD72" i="1"/>
  <c r="BB72" i="1"/>
  <c r="AH72" i="1"/>
  <c r="AV72" i="1"/>
  <c r="AP72" i="1"/>
  <c r="AX72" i="1"/>
  <c r="BF72" i="1"/>
  <c r="AK72" i="1"/>
  <c r="AK73" i="1" s="1"/>
  <c r="CO72" i="1" l="1"/>
  <c r="C73" i="1"/>
  <c r="BO72" i="1"/>
  <c r="BI132" i="1"/>
  <c r="BA72" i="1"/>
  <c r="BA73" i="1" s="1"/>
  <c r="BB73" i="1"/>
  <c r="AF72" i="1"/>
  <c r="AE73" i="1"/>
  <c r="H32" i="1"/>
  <c r="H33" i="1"/>
  <c r="H44" i="1"/>
  <c r="H45" i="1"/>
  <c r="I45" i="1" s="1"/>
  <c r="H46" i="1" l="1"/>
  <c r="H47" i="1" s="1"/>
  <c r="R14" i="1"/>
  <c r="R16" i="1"/>
  <c r="R15" i="1"/>
  <c r="R13" i="1"/>
  <c r="R7" i="1"/>
  <c r="R6" i="1"/>
  <c r="R17" i="1" s="1"/>
  <c r="P16" i="1"/>
  <c r="P15" i="1"/>
  <c r="P14" i="1"/>
  <c r="P13" i="1"/>
  <c r="P7" i="1"/>
  <c r="D109" i="1"/>
  <c r="E109" i="1"/>
  <c r="F109" i="1"/>
  <c r="J109" i="1" s="1"/>
  <c r="H109" i="1"/>
  <c r="I109" i="1" s="1"/>
  <c r="C29" i="1"/>
  <c r="D29" i="1"/>
  <c r="E29" i="1"/>
  <c r="F29" i="1"/>
  <c r="J29" i="1" s="1"/>
  <c r="H29" i="1"/>
  <c r="G6" i="1" l="1"/>
  <c r="I13" i="1"/>
  <c r="G7" i="1"/>
  <c r="G29" i="1"/>
  <c r="I29" i="1"/>
  <c r="G109" i="1"/>
  <c r="AK46" i="1" l="1"/>
  <c r="AK47" i="1" s="1"/>
  <c r="AJ46" i="1"/>
  <c r="AJ47" i="1" s="1"/>
  <c r="R33" i="1"/>
  <c r="R42" i="1"/>
  <c r="R43" i="1"/>
  <c r="R44" i="1"/>
  <c r="R45" i="1"/>
  <c r="P33" i="1"/>
  <c r="P42" i="1"/>
  <c r="P43" i="1"/>
  <c r="P44" i="1"/>
  <c r="P45" i="1"/>
  <c r="Q72" i="1"/>
  <c r="O72" i="1"/>
  <c r="O73" i="1" s="1"/>
  <c r="N72" i="1"/>
  <c r="N73" i="1" s="1"/>
  <c r="M72" i="1"/>
  <c r="M73" i="1" s="1"/>
  <c r="L72" i="1"/>
  <c r="L73" i="1" s="1"/>
  <c r="L85" i="1"/>
  <c r="L86" i="1" s="1"/>
  <c r="Q112" i="1"/>
  <c r="Q59" i="1"/>
  <c r="Q125" i="1"/>
  <c r="Q30" i="1"/>
  <c r="N30" i="1"/>
  <c r="N31" i="1" s="1"/>
  <c r="AM85" i="1"/>
  <c r="AM86" i="1" s="1"/>
  <c r="AL85" i="1"/>
  <c r="AL86" i="1" s="1"/>
  <c r="AK85" i="1"/>
  <c r="AM112" i="1"/>
  <c r="AM113" i="1" s="1"/>
  <c r="AL112" i="1"/>
  <c r="AL113" i="1" s="1"/>
  <c r="AM125" i="1"/>
  <c r="AM126" i="1" s="1"/>
  <c r="AL125" i="1"/>
  <c r="AL126" i="1" s="1"/>
  <c r="AK125" i="1"/>
  <c r="AK126" i="1" s="1"/>
  <c r="AJ125" i="1"/>
  <c r="AO17" i="1"/>
  <c r="AO18" i="1" s="1"/>
  <c r="AM17" i="1"/>
  <c r="AM18" i="1" s="1"/>
  <c r="AK17" i="1"/>
  <c r="AK18" i="1" s="1"/>
  <c r="AJ17" i="1"/>
  <c r="AJ18" i="1" s="1"/>
  <c r="D62" i="1"/>
  <c r="F71" i="1"/>
  <c r="J71" i="1" s="1"/>
  <c r="E71" i="1"/>
  <c r="D71" i="1"/>
  <c r="H70" i="1"/>
  <c r="F70" i="1"/>
  <c r="J70" i="1" s="1"/>
  <c r="E70" i="1"/>
  <c r="D70" i="1"/>
  <c r="H69" i="1"/>
  <c r="F69" i="1"/>
  <c r="J69" i="1" s="1"/>
  <c r="E69" i="1"/>
  <c r="D69" i="1"/>
  <c r="H68" i="1"/>
  <c r="J68" i="1"/>
  <c r="E68" i="1"/>
  <c r="D68" i="1"/>
  <c r="G68" i="1" s="1"/>
  <c r="H62" i="1"/>
  <c r="F62" i="1"/>
  <c r="J62" i="1" s="1"/>
  <c r="E62" i="1"/>
  <c r="H61" i="1"/>
  <c r="F61" i="1"/>
  <c r="E61" i="1"/>
  <c r="D61" i="1"/>
  <c r="E98" i="1"/>
  <c r="D98" i="1"/>
  <c r="F97" i="1"/>
  <c r="J97" i="1" s="1"/>
  <c r="E97" i="1"/>
  <c r="D97" i="1"/>
  <c r="H96" i="1"/>
  <c r="F96" i="1"/>
  <c r="J96" i="1" s="1"/>
  <c r="E96" i="1"/>
  <c r="D96" i="1"/>
  <c r="H95" i="1"/>
  <c r="F95" i="1"/>
  <c r="J95" i="1" s="1"/>
  <c r="E95" i="1"/>
  <c r="D95" i="1"/>
  <c r="H88" i="1"/>
  <c r="F88" i="1"/>
  <c r="J88" i="1" s="1"/>
  <c r="E88" i="1"/>
  <c r="D88" i="1"/>
  <c r="H87" i="1"/>
  <c r="F87" i="1"/>
  <c r="E87" i="1"/>
  <c r="D87" i="1"/>
  <c r="F84" i="1"/>
  <c r="J84" i="1" s="1"/>
  <c r="E84" i="1"/>
  <c r="D84" i="1"/>
  <c r="C84" i="1"/>
  <c r="H83" i="1"/>
  <c r="F83" i="1"/>
  <c r="J83" i="1" s="1"/>
  <c r="E83" i="1"/>
  <c r="D83" i="1"/>
  <c r="C83" i="1"/>
  <c r="H82" i="1"/>
  <c r="F82" i="1"/>
  <c r="J82" i="1" s="1"/>
  <c r="E82" i="1"/>
  <c r="D82" i="1"/>
  <c r="C82" i="1"/>
  <c r="H81" i="1"/>
  <c r="F81" i="1"/>
  <c r="J81" i="1" s="1"/>
  <c r="E81" i="1"/>
  <c r="D81" i="1"/>
  <c r="C81" i="1"/>
  <c r="H75" i="1"/>
  <c r="F75" i="1"/>
  <c r="E75" i="1"/>
  <c r="D75" i="1"/>
  <c r="C75" i="1"/>
  <c r="H74" i="1"/>
  <c r="E74" i="1"/>
  <c r="D74" i="1"/>
  <c r="C74" i="1"/>
  <c r="H111" i="1"/>
  <c r="F111" i="1"/>
  <c r="J111" i="1" s="1"/>
  <c r="E111" i="1"/>
  <c r="D111" i="1"/>
  <c r="H110" i="1"/>
  <c r="F110" i="1"/>
  <c r="J110" i="1" s="1"/>
  <c r="E110" i="1"/>
  <c r="D110" i="1"/>
  <c r="H108" i="1"/>
  <c r="F108" i="1"/>
  <c r="J108" i="1" s="1"/>
  <c r="E108" i="1"/>
  <c r="D108" i="1"/>
  <c r="H102" i="1"/>
  <c r="F102" i="1"/>
  <c r="J102" i="1" s="1"/>
  <c r="E102" i="1"/>
  <c r="D102" i="1"/>
  <c r="H101" i="1"/>
  <c r="I101" i="1" s="1"/>
  <c r="F101" i="1"/>
  <c r="E101" i="1"/>
  <c r="D101" i="1"/>
  <c r="H58" i="1"/>
  <c r="F58" i="1"/>
  <c r="J58" i="1" s="1"/>
  <c r="E58" i="1"/>
  <c r="D58" i="1"/>
  <c r="H57" i="1"/>
  <c r="F57" i="1"/>
  <c r="J57" i="1" s="1"/>
  <c r="E57" i="1"/>
  <c r="D57" i="1"/>
  <c r="H56" i="1"/>
  <c r="F56" i="1"/>
  <c r="J56" i="1" s="1"/>
  <c r="E56" i="1"/>
  <c r="D56" i="1"/>
  <c r="H55" i="1"/>
  <c r="F55" i="1"/>
  <c r="J55" i="1" s="1"/>
  <c r="E55" i="1"/>
  <c r="D55" i="1"/>
  <c r="H49" i="1"/>
  <c r="F49" i="1"/>
  <c r="J49" i="1" s="1"/>
  <c r="E49" i="1"/>
  <c r="D49" i="1"/>
  <c r="H48" i="1"/>
  <c r="F48" i="1"/>
  <c r="E48" i="1"/>
  <c r="D48" i="1"/>
  <c r="H124" i="1"/>
  <c r="F124" i="1"/>
  <c r="J124" i="1" s="1"/>
  <c r="E124" i="1"/>
  <c r="D124" i="1"/>
  <c r="C124" i="1"/>
  <c r="H123" i="1"/>
  <c r="F123" i="1"/>
  <c r="J123" i="1" s="1"/>
  <c r="E123" i="1"/>
  <c r="D123" i="1"/>
  <c r="C123" i="1"/>
  <c r="H122" i="1"/>
  <c r="F122" i="1"/>
  <c r="J122" i="1" s="1"/>
  <c r="E122" i="1"/>
  <c r="D122" i="1"/>
  <c r="C122" i="1"/>
  <c r="H121" i="1"/>
  <c r="F121" i="1"/>
  <c r="J121" i="1" s="1"/>
  <c r="E121" i="1"/>
  <c r="D121" i="1"/>
  <c r="C121" i="1"/>
  <c r="H115" i="1"/>
  <c r="F115" i="1"/>
  <c r="J115" i="1" s="1"/>
  <c r="E115" i="1"/>
  <c r="D115" i="1"/>
  <c r="C115" i="1"/>
  <c r="H114" i="1"/>
  <c r="F114" i="1"/>
  <c r="E114" i="1"/>
  <c r="D114" i="1"/>
  <c r="H28" i="1"/>
  <c r="F28" i="1"/>
  <c r="J28" i="1" s="1"/>
  <c r="E28" i="1"/>
  <c r="D28" i="1"/>
  <c r="C28" i="1"/>
  <c r="H27" i="1"/>
  <c r="F27" i="1"/>
  <c r="J27" i="1" s="1"/>
  <c r="E27" i="1"/>
  <c r="D27" i="1"/>
  <c r="C27" i="1"/>
  <c r="H26" i="1"/>
  <c r="F26" i="1"/>
  <c r="J26" i="1" s="1"/>
  <c r="E26" i="1"/>
  <c r="D26" i="1"/>
  <c r="C26" i="1"/>
  <c r="H20" i="1"/>
  <c r="F20" i="1"/>
  <c r="J20" i="1" s="1"/>
  <c r="E20" i="1"/>
  <c r="D20" i="1"/>
  <c r="C20" i="1"/>
  <c r="H19" i="1"/>
  <c r="F19" i="1"/>
  <c r="J19" i="1" s="1"/>
  <c r="E19" i="1"/>
  <c r="D19" i="1"/>
  <c r="G14" i="1"/>
  <c r="E32" i="1"/>
  <c r="E33" i="1"/>
  <c r="E42" i="1"/>
  <c r="E43" i="1"/>
  <c r="E44" i="1"/>
  <c r="E45" i="1"/>
  <c r="E46" i="1" l="1"/>
  <c r="E47" i="1" s="1"/>
  <c r="J48" i="1"/>
  <c r="J60" i="1" s="1"/>
  <c r="Q60" i="1" s="1"/>
  <c r="F59" i="1"/>
  <c r="F60" i="1" s="1"/>
  <c r="J101" i="1"/>
  <c r="J113" i="1" s="1"/>
  <c r="Q113" i="1" s="1"/>
  <c r="F112" i="1"/>
  <c r="F113" i="1" s="1"/>
  <c r="J87" i="1"/>
  <c r="J100" i="1" s="1"/>
  <c r="Q100" i="1" s="1"/>
  <c r="F99" i="1"/>
  <c r="F100" i="1" s="1"/>
  <c r="J75" i="1"/>
  <c r="J86" i="1" s="1"/>
  <c r="Q86" i="1" s="1"/>
  <c r="F85" i="1"/>
  <c r="F86" i="1" s="1"/>
  <c r="J114" i="1"/>
  <c r="J126" i="1" s="1"/>
  <c r="Q126" i="1" s="1"/>
  <c r="F125" i="1"/>
  <c r="F126" i="1" s="1"/>
  <c r="J61" i="1"/>
  <c r="J73" i="1" s="1"/>
  <c r="F72" i="1"/>
  <c r="F73" i="1" s="1"/>
  <c r="AP125" i="1"/>
  <c r="AJ126" i="1"/>
  <c r="R30" i="1"/>
  <c r="Q31" i="1"/>
  <c r="R125" i="1"/>
  <c r="R59" i="1"/>
  <c r="R112" i="1"/>
  <c r="AN85" i="1"/>
  <c r="AK86" i="1"/>
  <c r="J18" i="1"/>
  <c r="AN125" i="1"/>
  <c r="I111" i="1"/>
  <c r="E112" i="1"/>
  <c r="E113" i="1" s="1"/>
  <c r="I110" i="1"/>
  <c r="G101" i="1"/>
  <c r="D112" i="1"/>
  <c r="D113" i="1" s="1"/>
  <c r="I108" i="1"/>
  <c r="H112" i="1"/>
  <c r="H113" i="1" s="1"/>
  <c r="I102" i="1"/>
  <c r="H17" i="1"/>
  <c r="H18" i="1" s="1"/>
  <c r="E30" i="1"/>
  <c r="E31" i="1" s="1"/>
  <c r="C30" i="1"/>
  <c r="C31" i="1" s="1"/>
  <c r="I16" i="1"/>
  <c r="G19" i="1"/>
  <c r="D30" i="1"/>
  <c r="D31" i="1" s="1"/>
  <c r="D17" i="1"/>
  <c r="D18" i="1" s="1"/>
  <c r="E17" i="1"/>
  <c r="E18" i="1" s="1"/>
  <c r="G15" i="1"/>
  <c r="I15" i="1"/>
  <c r="I14" i="1"/>
  <c r="F17" i="1"/>
  <c r="G16" i="1"/>
  <c r="C17" i="1"/>
  <c r="R85" i="1"/>
  <c r="P85" i="1"/>
  <c r="E85" i="1"/>
  <c r="E86" i="1" s="1"/>
  <c r="I74" i="1"/>
  <c r="I84" i="1"/>
  <c r="C85" i="1"/>
  <c r="C86" i="1" s="1"/>
  <c r="G74" i="1"/>
  <c r="D85" i="1"/>
  <c r="D86" i="1" s="1"/>
  <c r="H85" i="1"/>
  <c r="H86" i="1" s="1"/>
  <c r="I98" i="1"/>
  <c r="H99" i="1"/>
  <c r="H100" i="1" s="1"/>
  <c r="E99" i="1"/>
  <c r="E100" i="1" s="1"/>
  <c r="D99" i="1"/>
  <c r="D100" i="1" s="1"/>
  <c r="C99" i="1"/>
  <c r="G87" i="1"/>
  <c r="D72" i="1"/>
  <c r="G72" i="1" s="1"/>
  <c r="D59" i="1"/>
  <c r="E59" i="1"/>
  <c r="E60" i="1" s="1"/>
  <c r="H59" i="1"/>
  <c r="H72" i="1"/>
  <c r="I72" i="1" s="1"/>
  <c r="E72" i="1"/>
  <c r="E73" i="1" s="1"/>
  <c r="G114" i="1"/>
  <c r="P72" i="1"/>
  <c r="G71" i="1"/>
  <c r="I71" i="1"/>
  <c r="G57" i="1"/>
  <c r="G75" i="1"/>
  <c r="I87" i="1"/>
  <c r="I58" i="1"/>
  <c r="G97" i="1"/>
  <c r="G123" i="1"/>
  <c r="G115" i="1"/>
  <c r="G61" i="1"/>
  <c r="G70" i="1"/>
  <c r="G27" i="1"/>
  <c r="I68" i="1"/>
  <c r="G95" i="1"/>
  <c r="G55" i="1"/>
  <c r="G102" i="1"/>
  <c r="I96" i="1"/>
  <c r="I57" i="1"/>
  <c r="G28" i="1"/>
  <c r="I32" i="1"/>
  <c r="I28" i="1"/>
  <c r="G124" i="1"/>
  <c r="G121" i="1"/>
  <c r="G110" i="1"/>
  <c r="G82" i="1"/>
  <c r="G98" i="1"/>
  <c r="I75" i="1"/>
  <c r="I121" i="1"/>
  <c r="I26" i="1"/>
  <c r="E125" i="1"/>
  <c r="E126" i="1" s="1"/>
  <c r="I49" i="1"/>
  <c r="I55" i="1"/>
  <c r="G88" i="1"/>
  <c r="G56" i="1"/>
  <c r="I83" i="1"/>
  <c r="AP17" i="1"/>
  <c r="G122" i="1"/>
  <c r="G62" i="1"/>
  <c r="I27" i="1"/>
  <c r="I56" i="1"/>
  <c r="G81" i="1"/>
  <c r="I48" i="1"/>
  <c r="I62" i="1"/>
  <c r="I70" i="1"/>
  <c r="I122" i="1"/>
  <c r="G83" i="1"/>
  <c r="G96" i="1"/>
  <c r="I97" i="1"/>
  <c r="G58" i="1"/>
  <c r="I19" i="1"/>
  <c r="G49" i="1"/>
  <c r="G108" i="1"/>
  <c r="G69" i="1"/>
  <c r="D125" i="1"/>
  <c r="I115" i="1"/>
  <c r="I124" i="1"/>
  <c r="I82" i="1"/>
  <c r="G84" i="1"/>
  <c r="G20" i="1"/>
  <c r="I88" i="1"/>
  <c r="G26" i="1"/>
  <c r="G48" i="1"/>
  <c r="I69" i="1"/>
  <c r="I114" i="1"/>
  <c r="I123" i="1"/>
  <c r="I81" i="1"/>
  <c r="I95" i="1"/>
  <c r="AN17" i="1"/>
  <c r="R72" i="1"/>
  <c r="G111" i="1"/>
  <c r="I20" i="1"/>
  <c r="I61" i="1"/>
  <c r="H125" i="1"/>
  <c r="C125" i="1"/>
  <c r="C126" i="1" s="1"/>
  <c r="F18" i="1" l="1"/>
  <c r="F2" i="1"/>
  <c r="C100" i="1"/>
  <c r="C105" i="1"/>
  <c r="C112" i="1" s="1"/>
  <c r="C113" i="1" s="1"/>
  <c r="H126" i="1"/>
  <c r="I125" i="1"/>
  <c r="J129" i="1"/>
  <c r="D126" i="1"/>
  <c r="G125" i="1"/>
  <c r="C18" i="1"/>
  <c r="J125" i="1"/>
  <c r="J99" i="1"/>
  <c r="J72" i="1"/>
  <c r="E127" i="1"/>
  <c r="J85" i="1"/>
  <c r="Q73" i="1"/>
  <c r="H73" i="1"/>
  <c r="I59" i="1"/>
  <c r="H60" i="1"/>
  <c r="G59" i="1"/>
  <c r="D60" i="1"/>
  <c r="D73" i="1"/>
  <c r="J112" i="1"/>
  <c r="J59" i="1"/>
  <c r="G30" i="1"/>
  <c r="I17" i="1"/>
  <c r="G17" i="1"/>
  <c r="I85" i="1"/>
  <c r="G85" i="1"/>
  <c r="G99" i="1"/>
  <c r="I99" i="1"/>
  <c r="G112" i="1" l="1"/>
  <c r="I112" i="1"/>
  <c r="DD17" i="1"/>
  <c r="DD18" i="1" s="1"/>
  <c r="DB17" i="1"/>
  <c r="DB18" i="1" s="1"/>
  <c r="DA17" i="1"/>
  <c r="DA18" i="1" s="1"/>
  <c r="CZ17" i="1"/>
  <c r="CZ18" i="1" s="1"/>
  <c r="CY17" i="1"/>
  <c r="CY18" i="1" s="1"/>
  <c r="CV17" i="1"/>
  <c r="CV18" i="1" s="1"/>
  <c r="CT17" i="1"/>
  <c r="CT18" i="1" s="1"/>
  <c r="CS17" i="1"/>
  <c r="CS18" i="1" s="1"/>
  <c r="CR17" i="1"/>
  <c r="CR18" i="1" s="1"/>
  <c r="CQ17" i="1"/>
  <c r="CQ18" i="1" s="1"/>
  <c r="CN17" i="1"/>
  <c r="CN18" i="1" s="1"/>
  <c r="CL17" i="1"/>
  <c r="CL18" i="1" s="1"/>
  <c r="CK17" i="1"/>
  <c r="CK18" i="1" s="1"/>
  <c r="CJ17" i="1"/>
  <c r="CJ18" i="1" s="1"/>
  <c r="CI17" i="1"/>
  <c r="CI18" i="1" s="1"/>
  <c r="CC18" i="1"/>
  <c r="CB17" i="1"/>
  <c r="CB18" i="1" s="1"/>
  <c r="CA17" i="1"/>
  <c r="CA18" i="1" s="1"/>
  <c r="BZ17" i="1"/>
  <c r="BV17" i="1"/>
  <c r="BV18" i="1" s="1"/>
  <c r="BT18" i="1"/>
  <c r="BS17" i="1"/>
  <c r="BS18" i="1" s="1"/>
  <c r="BS127" i="1" s="1"/>
  <c r="BR17" i="1"/>
  <c r="BR18" i="1" s="1"/>
  <c r="BQ17" i="1"/>
  <c r="BQ18" i="1" s="1"/>
  <c r="BM17" i="1"/>
  <c r="BM18" i="1" s="1"/>
  <c r="BM127" i="1" s="1"/>
  <c r="BK17" i="1"/>
  <c r="BK18" i="1" s="1"/>
  <c r="BJ17" i="1"/>
  <c r="BJ18" i="1" s="1"/>
  <c r="BI17" i="1"/>
  <c r="BI18" i="1" s="1"/>
  <c r="BH18" i="1"/>
  <c r="BH127" i="1" s="1"/>
  <c r="BE17" i="1"/>
  <c r="BE18" i="1" s="1"/>
  <c r="BC17" i="1"/>
  <c r="BC18" i="1" s="1"/>
  <c r="BB17" i="1"/>
  <c r="BB18" i="1" s="1"/>
  <c r="BA17" i="1"/>
  <c r="BA18" i="1" s="1"/>
  <c r="AZ17" i="1"/>
  <c r="AZ18" i="1" s="1"/>
  <c r="AW17" i="1"/>
  <c r="AW18" i="1" s="1"/>
  <c r="AU17" i="1"/>
  <c r="AU18" i="1" s="1"/>
  <c r="AT17" i="1"/>
  <c r="AT18" i="1" s="1"/>
  <c r="AS17" i="1"/>
  <c r="AS18" i="1" s="1"/>
  <c r="AR17" i="1"/>
  <c r="AG17" i="1"/>
  <c r="AE17" i="1"/>
  <c r="AE18" i="1" s="1"/>
  <c r="AD17" i="1"/>
  <c r="AD18" i="1" s="1"/>
  <c r="AC17" i="1"/>
  <c r="AC18" i="1" s="1"/>
  <c r="W17" i="1"/>
  <c r="W18" i="1" s="1"/>
  <c r="V17" i="1"/>
  <c r="V18" i="1" s="1"/>
  <c r="U17" i="1"/>
  <c r="U18" i="1" s="1"/>
  <c r="T17" i="1"/>
  <c r="Q17" i="1"/>
  <c r="Q18" i="1" s="1"/>
  <c r="O17" i="1"/>
  <c r="O18" i="1" s="1"/>
  <c r="N17" i="1"/>
  <c r="N18" i="1" s="1"/>
  <c r="DE16" i="1"/>
  <c r="DC16" i="1"/>
  <c r="CW16" i="1"/>
  <c r="CU16" i="1"/>
  <c r="CO16" i="1"/>
  <c r="CM16" i="1"/>
  <c r="CF16" i="1"/>
  <c r="CD16" i="1"/>
  <c r="BW16" i="1"/>
  <c r="BU16" i="1"/>
  <c r="BN16" i="1"/>
  <c r="BL16" i="1"/>
  <c r="BF16" i="1"/>
  <c r="BD16" i="1"/>
  <c r="AX16" i="1"/>
  <c r="AV16" i="1"/>
  <c r="AP16" i="1"/>
  <c r="AN16" i="1"/>
  <c r="AF16" i="1"/>
  <c r="Z16" i="1"/>
  <c r="X16" i="1"/>
  <c r="DE15" i="1"/>
  <c r="DC15" i="1"/>
  <c r="CW15" i="1"/>
  <c r="CU15" i="1"/>
  <c r="CO15" i="1"/>
  <c r="CM15" i="1"/>
  <c r="CF15" i="1"/>
  <c r="CD15" i="1"/>
  <c r="BW15" i="1"/>
  <c r="BU15" i="1"/>
  <c r="BN15" i="1"/>
  <c r="BL15" i="1"/>
  <c r="BF15" i="1"/>
  <c r="BD15" i="1"/>
  <c r="AX15" i="1"/>
  <c r="AV15" i="1"/>
  <c r="AP15" i="1"/>
  <c r="AN15" i="1"/>
  <c r="AF15" i="1"/>
  <c r="Z15" i="1"/>
  <c r="X15" i="1"/>
  <c r="DE14" i="1"/>
  <c r="DC14" i="1"/>
  <c r="CW14" i="1"/>
  <c r="CU14" i="1"/>
  <c r="CO14" i="1"/>
  <c r="CM14" i="1"/>
  <c r="CF14" i="1"/>
  <c r="CD14" i="1"/>
  <c r="BW14" i="1"/>
  <c r="BU14" i="1"/>
  <c r="BN14" i="1"/>
  <c r="BF14" i="1"/>
  <c r="BD14" i="1"/>
  <c r="AX14" i="1"/>
  <c r="AV14" i="1"/>
  <c r="AP14" i="1"/>
  <c r="AN14" i="1"/>
  <c r="AF14" i="1"/>
  <c r="Z14" i="1"/>
  <c r="X14" i="1"/>
  <c r="DE13" i="1"/>
  <c r="DC13" i="1"/>
  <c r="CW13" i="1"/>
  <c r="CU13" i="1"/>
  <c r="CO13" i="1"/>
  <c r="CM13" i="1"/>
  <c r="CF13" i="1"/>
  <c r="BW13" i="1"/>
  <c r="BU13" i="1"/>
  <c r="BN13" i="1"/>
  <c r="BF13" i="1"/>
  <c r="BD13" i="1"/>
  <c r="AX13" i="1"/>
  <c r="AV13" i="1"/>
  <c r="AP13" i="1"/>
  <c r="AN13" i="1"/>
  <c r="AH13" i="1"/>
  <c r="AF13" i="1"/>
  <c r="Z13" i="1"/>
  <c r="X13" i="1"/>
  <c r="DE7" i="1"/>
  <c r="DC7" i="1"/>
  <c r="CW7" i="1"/>
  <c r="CU7" i="1"/>
  <c r="CO7" i="1"/>
  <c r="CM7" i="1"/>
  <c r="CF7" i="1"/>
  <c r="CD7" i="1"/>
  <c r="BW7" i="1"/>
  <c r="BU7" i="1"/>
  <c r="BN7" i="1"/>
  <c r="BF7" i="1"/>
  <c r="BD7" i="1"/>
  <c r="AX7" i="1"/>
  <c r="AV7" i="1"/>
  <c r="AP7" i="1"/>
  <c r="AN7" i="1"/>
  <c r="AH7" i="1"/>
  <c r="AF7" i="1"/>
  <c r="Z7" i="1"/>
  <c r="X7" i="1"/>
  <c r="DE6" i="1"/>
  <c r="DC6" i="1"/>
  <c r="CW6" i="1"/>
  <c r="CU6" i="1"/>
  <c r="CO6" i="1"/>
  <c r="CM6" i="1"/>
  <c r="CF6" i="1"/>
  <c r="CD6" i="1"/>
  <c r="BW6" i="1"/>
  <c r="BU6" i="1"/>
  <c r="BN6" i="1"/>
  <c r="BF6" i="1"/>
  <c r="BD6" i="1"/>
  <c r="AX6" i="1"/>
  <c r="AV6" i="1"/>
  <c r="AP6" i="1"/>
  <c r="AH6" i="1"/>
  <c r="Z6" i="1"/>
  <c r="BH128" i="1" l="1"/>
  <c r="BH137" i="1" s="1"/>
  <c r="BJ127" i="1"/>
  <c r="BG128" i="1"/>
  <c r="BG137" i="1" s="1"/>
  <c r="BI127" i="1"/>
  <c r="CG17" i="1"/>
  <c r="BZ18" i="1"/>
  <c r="CD17" i="1"/>
  <c r="BX17" i="1"/>
  <c r="BT127" i="1"/>
  <c r="BO17" i="1"/>
  <c r="BK127" i="1"/>
  <c r="BO134" i="1" s="1"/>
  <c r="BI128" i="1"/>
  <c r="AH16" i="1"/>
  <c r="AG18" i="1"/>
  <c r="X17" i="1"/>
  <c r="T18" i="1"/>
  <c r="AV17" i="1"/>
  <c r="AR18" i="1"/>
  <c r="DC17" i="1"/>
  <c r="BW17" i="1"/>
  <c r="AH17" i="1"/>
  <c r="BU17" i="1"/>
  <c r="CF17" i="1"/>
  <c r="CM17" i="1"/>
  <c r="CW17" i="1"/>
  <c r="AX17" i="1"/>
  <c r="BD17" i="1"/>
  <c r="AF17" i="1"/>
  <c r="Z17" i="1"/>
  <c r="CO17" i="1"/>
  <c r="BL17" i="1"/>
  <c r="BJ128" i="1" s="1"/>
  <c r="BN17" i="1"/>
  <c r="CU17" i="1"/>
  <c r="DE17" i="1"/>
  <c r="BF17" i="1"/>
  <c r="BX134" i="1" l="1"/>
  <c r="DF130" i="1"/>
  <c r="DF131" i="1"/>
  <c r="DF132" i="1"/>
  <c r="DF133" i="1"/>
  <c r="DF128" i="1"/>
  <c r="DF129" i="1"/>
  <c r="DD46" i="1"/>
  <c r="DD47" i="1" s="1"/>
  <c r="DB46" i="1"/>
  <c r="DB47" i="1" s="1"/>
  <c r="DA46" i="1"/>
  <c r="DA47" i="1" s="1"/>
  <c r="CZ46" i="1"/>
  <c r="CZ47" i="1" s="1"/>
  <c r="CY46" i="1"/>
  <c r="CY47" i="1" s="1"/>
  <c r="CV46" i="1"/>
  <c r="CV47" i="1" s="1"/>
  <c r="CT46" i="1"/>
  <c r="CT47" i="1" s="1"/>
  <c r="CS46" i="1"/>
  <c r="CS47" i="1" s="1"/>
  <c r="CR46" i="1"/>
  <c r="CR47" i="1" s="1"/>
  <c r="CQ46" i="1"/>
  <c r="CQ47" i="1" s="1"/>
  <c r="CN46" i="1"/>
  <c r="CN47" i="1" s="1"/>
  <c r="CL46" i="1"/>
  <c r="CL47" i="1" s="1"/>
  <c r="CK46" i="1"/>
  <c r="CK47" i="1" s="1"/>
  <c r="CJ46" i="1"/>
  <c r="CJ47" i="1" s="1"/>
  <c r="CI46" i="1"/>
  <c r="CI47" i="1" s="1"/>
  <c r="CC47" i="1"/>
  <c r="CC127" i="1" s="1"/>
  <c r="CB46" i="1"/>
  <c r="CB47" i="1" s="1"/>
  <c r="CB127" i="1" s="1"/>
  <c r="CA46" i="1"/>
  <c r="CA47" i="1" s="1"/>
  <c r="CA127" i="1" s="1"/>
  <c r="BZ46" i="1"/>
  <c r="BZ47" i="1" s="1"/>
  <c r="BZ127" i="1" s="1"/>
  <c r="BV47" i="1"/>
  <c r="BV127" i="1" s="1"/>
  <c r="BR47" i="1"/>
  <c r="BR127" i="1" s="1"/>
  <c r="BQ47" i="1"/>
  <c r="BQ127" i="1" s="1"/>
  <c r="BE46" i="1"/>
  <c r="BE47" i="1" s="1"/>
  <c r="BC46" i="1"/>
  <c r="BC47" i="1" s="1"/>
  <c r="BB46" i="1"/>
  <c r="BB47" i="1" s="1"/>
  <c r="BA127" i="1" s="1"/>
  <c r="AZ46" i="1"/>
  <c r="AZ47" i="1" s="1"/>
  <c r="AW46" i="1"/>
  <c r="AW47" i="1" s="1"/>
  <c r="AT46" i="1"/>
  <c r="AT47" i="1" s="1"/>
  <c r="AS46" i="1"/>
  <c r="AS47" i="1" s="1"/>
  <c r="AR46" i="1"/>
  <c r="AR47" i="1" s="1"/>
  <c r="AO46" i="1"/>
  <c r="AG46" i="1"/>
  <c r="AG47" i="1" s="1"/>
  <c r="AD46" i="1"/>
  <c r="AD47" i="1" s="1"/>
  <c r="AB46" i="1"/>
  <c r="AB47" i="1" s="1"/>
  <c r="Y46" i="1"/>
  <c r="Y47" i="1" s="1"/>
  <c r="T46" i="1"/>
  <c r="T47" i="1" s="1"/>
  <c r="N46" i="1"/>
  <c r="N47" i="1" s="1"/>
  <c r="M46" i="1"/>
  <c r="M47" i="1" s="1"/>
  <c r="DE45" i="1"/>
  <c r="DC45" i="1"/>
  <c r="CW45" i="1"/>
  <c r="CU45" i="1"/>
  <c r="CO45" i="1"/>
  <c r="CM45" i="1"/>
  <c r="CF45" i="1"/>
  <c r="CD45" i="1"/>
  <c r="BW45" i="1"/>
  <c r="BU45" i="1"/>
  <c r="BN45" i="1"/>
  <c r="BL45" i="1"/>
  <c r="BF45" i="1"/>
  <c r="BD45" i="1"/>
  <c r="AV45" i="1"/>
  <c r="AN45" i="1"/>
  <c r="AH45" i="1"/>
  <c r="AF45" i="1"/>
  <c r="AC45" i="1"/>
  <c r="D45" i="1" s="1"/>
  <c r="G45" i="1" s="1"/>
  <c r="Z45" i="1"/>
  <c r="X45" i="1"/>
  <c r="O45" i="1"/>
  <c r="DE44" i="1"/>
  <c r="DC44" i="1"/>
  <c r="CW44" i="1"/>
  <c r="CU44" i="1"/>
  <c r="CO44" i="1"/>
  <c r="CM44" i="1"/>
  <c r="CF44" i="1"/>
  <c r="CD44" i="1"/>
  <c r="BW44" i="1"/>
  <c r="BU44" i="1"/>
  <c r="BN44" i="1"/>
  <c r="BL44" i="1"/>
  <c r="BF44" i="1"/>
  <c r="BD44" i="1"/>
  <c r="BA44" i="1"/>
  <c r="AV44" i="1"/>
  <c r="AN44" i="1"/>
  <c r="AH44" i="1"/>
  <c r="AF44" i="1"/>
  <c r="AC44" i="1"/>
  <c r="Z44" i="1"/>
  <c r="X44" i="1"/>
  <c r="DE43" i="1"/>
  <c r="DC43" i="1"/>
  <c r="CW43" i="1"/>
  <c r="CU43" i="1"/>
  <c r="CO43" i="1"/>
  <c r="CM43" i="1"/>
  <c r="CF43" i="1"/>
  <c r="BW43" i="1"/>
  <c r="BU43" i="1"/>
  <c r="BN43" i="1"/>
  <c r="BL43" i="1"/>
  <c r="BF43" i="1"/>
  <c r="BD43" i="1"/>
  <c r="AV43" i="1"/>
  <c r="AN43" i="1"/>
  <c r="AH43" i="1"/>
  <c r="AF43" i="1"/>
  <c r="AC43" i="1"/>
  <c r="D43" i="1" s="1"/>
  <c r="G43" i="1" s="1"/>
  <c r="Z43" i="1"/>
  <c r="X43" i="1"/>
  <c r="DE42" i="1"/>
  <c r="DC42" i="1"/>
  <c r="CW42" i="1"/>
  <c r="CU42" i="1"/>
  <c r="CO42" i="1"/>
  <c r="CM42" i="1"/>
  <c r="CF42" i="1"/>
  <c r="CD42" i="1"/>
  <c r="BW42" i="1"/>
  <c r="BU42" i="1"/>
  <c r="BL42" i="1"/>
  <c r="BF42" i="1"/>
  <c r="BD42" i="1"/>
  <c r="AV42" i="1"/>
  <c r="AH42" i="1"/>
  <c r="AF42" i="1"/>
  <c r="AC42" i="1"/>
  <c r="D42" i="1" s="1"/>
  <c r="G42" i="1" s="1"/>
  <c r="Z42" i="1"/>
  <c r="X42" i="1"/>
  <c r="O42" i="1"/>
  <c r="DE33" i="1"/>
  <c r="DC33" i="1"/>
  <c r="CW33" i="1"/>
  <c r="CU33" i="1"/>
  <c r="CO33" i="1"/>
  <c r="CM33" i="1"/>
  <c r="CF33" i="1"/>
  <c r="CD33" i="1"/>
  <c r="BW33" i="1"/>
  <c r="BU33" i="1"/>
  <c r="BN33" i="1"/>
  <c r="BF33" i="1"/>
  <c r="BD33" i="1"/>
  <c r="BA33" i="1"/>
  <c r="AV33" i="1"/>
  <c r="AP33" i="1"/>
  <c r="AN33" i="1"/>
  <c r="AH33" i="1"/>
  <c r="AF33" i="1"/>
  <c r="AC33" i="1"/>
  <c r="Z33" i="1"/>
  <c r="O33" i="1"/>
  <c r="F33" i="1" s="1"/>
  <c r="DE32" i="1"/>
  <c r="DC32" i="1"/>
  <c r="CW32" i="1"/>
  <c r="CU32" i="1"/>
  <c r="CO32" i="1"/>
  <c r="CM32" i="1"/>
  <c r="CF32" i="1"/>
  <c r="CD32" i="1"/>
  <c r="BW32" i="1"/>
  <c r="BU32" i="1"/>
  <c r="BN32" i="1"/>
  <c r="BF32" i="1"/>
  <c r="BD32" i="1"/>
  <c r="AV32" i="1"/>
  <c r="AH32" i="1"/>
  <c r="AF32" i="1"/>
  <c r="AC32" i="1"/>
  <c r="D32" i="1" s="1"/>
  <c r="O32" i="1"/>
  <c r="CG46" i="1" l="1"/>
  <c r="CG134" i="1"/>
  <c r="AP46" i="1"/>
  <c r="AO47" i="1"/>
  <c r="Z46" i="1"/>
  <c r="AX46" i="1"/>
  <c r="F45" i="1"/>
  <c r="J45" i="1" s="1"/>
  <c r="J133" i="1" s="1"/>
  <c r="CU46" i="1"/>
  <c r="D33" i="1"/>
  <c r="G33" i="1" s="1"/>
  <c r="D44" i="1"/>
  <c r="G44" i="1" s="1"/>
  <c r="F44" i="1"/>
  <c r="J44" i="1" s="1"/>
  <c r="J132" i="1" s="1"/>
  <c r="F42" i="1"/>
  <c r="J42" i="1" s="1"/>
  <c r="J130" i="1" s="1"/>
  <c r="F32" i="1"/>
  <c r="G32" i="1"/>
  <c r="F43" i="1"/>
  <c r="J43" i="1" s="1"/>
  <c r="J131" i="1" s="1"/>
  <c r="AU46" i="1"/>
  <c r="R46" i="1"/>
  <c r="I33" i="1"/>
  <c r="CD46" i="1"/>
  <c r="I44" i="1"/>
  <c r="BA46" i="1"/>
  <c r="BA47" i="1" s="1"/>
  <c r="I43" i="1"/>
  <c r="O46" i="1"/>
  <c r="O47" i="1" s="1"/>
  <c r="BF46" i="1"/>
  <c r="CW46" i="1"/>
  <c r="BW46" i="1"/>
  <c r="AH46" i="1"/>
  <c r="AM46" i="1"/>
  <c r="BD46" i="1"/>
  <c r="I42" i="1"/>
  <c r="DE46" i="1"/>
  <c r="CM46" i="1"/>
  <c r="W46" i="1"/>
  <c r="CF46" i="1"/>
  <c r="AC46" i="1"/>
  <c r="AC47" i="1" s="1"/>
  <c r="BN46" i="1"/>
  <c r="DC46" i="1"/>
  <c r="AE46" i="1"/>
  <c r="CO46" i="1"/>
  <c r="F46" i="1" l="1"/>
  <c r="F47" i="1" s="1"/>
  <c r="D46" i="1"/>
  <c r="J32" i="1"/>
  <c r="P46" i="1"/>
  <c r="X46" i="1"/>
  <c r="W47" i="1"/>
  <c r="AF46" i="1"/>
  <c r="AE47" i="1"/>
  <c r="AV46" i="1"/>
  <c r="AU47" i="1"/>
  <c r="AN46" i="1"/>
  <c r="AM47" i="1"/>
  <c r="J17" i="1"/>
  <c r="J47" i="1" l="1"/>
  <c r="J46" i="1" s="1"/>
  <c r="J128" i="1"/>
  <c r="D47" i="1"/>
  <c r="D127" i="1" l="1"/>
  <c r="C47" i="1"/>
  <c r="C127" i="1" s="1"/>
  <c r="G127" i="1" l="1"/>
  <c r="I46" i="1"/>
  <c r="G46" i="1"/>
  <c r="BX125" i="1"/>
  <c r="CG72" i="1"/>
  <c r="F30" i="1"/>
  <c r="F31" i="1" l="1"/>
  <c r="H23" i="1"/>
  <c r="F127" i="1"/>
  <c r="H24" i="1" l="1"/>
  <c r="L129" i="1"/>
  <c r="L130" i="1"/>
  <c r="L128" i="1"/>
  <c r="L133" i="1"/>
  <c r="L132" i="1"/>
  <c r="L131" i="1"/>
  <c r="J134" i="1"/>
  <c r="H25" i="1" l="1"/>
  <c r="H30" i="1" s="1"/>
  <c r="J25" i="1"/>
  <c r="J24" i="1" s="1"/>
  <c r="J31" i="1" s="1"/>
  <c r="J30" i="1" s="1"/>
  <c r="H31" i="1" l="1"/>
  <c r="H127" i="1" s="1"/>
  <c r="I30" i="1"/>
  <c r="I127" i="1" l="1"/>
  <c r="H130" i="1"/>
</calcChain>
</file>

<file path=xl/sharedStrings.xml><?xml version="1.0" encoding="utf-8"?>
<sst xmlns="http://schemas.openxmlformats.org/spreadsheetml/2006/main" count="318" uniqueCount="70">
  <si>
    <t>Monthly Spend &amp; Discount Report</t>
  </si>
  <si>
    <t>ZAR</t>
  </si>
  <si>
    <t>Medium</t>
  </si>
  <si>
    <t>Rate Card</t>
  </si>
  <si>
    <t>Discount</t>
  </si>
  <si>
    <t>After Discount</t>
  </si>
  <si>
    <t>Nett Nett</t>
  </si>
  <si>
    <t>% Disc</t>
  </si>
  <si>
    <t>Added Value</t>
  </si>
  <si>
    <t>AV %</t>
  </si>
  <si>
    <t>Net Net</t>
  </si>
  <si>
    <t>Botswana (BWP)</t>
  </si>
  <si>
    <t>Television</t>
  </si>
  <si>
    <t>Digital</t>
  </si>
  <si>
    <t>Radio</t>
  </si>
  <si>
    <t>Print</t>
  </si>
  <si>
    <t>OOH</t>
  </si>
  <si>
    <t>DOOH</t>
  </si>
  <si>
    <t>GRAND TOTAL</t>
  </si>
  <si>
    <t>TOTAL in ZAR</t>
  </si>
  <si>
    <t>Ghana 
(GHS)</t>
  </si>
  <si>
    <t>Kenya
 (KES)</t>
  </si>
  <si>
    <t>Mauritius 
(MUR)</t>
  </si>
  <si>
    <t>Mozambique 
(MZN)</t>
  </si>
  <si>
    <t>Seychells
(SCR)</t>
  </si>
  <si>
    <t>Tanzania 
(TZS)</t>
  </si>
  <si>
    <t>Uganda 
(UGX)</t>
  </si>
  <si>
    <t>Zambia 
(ZMW)</t>
  </si>
  <si>
    <t>Overall TOTAL Spend (ZAR)</t>
  </si>
  <si>
    <t>Botswana</t>
  </si>
  <si>
    <t>Online Publications</t>
  </si>
  <si>
    <t>Ghana</t>
  </si>
  <si>
    <t>Hub</t>
  </si>
  <si>
    <t>Kenya</t>
  </si>
  <si>
    <t>Mauritius</t>
  </si>
  <si>
    <t>Tanzania</t>
  </si>
  <si>
    <t>Zambia</t>
  </si>
  <si>
    <t>Uganda</t>
  </si>
  <si>
    <t>Seychelles</t>
  </si>
  <si>
    <t>Mozambique</t>
  </si>
  <si>
    <t>META</t>
  </si>
  <si>
    <t>LinkedIn</t>
  </si>
  <si>
    <t>Programmatic Display</t>
  </si>
  <si>
    <t>Programmatic Video</t>
  </si>
  <si>
    <t>0.00</t>
  </si>
  <si>
    <t>Google Display Network</t>
  </si>
  <si>
    <t>Influencer</t>
  </si>
  <si>
    <t>BOT</t>
  </si>
  <si>
    <t>GHA</t>
  </si>
  <si>
    <t>KEN</t>
  </si>
  <si>
    <t>MAU</t>
  </si>
  <si>
    <t>MOZ</t>
  </si>
  <si>
    <t>SEY</t>
  </si>
  <si>
    <t>TAN</t>
  </si>
  <si>
    <t>UGA</t>
  </si>
  <si>
    <t>ZAM</t>
  </si>
  <si>
    <t>Influencers</t>
  </si>
  <si>
    <t>No Spend</t>
  </si>
  <si>
    <t>Jan-Sep 2025</t>
  </si>
  <si>
    <t>X</t>
  </si>
  <si>
    <t>Row Labels</t>
  </si>
  <si>
    <t>Grand Total</t>
  </si>
  <si>
    <t>Search</t>
  </si>
  <si>
    <t>Podcast</t>
  </si>
  <si>
    <t>Sum of Jan</t>
  </si>
  <si>
    <t>Sum of Feb</t>
  </si>
  <si>
    <t>Sum of Mar</t>
  </si>
  <si>
    <t>Sum of Apr</t>
  </si>
  <si>
    <t>Sum of May</t>
  </si>
  <si>
    <t>Sum of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</si>
</sst>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4" formatCode="_-&quot;R&quot;* #,##0.00_-;\-&quot;R&quot;* #,##0.00_-;_-&quot;R&quot;* &quot;-&quot;??_-;_-@_-"/>
    <numFmt numFmtId="43" formatCode="_-* #,##0.00_-;\-* #,##0.00_-;_-* &quot;-&quot;??_-;_-@_-"/>
    <numFmt numFmtId="164" formatCode="&quot;R&quot;#,##0"/>
    <numFmt numFmtId="165" formatCode="[$KES]\ #,##0.00;\-[$KES]\ #,##0.00"/>
    <numFmt numFmtId="166" formatCode="_-[$R-1C09]* #,##0.00_-;\-[$R-1C09]* #,##0.00_-;_-[$R-1C09]* &quot;-&quot;??_-;_-@_-"/>
    <numFmt numFmtId="168" formatCode="[$BWP]\ #,##0.00"/>
    <numFmt numFmtId="169" formatCode="_-[$KES]\ * #,##0.00_-;\-[$KES]\ * #,##0.00_-;_-[$KES]\ * &quot;-&quot;??_-;_-@_-"/>
    <numFmt numFmtId="170" formatCode="[$MUR]\ #,##0.00"/>
    <numFmt numFmtId="171" formatCode="[$GHS]\ #,##0.00"/>
    <numFmt numFmtId="172" formatCode="[$ZMW]\ #,##0.00"/>
    <numFmt numFmtId="173" formatCode="0.0%"/>
    <numFmt numFmtId="174" formatCode="[$UGX]\ #,##0.00"/>
    <numFmt numFmtId="175" formatCode="[$UGX]\ #,##0"/>
    <numFmt numFmtId="176" formatCode="[$SCR]\ #,##0.00"/>
    <numFmt numFmtId="177" formatCode="[$TZS]\ #,##0.00"/>
    <numFmt numFmtId="178" formatCode="[$MZN]\ #,##0.00"/>
    <numFmt numFmtId="179" formatCode="[$SCR]\ #,##0.00;\-[$SCR]\ #,##0.00"/>
    <numFmt numFmtId="180" formatCode="[$MZN]\ #,##0"/>
    <numFmt numFmtId="182" formatCode="[$ZMW]\ #,##0"/>
    <numFmt numFmtId="183" formatCode="[$BWP]\ #,##0"/>
    <numFmt numFmtId="185" formatCode="_-[$GHS]\ * #,##0.00_-;\-[$GHS]\ * #,##0.00_-;_-[$GHS]\ * &quot;-&quot;??_-;_-@_-"/>
    <numFmt numFmtId="186" formatCode="_-[$MUR]\ * #,##0.00_-;\-[$MUR]\ * #,##0.00_-;_-[$MUR]\ * &quot;-&quot;??_-;_-@_-"/>
    <numFmt numFmtId="187" formatCode="_-[$TZS]\ * #,##0.00_-;\-[$TZS]\ * #,##0.00_-;_-[$TZS]\ * &quot;-&quot;??_-;_-@_-"/>
    <numFmt numFmtId="188" formatCode="_-[$UGX]\ * #,##0.00_-;\-[$UGX]\ * #,##0.00_-;_-[$UGX]\ * &quot;-&quot;??_-;_-@_-"/>
    <numFmt numFmtId="189" formatCode="_-[$ZMW]\ * #,##0.00_-;\-[$ZMW]\ * #,##0.00_-;_-[$ZMW]\ * &quot;-&quot;??_-;_-@_-"/>
    <numFmt numFmtId="190" formatCode="_-&quot;R&quot;* #,##0.00000_-;\-&quot;R&quot;* #,##0.00000_-;_-&quot;R&quot;* &quot;-&quot;??_-;_-@_-"/>
  </numFmts>
  <fonts count="16">
    <font>
      <sz val="11"/>
      <color theme="1"/>
      <name val="Source Sans Pro Light"/>
      <family val="2"/>
      <scheme val="minor"/>
    </font>
    <font>
      <sz val="11"/>
      <color theme="1"/>
      <name val="Source Sans Pro Light"/>
      <family val="2"/>
      <scheme val="minor"/>
    </font>
    <font>
      <b/>
      <sz val="14"/>
      <color theme="0"/>
      <name val="Source Sans Pro Light"/>
      <family val="2"/>
      <scheme val="minor"/>
    </font>
    <font>
      <b/>
      <sz val="10"/>
      <color theme="1"/>
      <name val="Source Sans Pro Light"/>
      <family val="2"/>
      <scheme val="minor"/>
    </font>
    <font>
      <b/>
      <sz val="10"/>
      <color theme="0"/>
      <name val="Source Sans Pro Light"/>
      <family val="2"/>
      <scheme val="minor"/>
    </font>
    <font>
      <sz val="10"/>
      <color theme="1"/>
      <name val="Source Sans Pro Light"/>
      <family val="2"/>
      <scheme val="minor"/>
    </font>
    <font>
      <sz val="10"/>
      <name val="Source Sans Pro Light"/>
      <family val="2"/>
      <scheme val="minor"/>
    </font>
    <font>
      <b/>
      <sz val="11"/>
      <color theme="0"/>
      <name val="Source Sans Pro Bold"/>
      <scheme val="major"/>
    </font>
    <font>
      <sz val="11"/>
      <color theme="1"/>
      <name val="Source Sans Pro Bold"/>
      <scheme val="major"/>
    </font>
    <font>
      <b/>
      <sz val="10"/>
      <color theme="0"/>
      <name val="Source Sans Pro Bold"/>
      <scheme val="major"/>
    </font>
    <font>
      <sz val="10"/>
      <color theme="3"/>
      <name val="Source Sans Pro Light"/>
      <family val="2"/>
      <scheme val="minor"/>
    </font>
    <font>
      <b/>
      <sz val="10"/>
      <name val="Source Sans Pro Bold"/>
      <scheme val="major"/>
    </font>
    <font>
      <sz val="12"/>
      <color theme="1"/>
      <name val="Source Sans Pro Bold"/>
      <scheme val="major"/>
    </font>
    <font>
      <b/>
      <sz val="20"/>
      <color theme="2"/>
      <name val="Source Sans Pro Bold"/>
      <scheme val="major"/>
    </font>
    <font>
      <sz val="11"/>
      <color theme="0"/>
      <name val="Source Sans Pro Light"/>
      <family val="2"/>
      <scheme val="minor"/>
    </font>
    <font>
      <b/>
      <sz val="10"/>
      <color theme="0"/>
      <name val="Source Sans Pro Light"/>
      <family val="2"/>
    </font>
  </fonts>
  <fills count="1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rgb="FFC00000"/>
      </patternFill>
    </fill>
    <fill>
      <patternFill patternType="solid">
        <fgColor theme="8"/>
        <bgColor theme="8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1">
    <xf numFmtId="0" fontId="0" fillId="0" borderId="0" xfId="0"/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164" fontId="4" fillId="2" borderId="4" xfId="0" applyNumberFormat="1" applyFont="1" applyFill="1" applyBorder="1" applyAlignment="1">
      <alignment horizontal="center" vertical="center"/>
    </xf>
    <xf numFmtId="9" fontId="4" fillId="2" borderId="4" xfId="2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168" fontId="3" fillId="3" borderId="0" xfId="0" applyNumberFormat="1" applyFont="1" applyFill="1" applyAlignment="1">
      <alignment vertical="center"/>
    </xf>
    <xf numFmtId="0" fontId="5" fillId="3" borderId="0" xfId="0" applyFont="1" applyFill="1" applyAlignment="1">
      <alignment horizontal="left" vertical="center"/>
    </xf>
    <xf numFmtId="0" fontId="8" fillId="0" borderId="0" xfId="0" applyFont="1"/>
    <xf numFmtId="0" fontId="5" fillId="0" borderId="0" xfId="0" applyFont="1" applyAlignment="1">
      <alignment horizontal="left" vertical="center"/>
    </xf>
    <xf numFmtId="173" fontId="0" fillId="0" borderId="0" xfId="0" applyNumberFormat="1" applyAlignment="1">
      <alignment horizontal="center" vertical="center"/>
    </xf>
    <xf numFmtId="173" fontId="4" fillId="2" borderId="4" xfId="2" applyNumberFormat="1" applyFont="1" applyFill="1" applyBorder="1" applyAlignment="1">
      <alignment horizontal="center" vertical="center"/>
    </xf>
    <xf numFmtId="173" fontId="6" fillId="0" borderId="4" xfId="2" applyNumberFormat="1" applyFont="1" applyBorder="1" applyAlignment="1">
      <alignment horizontal="center" vertical="center"/>
    </xf>
    <xf numFmtId="173" fontId="4" fillId="4" borderId="4" xfId="2" applyNumberFormat="1" applyFont="1" applyFill="1" applyBorder="1" applyAlignment="1">
      <alignment horizontal="center" vertical="center"/>
    </xf>
    <xf numFmtId="173" fontId="4" fillId="2" borderId="5" xfId="2" applyNumberFormat="1" applyFont="1" applyFill="1" applyBorder="1" applyAlignment="1">
      <alignment horizontal="center" vertical="center"/>
    </xf>
    <xf numFmtId="173" fontId="6" fillId="0" borderId="5" xfId="2" applyNumberFormat="1" applyFont="1" applyBorder="1" applyAlignment="1">
      <alignment horizontal="center" vertical="center"/>
    </xf>
    <xf numFmtId="170" fontId="3" fillId="3" borderId="0" xfId="0" applyNumberFormat="1" applyFont="1" applyFill="1" applyAlignment="1">
      <alignment vertical="center"/>
    </xf>
    <xf numFmtId="176" fontId="6" fillId="0" borderId="4" xfId="0" applyNumberFormat="1" applyFont="1" applyBorder="1" applyAlignment="1">
      <alignment horizontal="left" vertical="center"/>
    </xf>
    <xf numFmtId="178" fontId="6" fillId="0" borderId="4" xfId="0" applyNumberFormat="1" applyFont="1" applyBorder="1" applyAlignment="1">
      <alignment horizontal="left" vertical="center"/>
    </xf>
    <xf numFmtId="168" fontId="3" fillId="0" borderId="0" xfId="0" applyNumberFormat="1" applyFont="1" applyAlignment="1">
      <alignment vertical="center"/>
    </xf>
    <xf numFmtId="171" fontId="3" fillId="3" borderId="0" xfId="0" applyNumberFormat="1" applyFont="1" applyFill="1" applyAlignment="1">
      <alignment vertical="center"/>
    </xf>
    <xf numFmtId="171" fontId="3" fillId="0" borderId="0" xfId="0" applyNumberFormat="1" applyFont="1" applyAlignment="1">
      <alignment vertical="center"/>
    </xf>
    <xf numFmtId="172" fontId="3" fillId="3" borderId="0" xfId="0" applyNumberFormat="1" applyFont="1" applyFill="1" applyAlignment="1">
      <alignment vertical="center"/>
    </xf>
    <xf numFmtId="172" fontId="3" fillId="0" borderId="0" xfId="0" applyNumberFormat="1" applyFont="1" applyAlignment="1">
      <alignment vertical="center"/>
    </xf>
    <xf numFmtId="170" fontId="3" fillId="0" borderId="0" xfId="0" applyNumberFormat="1" applyFont="1" applyAlignment="1">
      <alignment vertical="center"/>
    </xf>
    <xf numFmtId="174" fontId="3" fillId="3" borderId="0" xfId="0" applyNumberFormat="1" applyFont="1" applyFill="1" applyAlignment="1">
      <alignment vertical="center"/>
    </xf>
    <xf numFmtId="174" fontId="3" fillId="0" borderId="0" xfId="0" applyNumberFormat="1" applyFont="1" applyAlignment="1">
      <alignment vertical="center"/>
    </xf>
    <xf numFmtId="179" fontId="3" fillId="3" borderId="0" xfId="0" applyNumberFormat="1" applyFont="1" applyFill="1" applyAlignment="1">
      <alignment vertical="center"/>
    </xf>
    <xf numFmtId="179" fontId="3" fillId="0" borderId="0" xfId="0" applyNumberFormat="1" applyFont="1" applyAlignment="1">
      <alignment vertical="center"/>
    </xf>
    <xf numFmtId="177" fontId="3" fillId="3" borderId="0" xfId="0" applyNumberFormat="1" applyFont="1" applyFill="1" applyAlignment="1">
      <alignment vertical="center"/>
    </xf>
    <xf numFmtId="177" fontId="3" fillId="0" borderId="0" xfId="0" applyNumberFormat="1" applyFont="1" applyAlignment="1">
      <alignment vertical="center"/>
    </xf>
    <xf numFmtId="177" fontId="6" fillId="0" borderId="4" xfId="0" applyNumberFormat="1" applyFont="1" applyBorder="1" applyAlignment="1">
      <alignment horizontal="left" vertical="center"/>
    </xf>
    <xf numFmtId="178" fontId="3" fillId="3" borderId="0" xfId="0" applyNumberFormat="1" applyFont="1" applyFill="1" applyAlignment="1">
      <alignment vertical="center"/>
    </xf>
    <xf numFmtId="178" fontId="3" fillId="0" borderId="0" xfId="0" applyNumberFormat="1" applyFont="1" applyAlignment="1">
      <alignment vertical="center"/>
    </xf>
    <xf numFmtId="170" fontId="4" fillId="4" borderId="4" xfId="0" applyNumberFormat="1" applyFont="1" applyFill="1" applyBorder="1" applyAlignment="1">
      <alignment horizontal="left" vertical="center"/>
    </xf>
    <xf numFmtId="171" fontId="4" fillId="4" borderId="4" xfId="0" applyNumberFormat="1" applyFont="1" applyFill="1" applyBorder="1" applyAlignment="1">
      <alignment horizontal="left" vertical="center"/>
    </xf>
    <xf numFmtId="168" fontId="4" fillId="4" borderId="4" xfId="0" applyNumberFormat="1" applyFont="1" applyFill="1" applyBorder="1" applyAlignment="1">
      <alignment horizontal="left" vertical="center"/>
    </xf>
    <xf numFmtId="179" fontId="4" fillId="4" borderId="4" xfId="0" applyNumberFormat="1" applyFont="1" applyFill="1" applyBorder="1" applyAlignment="1">
      <alignment horizontal="left" vertical="center"/>
    </xf>
    <xf numFmtId="177" fontId="4" fillId="4" borderId="4" xfId="0" applyNumberFormat="1" applyFont="1" applyFill="1" applyBorder="1" applyAlignment="1">
      <alignment horizontal="left" vertical="center"/>
    </xf>
    <xf numFmtId="174" fontId="9" fillId="4" borderId="4" xfId="0" applyNumberFormat="1" applyFont="1" applyFill="1" applyBorder="1" applyAlignment="1">
      <alignment horizontal="left" vertical="center"/>
    </xf>
    <xf numFmtId="177" fontId="9" fillId="4" borderId="4" xfId="0" applyNumberFormat="1" applyFont="1" applyFill="1" applyBorder="1" applyAlignment="1">
      <alignment horizontal="left" vertical="center"/>
    </xf>
    <xf numFmtId="164" fontId="4" fillId="4" borderId="4" xfId="0" applyNumberFormat="1" applyFont="1" applyFill="1" applyBorder="1" applyAlignment="1">
      <alignment horizontal="center" vertical="center"/>
    </xf>
    <xf numFmtId="9" fontId="4" fillId="4" borderId="4" xfId="2" applyFont="1" applyFill="1" applyBorder="1" applyAlignment="1">
      <alignment horizontal="center" vertical="center"/>
    </xf>
    <xf numFmtId="168" fontId="6" fillId="0" borderId="4" xfId="0" applyNumberFormat="1" applyFont="1" applyBorder="1" applyAlignment="1">
      <alignment horizontal="left" vertical="center"/>
    </xf>
    <xf numFmtId="171" fontId="6" fillId="0" borderId="4" xfId="0" applyNumberFormat="1" applyFont="1" applyBorder="1" applyAlignment="1">
      <alignment horizontal="left" vertical="center"/>
    </xf>
    <xf numFmtId="170" fontId="6" fillId="0" borderId="4" xfId="0" applyNumberFormat="1" applyFont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 wrapText="1"/>
    </xf>
    <xf numFmtId="172" fontId="6" fillId="0" borderId="4" xfId="0" applyNumberFormat="1" applyFont="1" applyBorder="1" applyAlignment="1">
      <alignment horizontal="left" vertical="center"/>
    </xf>
    <xf numFmtId="168" fontId="6" fillId="0" borderId="3" xfId="0" applyNumberFormat="1" applyFont="1" applyBorder="1" applyAlignment="1">
      <alignment horizontal="left" vertical="center"/>
    </xf>
    <xf numFmtId="173" fontId="6" fillId="0" borderId="4" xfId="2" applyNumberFormat="1" applyFont="1" applyFill="1" applyBorder="1" applyAlignment="1">
      <alignment horizontal="center" vertical="center"/>
    </xf>
    <xf numFmtId="173" fontId="6" fillId="0" borderId="5" xfId="2" applyNumberFormat="1" applyFont="1" applyFill="1" applyBorder="1" applyAlignment="1">
      <alignment horizontal="center" vertical="center"/>
    </xf>
    <xf numFmtId="171" fontId="6" fillId="0" borderId="3" xfId="0" applyNumberFormat="1" applyFont="1" applyBorder="1" applyAlignment="1">
      <alignment horizontal="left" vertical="center"/>
    </xf>
    <xf numFmtId="171" fontId="10" fillId="0" borderId="4" xfId="0" applyNumberFormat="1" applyFont="1" applyBorder="1" applyAlignment="1">
      <alignment horizontal="left" vertical="center"/>
    </xf>
    <xf numFmtId="170" fontId="6" fillId="0" borderId="3" xfId="0" applyNumberFormat="1" applyFont="1" applyBorder="1" applyAlignment="1">
      <alignment horizontal="left" vertical="center"/>
    </xf>
    <xf numFmtId="178" fontId="6" fillId="0" borderId="3" xfId="0" applyNumberFormat="1" applyFont="1" applyBorder="1" applyAlignment="1">
      <alignment horizontal="left" vertical="center"/>
    </xf>
    <xf numFmtId="176" fontId="6" fillId="0" borderId="3" xfId="0" applyNumberFormat="1" applyFont="1" applyBorder="1" applyAlignment="1">
      <alignment horizontal="left" vertical="center"/>
    </xf>
    <xf numFmtId="177" fontId="6" fillId="0" borderId="3" xfId="0" applyNumberFormat="1" applyFont="1" applyBorder="1" applyAlignment="1">
      <alignment horizontal="left" vertical="center"/>
    </xf>
    <xf numFmtId="172" fontId="6" fillId="0" borderId="3" xfId="0" applyNumberFormat="1" applyFont="1" applyBorder="1" applyAlignment="1">
      <alignment horizontal="left" vertical="center"/>
    </xf>
    <xf numFmtId="164" fontId="4" fillId="4" borderId="3" xfId="0" applyNumberFormat="1" applyFont="1" applyFill="1" applyBorder="1" applyAlignment="1">
      <alignment horizontal="center" vertical="center"/>
    </xf>
    <xf numFmtId="173" fontId="4" fillId="4" borderId="5" xfId="2" applyNumberFormat="1" applyFont="1" applyFill="1" applyBorder="1" applyAlignment="1">
      <alignment horizontal="center" vertical="center"/>
    </xf>
    <xf numFmtId="178" fontId="10" fillId="0" borderId="4" xfId="0" applyNumberFormat="1" applyFont="1" applyBorder="1" applyAlignment="1">
      <alignment horizontal="left" vertical="center"/>
    </xf>
    <xf numFmtId="178" fontId="10" fillId="0" borderId="4" xfId="1" applyNumberFormat="1" applyFont="1" applyFill="1" applyBorder="1" applyAlignment="1">
      <alignment horizontal="left" vertical="center"/>
    </xf>
    <xf numFmtId="178" fontId="10" fillId="0" borderId="3" xfId="0" applyNumberFormat="1" applyFont="1" applyBorder="1" applyAlignment="1">
      <alignment horizontal="left" vertical="center"/>
    </xf>
    <xf numFmtId="173" fontId="10" fillId="0" borderId="4" xfId="2" applyNumberFormat="1" applyFont="1" applyFill="1" applyBorder="1" applyAlignment="1">
      <alignment horizontal="center" vertical="center"/>
    </xf>
    <xf numFmtId="173" fontId="10" fillId="0" borderId="5" xfId="2" applyNumberFormat="1" applyFont="1" applyFill="1" applyBorder="1" applyAlignment="1">
      <alignment horizontal="center" vertical="center"/>
    </xf>
    <xf numFmtId="168" fontId="4" fillId="2" borderId="3" xfId="0" applyNumberFormat="1" applyFont="1" applyFill="1" applyBorder="1" applyAlignment="1">
      <alignment horizontal="left" vertical="center"/>
    </xf>
    <xf numFmtId="168" fontId="4" fillId="2" borderId="4" xfId="0" applyNumberFormat="1" applyFont="1" applyFill="1" applyBorder="1" applyAlignment="1">
      <alignment horizontal="left" vertical="center"/>
    </xf>
    <xf numFmtId="171" fontId="4" fillId="2" borderId="3" xfId="0" applyNumberFormat="1" applyFont="1" applyFill="1" applyBorder="1" applyAlignment="1">
      <alignment horizontal="left" vertical="center"/>
    </xf>
    <xf numFmtId="171" fontId="4" fillId="2" borderId="4" xfId="0" applyNumberFormat="1" applyFont="1" applyFill="1" applyBorder="1" applyAlignment="1">
      <alignment horizontal="left" vertical="center"/>
    </xf>
    <xf numFmtId="165" fontId="4" fillId="2" borderId="3" xfId="0" applyNumberFormat="1" applyFont="1" applyFill="1" applyBorder="1" applyAlignment="1">
      <alignment horizontal="left" vertical="center"/>
    </xf>
    <xf numFmtId="165" fontId="4" fillId="2" borderId="4" xfId="0" applyNumberFormat="1" applyFont="1" applyFill="1" applyBorder="1" applyAlignment="1">
      <alignment horizontal="left" vertical="center"/>
    </xf>
    <xf numFmtId="170" fontId="4" fillId="2" borderId="3" xfId="0" applyNumberFormat="1" applyFont="1" applyFill="1" applyBorder="1" applyAlignment="1">
      <alignment horizontal="left" vertical="center"/>
    </xf>
    <xf numFmtId="170" fontId="4" fillId="2" borderId="4" xfId="0" applyNumberFormat="1" applyFont="1" applyFill="1" applyBorder="1" applyAlignment="1">
      <alignment horizontal="left" vertical="center"/>
    </xf>
    <xf numFmtId="178" fontId="4" fillId="2" borderId="3" xfId="0" applyNumberFormat="1" applyFont="1" applyFill="1" applyBorder="1" applyAlignment="1">
      <alignment horizontal="left" vertical="center"/>
    </xf>
    <xf numFmtId="178" fontId="4" fillId="2" borderId="4" xfId="0" applyNumberFormat="1" applyFont="1" applyFill="1" applyBorder="1" applyAlignment="1">
      <alignment horizontal="left" vertical="center"/>
    </xf>
    <xf numFmtId="179" fontId="4" fillId="2" borderId="3" xfId="0" applyNumberFormat="1" applyFont="1" applyFill="1" applyBorder="1" applyAlignment="1">
      <alignment horizontal="left" vertical="center"/>
    </xf>
    <xf numFmtId="179" fontId="4" fillId="2" borderId="4" xfId="0" applyNumberFormat="1" applyFont="1" applyFill="1" applyBorder="1" applyAlignment="1">
      <alignment horizontal="left" vertical="center"/>
    </xf>
    <xf numFmtId="177" fontId="4" fillId="2" borderId="3" xfId="0" applyNumberFormat="1" applyFont="1" applyFill="1" applyBorder="1" applyAlignment="1">
      <alignment horizontal="left" vertical="center"/>
    </xf>
    <xf numFmtId="177" fontId="4" fillId="2" borderId="4" xfId="0" applyNumberFormat="1" applyFont="1" applyFill="1" applyBorder="1" applyAlignment="1">
      <alignment horizontal="left" vertical="center"/>
    </xf>
    <xf numFmtId="174" fontId="4" fillId="2" borderId="3" xfId="0" applyNumberFormat="1" applyFont="1" applyFill="1" applyBorder="1" applyAlignment="1">
      <alignment horizontal="left" vertical="center"/>
    </xf>
    <xf numFmtId="174" fontId="4" fillId="2" borderId="4" xfId="0" applyNumberFormat="1" applyFont="1" applyFill="1" applyBorder="1" applyAlignment="1">
      <alignment horizontal="left" vertical="center"/>
    </xf>
    <xf numFmtId="169" fontId="4" fillId="2" borderId="3" xfId="0" applyNumberFormat="1" applyFont="1" applyFill="1" applyBorder="1" applyAlignment="1">
      <alignment horizontal="left" vertical="center"/>
    </xf>
    <xf numFmtId="169" fontId="4" fillId="2" borderId="4" xfId="0" applyNumberFormat="1" applyFont="1" applyFill="1" applyBorder="1" applyAlignment="1">
      <alignment horizontal="left" vertical="center"/>
    </xf>
    <xf numFmtId="175" fontId="4" fillId="2" borderId="3" xfId="0" applyNumberFormat="1" applyFont="1" applyFill="1" applyBorder="1" applyAlignment="1">
      <alignment horizontal="left" vertical="center"/>
    </xf>
    <xf numFmtId="175" fontId="4" fillId="2" borderId="4" xfId="0" applyNumberFormat="1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9" fontId="4" fillId="5" borderId="0" xfId="2" applyFont="1" applyFill="1" applyBorder="1" applyAlignment="1">
      <alignment horizontal="center" vertical="center"/>
    </xf>
    <xf numFmtId="168" fontId="6" fillId="5" borderId="0" xfId="2" applyNumberFormat="1" applyFont="1" applyFill="1" applyBorder="1" applyAlignment="1">
      <alignment horizontal="left" vertical="center"/>
    </xf>
    <xf numFmtId="168" fontId="3" fillId="5" borderId="0" xfId="2" applyNumberFormat="1" applyFont="1" applyFill="1" applyBorder="1" applyAlignment="1">
      <alignment horizontal="left" vertical="center"/>
    </xf>
    <xf numFmtId="171" fontId="6" fillId="5" borderId="0" xfId="2" applyNumberFormat="1" applyFont="1" applyFill="1" applyBorder="1" applyAlignment="1">
      <alignment horizontal="left" vertical="center"/>
    </xf>
    <xf numFmtId="171" fontId="3" fillId="5" borderId="0" xfId="2" applyNumberFormat="1" applyFont="1" applyFill="1" applyBorder="1" applyAlignment="1">
      <alignment horizontal="left" vertical="center"/>
    </xf>
    <xf numFmtId="9" fontId="6" fillId="5" borderId="0" xfId="2" applyFont="1" applyFill="1" applyBorder="1" applyAlignment="1">
      <alignment horizontal="left" vertical="center"/>
    </xf>
    <xf numFmtId="9" fontId="3" fillId="5" borderId="0" xfId="2" applyFont="1" applyFill="1" applyBorder="1" applyAlignment="1">
      <alignment horizontal="left" vertical="center"/>
    </xf>
    <xf numFmtId="170" fontId="6" fillId="5" borderId="0" xfId="2" applyNumberFormat="1" applyFont="1" applyFill="1" applyBorder="1" applyAlignment="1">
      <alignment horizontal="left" vertical="center"/>
    </xf>
    <xf numFmtId="170" fontId="3" fillId="5" borderId="0" xfId="2" applyNumberFormat="1" applyFont="1" applyFill="1" applyBorder="1" applyAlignment="1">
      <alignment horizontal="left" vertical="center"/>
    </xf>
    <xf numFmtId="178" fontId="6" fillId="5" borderId="0" xfId="2" applyNumberFormat="1" applyFont="1" applyFill="1" applyBorder="1" applyAlignment="1">
      <alignment horizontal="left" vertical="center"/>
    </xf>
    <xf numFmtId="178" fontId="3" fillId="5" borderId="0" xfId="2" applyNumberFormat="1" applyFont="1" applyFill="1" applyBorder="1" applyAlignment="1">
      <alignment horizontal="left" vertical="center"/>
    </xf>
    <xf numFmtId="176" fontId="6" fillId="5" borderId="0" xfId="2" applyNumberFormat="1" applyFont="1" applyFill="1" applyBorder="1" applyAlignment="1">
      <alignment horizontal="left" vertical="center"/>
    </xf>
    <xf numFmtId="179" fontId="3" fillId="5" borderId="0" xfId="2" applyNumberFormat="1" applyFont="1" applyFill="1" applyBorder="1" applyAlignment="1">
      <alignment horizontal="left" vertical="center"/>
    </xf>
    <xf numFmtId="177" fontId="6" fillId="5" borderId="0" xfId="2" applyNumberFormat="1" applyFont="1" applyFill="1" applyBorder="1" applyAlignment="1">
      <alignment horizontal="left" vertical="center"/>
    </xf>
    <xf numFmtId="177" fontId="3" fillId="5" borderId="0" xfId="2" applyNumberFormat="1" applyFont="1" applyFill="1" applyBorder="1" applyAlignment="1">
      <alignment horizontal="left" vertical="center"/>
    </xf>
    <xf numFmtId="174" fontId="6" fillId="5" borderId="0" xfId="2" applyNumberFormat="1" applyFont="1" applyFill="1" applyBorder="1" applyAlignment="1">
      <alignment horizontal="left" vertical="center"/>
    </xf>
    <xf numFmtId="174" fontId="3" fillId="5" borderId="0" xfId="2" applyNumberFormat="1" applyFont="1" applyFill="1" applyBorder="1" applyAlignment="1">
      <alignment horizontal="left" vertical="center"/>
    </xf>
    <xf numFmtId="172" fontId="6" fillId="5" borderId="0" xfId="2" applyNumberFormat="1" applyFont="1" applyFill="1" applyBorder="1" applyAlignment="1">
      <alignment horizontal="left" vertical="center"/>
    </xf>
    <xf numFmtId="172" fontId="3" fillId="5" borderId="0" xfId="2" applyNumberFormat="1" applyFont="1" applyFill="1" applyBorder="1" applyAlignment="1">
      <alignment horizontal="left" vertical="center"/>
    </xf>
    <xf numFmtId="170" fontId="10" fillId="0" borderId="4" xfId="1" applyNumberFormat="1" applyFont="1" applyFill="1" applyBorder="1" applyAlignment="1">
      <alignment horizontal="left" vertical="center"/>
    </xf>
    <xf numFmtId="166" fontId="6" fillId="6" borderId="3" xfId="0" applyNumberFormat="1" applyFont="1" applyFill="1" applyBorder="1" applyAlignment="1">
      <alignment horizontal="left" vertical="center"/>
    </xf>
    <xf numFmtId="166" fontId="6" fillId="6" borderId="4" xfId="0" applyNumberFormat="1" applyFont="1" applyFill="1" applyBorder="1" applyAlignment="1">
      <alignment horizontal="left" vertical="center"/>
    </xf>
    <xf numFmtId="173" fontId="6" fillId="6" borderId="4" xfId="2" applyNumberFormat="1" applyFont="1" applyFill="1" applyBorder="1" applyAlignment="1">
      <alignment horizontal="center" vertical="center"/>
    </xf>
    <xf numFmtId="166" fontId="5" fillId="6" borderId="4" xfId="0" applyNumberFormat="1" applyFont="1" applyFill="1" applyBorder="1" applyAlignment="1">
      <alignment horizontal="left" vertical="center"/>
    </xf>
    <xf numFmtId="173" fontId="6" fillId="6" borderId="5" xfId="2" applyNumberFormat="1" applyFont="1" applyFill="1" applyBorder="1" applyAlignment="1">
      <alignment horizontal="center" vertical="center"/>
    </xf>
    <xf numFmtId="177" fontId="6" fillId="6" borderId="3" xfId="0" applyNumberFormat="1" applyFont="1" applyFill="1" applyBorder="1" applyAlignment="1">
      <alignment horizontal="left" vertical="center"/>
    </xf>
    <xf numFmtId="177" fontId="6" fillId="6" borderId="4" xfId="0" applyNumberFormat="1" applyFont="1" applyFill="1" applyBorder="1" applyAlignment="1">
      <alignment horizontal="left" vertical="center"/>
    </xf>
    <xf numFmtId="177" fontId="10" fillId="0" borderId="4" xfId="1" applyNumberFormat="1" applyFont="1" applyFill="1" applyBorder="1" applyAlignment="1">
      <alignment horizontal="left" vertical="center"/>
    </xf>
    <xf numFmtId="177" fontId="5" fillId="6" borderId="4" xfId="0" applyNumberFormat="1" applyFont="1" applyFill="1" applyBorder="1" applyAlignment="1">
      <alignment horizontal="left" vertical="center"/>
    </xf>
    <xf numFmtId="176" fontId="10" fillId="0" borderId="4" xfId="0" applyNumberFormat="1" applyFont="1" applyBorder="1" applyAlignment="1">
      <alignment horizontal="left" vertical="center"/>
    </xf>
    <xf numFmtId="176" fontId="10" fillId="0" borderId="4" xfId="1" applyNumberFormat="1" applyFont="1" applyFill="1" applyBorder="1" applyAlignment="1">
      <alignment horizontal="left" vertical="center"/>
    </xf>
    <xf numFmtId="176" fontId="10" fillId="6" borderId="4" xfId="0" applyNumberFormat="1" applyFont="1" applyFill="1" applyBorder="1" applyAlignment="1">
      <alignment horizontal="left" vertical="center"/>
    </xf>
    <xf numFmtId="173" fontId="10" fillId="6" borderId="4" xfId="2" applyNumberFormat="1" applyFont="1" applyFill="1" applyBorder="1" applyAlignment="1">
      <alignment horizontal="center" vertical="center"/>
    </xf>
    <xf numFmtId="173" fontId="10" fillId="6" borderId="5" xfId="2" applyNumberFormat="1" applyFont="1" applyFill="1" applyBorder="1" applyAlignment="1">
      <alignment horizontal="center" vertical="center"/>
    </xf>
    <xf numFmtId="176" fontId="10" fillId="6" borderId="3" xfId="0" applyNumberFormat="1" applyFont="1" applyFill="1" applyBorder="1" applyAlignment="1">
      <alignment horizontal="left" vertical="center"/>
    </xf>
    <xf numFmtId="180" fontId="0" fillId="0" borderId="0" xfId="0" applyNumberFormat="1"/>
    <xf numFmtId="180" fontId="6" fillId="0" borderId="4" xfId="0" applyNumberFormat="1" applyFont="1" applyBorder="1" applyAlignment="1">
      <alignment horizontal="left" vertical="center"/>
    </xf>
    <xf numFmtId="180" fontId="4" fillId="4" borderId="4" xfId="0" applyNumberFormat="1" applyFont="1" applyFill="1" applyBorder="1" applyAlignment="1">
      <alignment horizontal="left" vertical="center"/>
    </xf>
    <xf numFmtId="173" fontId="0" fillId="0" borderId="0" xfId="2" applyNumberFormat="1" applyFont="1" applyAlignment="1">
      <alignment horizontal="center" vertical="center"/>
    </xf>
    <xf numFmtId="10" fontId="6" fillId="0" borderId="4" xfId="2" applyNumberFormat="1" applyFont="1" applyBorder="1" applyAlignment="1">
      <alignment horizontal="center" vertical="center"/>
    </xf>
    <xf numFmtId="10" fontId="4" fillId="4" borderId="4" xfId="2" applyNumberFormat="1" applyFont="1" applyFill="1" applyBorder="1" applyAlignment="1">
      <alignment horizontal="center" vertical="center"/>
    </xf>
    <xf numFmtId="168" fontId="10" fillId="0" borderId="3" xfId="0" applyNumberFormat="1" applyFont="1" applyBorder="1" applyAlignment="1">
      <alignment horizontal="left" vertical="center"/>
    </xf>
    <xf numFmtId="168" fontId="10" fillId="0" borderId="4" xfId="0" applyNumberFormat="1" applyFont="1" applyBorder="1" applyAlignment="1">
      <alignment horizontal="left" vertical="center"/>
    </xf>
    <xf numFmtId="168" fontId="5" fillId="0" borderId="4" xfId="0" applyNumberFormat="1" applyFont="1" applyBorder="1" applyAlignment="1">
      <alignment horizontal="left" vertical="center"/>
    </xf>
    <xf numFmtId="168" fontId="10" fillId="6" borderId="3" xfId="0" applyNumberFormat="1" applyFont="1" applyFill="1" applyBorder="1" applyAlignment="1">
      <alignment horizontal="left" vertical="center"/>
    </xf>
    <xf numFmtId="168" fontId="10" fillId="6" borderId="4" xfId="0" applyNumberFormat="1" applyFont="1" applyFill="1" applyBorder="1" applyAlignment="1">
      <alignment horizontal="left" vertical="center"/>
    </xf>
    <xf numFmtId="171" fontId="10" fillId="6" borderId="3" xfId="0" applyNumberFormat="1" applyFont="1" applyFill="1" applyBorder="1" applyAlignment="1">
      <alignment horizontal="left" vertical="center"/>
    </xf>
    <xf numFmtId="171" fontId="10" fillId="6" borderId="4" xfId="0" applyNumberFormat="1" applyFont="1" applyFill="1" applyBorder="1" applyAlignment="1">
      <alignment horizontal="left" vertical="center"/>
    </xf>
    <xf numFmtId="171" fontId="10" fillId="0" borderId="3" xfId="0" applyNumberFormat="1" applyFont="1" applyBorder="1" applyAlignment="1">
      <alignment horizontal="left" vertical="center"/>
    </xf>
    <xf numFmtId="172" fontId="10" fillId="0" borderId="4" xfId="0" applyNumberFormat="1" applyFont="1" applyBorder="1" applyAlignment="1">
      <alignment horizontal="left" vertical="center"/>
    </xf>
    <xf numFmtId="174" fontId="10" fillId="0" borderId="3" xfId="0" applyNumberFormat="1" applyFont="1" applyBorder="1" applyAlignment="1">
      <alignment horizontal="left" vertical="center"/>
    </xf>
    <xf numFmtId="174" fontId="10" fillId="0" borderId="4" xfId="0" applyNumberFormat="1" applyFont="1" applyBorder="1" applyAlignment="1">
      <alignment horizontal="left" vertical="center"/>
    </xf>
    <xf numFmtId="172" fontId="10" fillId="0" borderId="3" xfId="0" applyNumberFormat="1" applyFont="1" applyBorder="1" applyAlignment="1">
      <alignment horizontal="left" vertical="center"/>
    </xf>
    <xf numFmtId="175" fontId="10" fillId="0" borderId="3" xfId="0" applyNumberFormat="1" applyFont="1" applyBorder="1" applyAlignment="1">
      <alignment horizontal="left" vertical="center"/>
    </xf>
    <xf numFmtId="175" fontId="10" fillId="0" borderId="4" xfId="0" applyNumberFormat="1" applyFont="1" applyBorder="1" applyAlignment="1">
      <alignment horizontal="left" vertical="center"/>
    </xf>
    <xf numFmtId="175" fontId="10" fillId="0" borderId="4" xfId="1" applyNumberFormat="1" applyFont="1" applyFill="1" applyBorder="1" applyAlignment="1">
      <alignment horizontal="left" vertical="center"/>
    </xf>
    <xf numFmtId="182" fontId="10" fillId="0" borderId="3" xfId="0" applyNumberFormat="1" applyFont="1" applyBorder="1" applyAlignment="1">
      <alignment horizontal="left" vertical="center"/>
    </xf>
    <xf numFmtId="182" fontId="10" fillId="0" borderId="4" xfId="0" applyNumberFormat="1" applyFont="1" applyBorder="1" applyAlignment="1">
      <alignment horizontal="left" vertical="center"/>
    </xf>
    <xf numFmtId="182" fontId="10" fillId="0" borderId="4" xfId="1" applyNumberFormat="1" applyFont="1" applyFill="1" applyBorder="1" applyAlignment="1">
      <alignment horizontal="left" vertical="center"/>
    </xf>
    <xf numFmtId="174" fontId="6" fillId="6" borderId="4" xfId="0" applyNumberFormat="1" applyFont="1" applyFill="1" applyBorder="1" applyAlignment="1">
      <alignment horizontal="left" vertical="center"/>
    </xf>
    <xf numFmtId="174" fontId="5" fillId="6" borderId="4" xfId="0" applyNumberFormat="1" applyFont="1" applyFill="1" applyBorder="1" applyAlignment="1">
      <alignment horizontal="left" vertical="center"/>
    </xf>
    <xf numFmtId="172" fontId="6" fillId="6" borderId="4" xfId="0" applyNumberFormat="1" applyFont="1" applyFill="1" applyBorder="1" applyAlignment="1">
      <alignment horizontal="left" vertical="center"/>
    </xf>
    <xf numFmtId="172" fontId="5" fillId="6" borderId="4" xfId="0" applyNumberFormat="1" applyFont="1" applyFill="1" applyBorder="1" applyAlignment="1">
      <alignment horizontal="left" vertical="center"/>
    </xf>
    <xf numFmtId="174" fontId="6" fillId="6" borderId="3" xfId="0" applyNumberFormat="1" applyFont="1" applyFill="1" applyBorder="1" applyAlignment="1">
      <alignment horizontal="left" vertical="center"/>
    </xf>
    <xf numFmtId="172" fontId="6" fillId="6" borderId="3" xfId="0" applyNumberFormat="1" applyFont="1" applyFill="1" applyBorder="1" applyAlignment="1">
      <alignment horizontal="left" vertical="center"/>
    </xf>
    <xf numFmtId="168" fontId="4" fillId="7" borderId="4" xfId="0" applyNumberFormat="1" applyFont="1" applyFill="1" applyBorder="1" applyAlignment="1">
      <alignment horizontal="left" vertical="center"/>
    </xf>
    <xf numFmtId="173" fontId="4" fillId="7" borderId="4" xfId="2" applyNumberFormat="1" applyFont="1" applyFill="1" applyBorder="1" applyAlignment="1">
      <alignment horizontal="center" vertical="center"/>
    </xf>
    <xf numFmtId="173" fontId="4" fillId="7" borderId="5" xfId="2" applyNumberFormat="1" applyFont="1" applyFill="1" applyBorder="1" applyAlignment="1">
      <alignment horizontal="center" vertical="center"/>
    </xf>
    <xf numFmtId="168" fontId="4" fillId="7" borderId="3" xfId="0" applyNumberFormat="1" applyFont="1" applyFill="1" applyBorder="1" applyAlignment="1">
      <alignment horizontal="left" vertical="center"/>
    </xf>
    <xf numFmtId="166" fontId="4" fillId="2" borderId="4" xfId="0" applyNumberFormat="1" applyFont="1" applyFill="1" applyBorder="1" applyAlignment="1">
      <alignment horizontal="left" vertical="center"/>
    </xf>
    <xf numFmtId="172" fontId="4" fillId="2" borderId="4" xfId="0" applyNumberFormat="1" applyFont="1" applyFill="1" applyBorder="1" applyAlignment="1">
      <alignment horizontal="left" vertical="center"/>
    </xf>
    <xf numFmtId="166" fontId="4" fillId="2" borderId="3" xfId="0" applyNumberFormat="1" applyFont="1" applyFill="1" applyBorder="1" applyAlignment="1">
      <alignment horizontal="left" vertical="center"/>
    </xf>
    <xf numFmtId="172" fontId="4" fillId="2" borderId="3" xfId="0" applyNumberFormat="1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center" vertical="center"/>
    </xf>
    <xf numFmtId="180" fontId="4" fillId="4" borderId="4" xfId="0" applyNumberFormat="1" applyFont="1" applyFill="1" applyBorder="1" applyAlignment="1">
      <alignment horizontal="center" vertical="center"/>
    </xf>
    <xf numFmtId="168" fontId="9" fillId="4" borderId="4" xfId="0" applyNumberFormat="1" applyFont="1" applyFill="1" applyBorder="1" applyAlignment="1">
      <alignment horizontal="left" vertical="center"/>
    </xf>
    <xf numFmtId="168" fontId="9" fillId="7" borderId="4" xfId="0" applyNumberFormat="1" applyFont="1" applyFill="1" applyBorder="1" applyAlignment="1">
      <alignment horizontal="left" vertical="center"/>
    </xf>
    <xf numFmtId="171" fontId="9" fillId="4" borderId="4" xfId="0" applyNumberFormat="1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170" fontId="9" fillId="4" borderId="4" xfId="0" applyNumberFormat="1" applyFont="1" applyFill="1" applyBorder="1" applyAlignment="1">
      <alignment horizontal="left" vertical="center"/>
    </xf>
    <xf numFmtId="178" fontId="9" fillId="4" borderId="4" xfId="0" applyNumberFormat="1" applyFont="1" applyFill="1" applyBorder="1" applyAlignment="1">
      <alignment horizontal="left" vertical="center"/>
    </xf>
    <xf numFmtId="179" fontId="9" fillId="4" borderId="4" xfId="0" applyNumberFormat="1" applyFont="1" applyFill="1" applyBorder="1" applyAlignment="1">
      <alignment horizontal="left" vertical="center"/>
    </xf>
    <xf numFmtId="172" fontId="9" fillId="4" borderId="4" xfId="0" applyNumberFormat="1" applyFont="1" applyFill="1" applyBorder="1" applyAlignment="1">
      <alignment horizontal="left" vertical="center"/>
    </xf>
    <xf numFmtId="0" fontId="3" fillId="4" borderId="3" xfId="0" applyFont="1" applyFill="1" applyBorder="1" applyAlignment="1">
      <alignment vertical="center"/>
    </xf>
    <xf numFmtId="178" fontId="4" fillId="4" borderId="4" xfId="0" applyNumberFormat="1" applyFont="1" applyFill="1" applyBorder="1" applyAlignment="1">
      <alignment horizontal="left" vertical="center"/>
    </xf>
    <xf numFmtId="172" fontId="4" fillId="4" borderId="4" xfId="0" applyNumberFormat="1" applyFont="1" applyFill="1" applyBorder="1" applyAlignment="1">
      <alignment horizontal="left" vertical="center"/>
    </xf>
    <xf numFmtId="168" fontId="4" fillId="4" borderId="3" xfId="0" applyNumberFormat="1" applyFont="1" applyFill="1" applyBorder="1" applyAlignment="1">
      <alignment horizontal="left" vertical="center"/>
    </xf>
    <xf numFmtId="171" fontId="4" fillId="4" borderId="3" xfId="0" applyNumberFormat="1" applyFont="1" applyFill="1" applyBorder="1" applyAlignment="1">
      <alignment horizontal="left" vertical="center"/>
    </xf>
    <xf numFmtId="170" fontId="4" fillId="4" borderId="3" xfId="0" applyNumberFormat="1" applyFont="1" applyFill="1" applyBorder="1" applyAlignment="1">
      <alignment horizontal="left" vertical="center"/>
    </xf>
    <xf numFmtId="178" fontId="4" fillId="4" borderId="3" xfId="0" applyNumberFormat="1" applyFont="1" applyFill="1" applyBorder="1" applyAlignment="1">
      <alignment horizontal="left" vertical="center"/>
    </xf>
    <xf numFmtId="179" fontId="4" fillId="4" borderId="3" xfId="0" applyNumberFormat="1" applyFont="1" applyFill="1" applyBorder="1" applyAlignment="1">
      <alignment horizontal="left" vertical="center"/>
    </xf>
    <xf numFmtId="177" fontId="4" fillId="4" borderId="3" xfId="0" applyNumberFormat="1" applyFont="1" applyFill="1" applyBorder="1" applyAlignment="1">
      <alignment horizontal="left" vertical="center"/>
    </xf>
    <xf numFmtId="172" fontId="4" fillId="4" borderId="3" xfId="0" applyNumberFormat="1" applyFont="1" applyFill="1" applyBorder="1" applyAlignment="1">
      <alignment horizontal="left" vertical="center"/>
    </xf>
    <xf numFmtId="182" fontId="4" fillId="2" borderId="4" xfId="0" applyNumberFormat="1" applyFont="1" applyFill="1" applyBorder="1" applyAlignment="1">
      <alignment horizontal="left" vertical="center"/>
    </xf>
    <xf numFmtId="182" fontId="4" fillId="2" borderId="3" xfId="0" applyNumberFormat="1" applyFont="1" applyFill="1" applyBorder="1" applyAlignment="1">
      <alignment horizontal="left" vertical="center"/>
    </xf>
    <xf numFmtId="180" fontId="4" fillId="2" borderId="4" xfId="0" applyNumberFormat="1" applyFont="1" applyFill="1" applyBorder="1" applyAlignment="1">
      <alignment horizontal="left" vertical="center"/>
    </xf>
    <xf numFmtId="180" fontId="4" fillId="4" borderId="5" xfId="2" applyNumberFormat="1" applyFont="1" applyFill="1" applyBorder="1" applyAlignment="1">
      <alignment horizontal="center" vertical="center"/>
    </xf>
    <xf numFmtId="166" fontId="4" fillId="7" borderId="4" xfId="0" applyNumberFormat="1" applyFont="1" applyFill="1" applyBorder="1" applyAlignment="1">
      <alignment horizontal="left" vertical="center"/>
    </xf>
    <xf numFmtId="44" fontId="4" fillId="7" borderId="4" xfId="1" applyFont="1" applyFill="1" applyBorder="1" applyAlignment="1">
      <alignment horizontal="left" vertical="center"/>
    </xf>
    <xf numFmtId="0" fontId="9" fillId="8" borderId="3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/>
    </xf>
    <xf numFmtId="44" fontId="6" fillId="3" borderId="5" xfId="1" applyFont="1" applyFill="1" applyBorder="1" applyAlignment="1">
      <alignment horizontal="left" vertical="center"/>
    </xf>
    <xf numFmtId="44" fontId="4" fillId="7" borderId="5" xfId="1" applyFont="1" applyFill="1" applyBorder="1" applyAlignment="1">
      <alignment horizontal="left" vertical="center"/>
    </xf>
    <xf numFmtId="168" fontId="4" fillId="4" borderId="5" xfId="0" applyNumberFormat="1" applyFont="1" applyFill="1" applyBorder="1" applyAlignment="1">
      <alignment horizontal="center" vertical="center"/>
    </xf>
    <xf numFmtId="171" fontId="4" fillId="4" borderId="5" xfId="0" applyNumberFormat="1" applyFont="1" applyFill="1" applyBorder="1" applyAlignment="1">
      <alignment horizontal="center" vertical="center"/>
    </xf>
    <xf numFmtId="44" fontId="6" fillId="0" borderId="5" xfId="1" applyFont="1" applyBorder="1" applyAlignment="1">
      <alignment horizontal="left" vertical="center"/>
    </xf>
    <xf numFmtId="180" fontId="4" fillId="4" borderId="5" xfId="0" applyNumberFormat="1" applyFont="1" applyFill="1" applyBorder="1" applyAlignment="1">
      <alignment horizontal="center" vertical="center"/>
    </xf>
    <xf numFmtId="183" fontId="0" fillId="0" borderId="0" xfId="0" applyNumberFormat="1"/>
    <xf numFmtId="183" fontId="4" fillId="4" borderId="4" xfId="2" applyNumberFormat="1" applyFont="1" applyFill="1" applyBorder="1" applyAlignment="1">
      <alignment horizontal="center" vertical="center"/>
    </xf>
    <xf numFmtId="183" fontId="6" fillId="3" borderId="4" xfId="0" applyNumberFormat="1" applyFont="1" applyFill="1" applyBorder="1" applyAlignment="1">
      <alignment horizontal="left" vertical="center"/>
    </xf>
    <xf numFmtId="183" fontId="4" fillId="4" borderId="4" xfId="0" applyNumberFormat="1" applyFont="1" applyFill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168" fontId="3" fillId="5" borderId="13" xfId="2" applyNumberFormat="1" applyFont="1" applyFill="1" applyBorder="1" applyAlignment="1">
      <alignment horizontal="left" vertical="center"/>
    </xf>
    <xf numFmtId="168" fontId="3" fillId="3" borderId="13" xfId="0" applyNumberFormat="1" applyFont="1" applyFill="1" applyBorder="1" applyAlignment="1">
      <alignment vertical="center"/>
    </xf>
    <xf numFmtId="168" fontId="3" fillId="0" borderId="13" xfId="0" applyNumberFormat="1" applyFont="1" applyBorder="1" applyAlignment="1">
      <alignment vertical="center"/>
    </xf>
    <xf numFmtId="168" fontId="9" fillId="9" borderId="6" xfId="0" applyNumberFormat="1" applyFont="1" applyFill="1" applyBorder="1" applyAlignment="1">
      <alignment horizontal="left" vertical="center"/>
    </xf>
    <xf numFmtId="166" fontId="4" fillId="9" borderId="6" xfId="0" applyNumberFormat="1" applyFont="1" applyFill="1" applyBorder="1" applyAlignment="1">
      <alignment horizontal="left" vertical="center"/>
    </xf>
    <xf numFmtId="173" fontId="4" fillId="9" borderId="6" xfId="2" applyNumberFormat="1" applyFont="1" applyFill="1" applyBorder="1" applyAlignment="1">
      <alignment horizontal="center" vertical="center"/>
    </xf>
    <xf numFmtId="44" fontId="4" fillId="9" borderId="6" xfId="1" applyFont="1" applyFill="1" applyBorder="1" applyAlignment="1">
      <alignment horizontal="left" vertical="center"/>
    </xf>
    <xf numFmtId="44" fontId="4" fillId="9" borderId="8" xfId="1" applyFont="1" applyFill="1" applyBorder="1" applyAlignment="1">
      <alignment horizontal="left" vertical="center"/>
    </xf>
    <xf numFmtId="168" fontId="4" fillId="9" borderId="7" xfId="0" applyNumberFormat="1" applyFont="1" applyFill="1" applyBorder="1" applyAlignment="1">
      <alignment horizontal="left" vertical="center"/>
    </xf>
    <xf numFmtId="168" fontId="4" fillId="9" borderId="6" xfId="0" applyNumberFormat="1" applyFont="1" applyFill="1" applyBorder="1" applyAlignment="1">
      <alignment horizontal="left" vertical="center"/>
    </xf>
    <xf numFmtId="173" fontId="4" fillId="9" borderId="8" xfId="2" applyNumberFormat="1" applyFont="1" applyFill="1" applyBorder="1" applyAlignment="1">
      <alignment horizontal="center" vertical="center"/>
    </xf>
    <xf numFmtId="180" fontId="5" fillId="0" borderId="0" xfId="0" applyNumberFormat="1" applyFont="1"/>
    <xf numFmtId="173" fontId="6" fillId="0" borderId="4" xfId="2" applyNumberFormat="1" applyFont="1" applyBorder="1" applyAlignment="1">
      <alignment horizontal="left" vertical="center"/>
    </xf>
    <xf numFmtId="44" fontId="6" fillId="0" borderId="4" xfId="1" applyFont="1" applyBorder="1"/>
    <xf numFmtId="0" fontId="12" fillId="0" borderId="0" xfId="0" applyFont="1"/>
    <xf numFmtId="0" fontId="13" fillId="0" borderId="0" xfId="0" applyFont="1"/>
    <xf numFmtId="44" fontId="4" fillId="7" borderId="4" xfId="1" applyFont="1" applyFill="1" applyBorder="1" applyAlignment="1">
      <alignment horizontal="center" vertical="center"/>
    </xf>
    <xf numFmtId="44" fontId="3" fillId="5" borderId="0" xfId="1" applyFont="1" applyFill="1" applyBorder="1" applyAlignment="1">
      <alignment horizontal="left" vertical="center"/>
    </xf>
    <xf numFmtId="44" fontId="4" fillId="7" borderId="3" xfId="1" applyFont="1" applyFill="1" applyBorder="1" applyAlignment="1">
      <alignment horizontal="left" vertical="center"/>
    </xf>
    <xf numFmtId="44" fontId="4" fillId="7" borderId="5" xfId="1" applyFont="1" applyFill="1" applyBorder="1" applyAlignment="1">
      <alignment horizontal="center" vertical="center"/>
    </xf>
    <xf numFmtId="9" fontId="6" fillId="0" borderId="0" xfId="2" applyFont="1"/>
    <xf numFmtId="169" fontId="4" fillId="2" borderId="14" xfId="0" applyNumberFormat="1" applyFont="1" applyFill="1" applyBorder="1" applyAlignment="1">
      <alignment horizontal="left" vertical="center"/>
    </xf>
    <xf numFmtId="173" fontId="4" fillId="4" borderId="15" xfId="2" applyNumberFormat="1" applyFont="1" applyFill="1" applyBorder="1" applyAlignment="1">
      <alignment horizontal="center" vertical="center"/>
    </xf>
    <xf numFmtId="44" fontId="4" fillId="7" borderId="6" xfId="1" applyFont="1" applyFill="1" applyBorder="1" applyAlignment="1">
      <alignment horizontal="left" vertical="center"/>
    </xf>
    <xf numFmtId="44" fontId="4" fillId="7" borderId="6" xfId="1" applyFont="1" applyFill="1" applyBorder="1" applyAlignment="1">
      <alignment horizontal="center" vertical="center"/>
    </xf>
    <xf numFmtId="169" fontId="4" fillId="2" borderId="17" xfId="0" applyNumberFormat="1" applyFont="1" applyFill="1" applyBorder="1" applyAlignment="1">
      <alignment horizontal="left" vertical="center"/>
    </xf>
    <xf numFmtId="173" fontId="4" fillId="4" borderId="18" xfId="2" applyNumberFormat="1" applyFont="1" applyFill="1" applyBorder="1" applyAlignment="1">
      <alignment horizontal="center" vertical="center"/>
    </xf>
    <xf numFmtId="169" fontId="4" fillId="2" borderId="19" xfId="0" applyNumberFormat="1" applyFont="1" applyFill="1" applyBorder="1" applyAlignment="1">
      <alignment horizontal="left" vertical="center"/>
    </xf>
    <xf numFmtId="185" fontId="10" fillId="0" borderId="3" xfId="1" applyNumberFormat="1" applyFont="1" applyFill="1" applyBorder="1" applyAlignment="1">
      <alignment horizontal="left" vertical="center"/>
    </xf>
    <xf numFmtId="185" fontId="10" fillId="0" borderId="4" xfId="1" applyNumberFormat="1" applyFont="1" applyFill="1" applyBorder="1" applyAlignment="1">
      <alignment horizontal="left" vertical="center"/>
    </xf>
    <xf numFmtId="169" fontId="6" fillId="0" borderId="3" xfId="0" applyNumberFormat="1" applyFont="1" applyBorder="1" applyAlignment="1">
      <alignment horizontal="left" vertical="center"/>
    </xf>
    <xf numFmtId="169" fontId="6" fillId="0" borderId="4" xfId="0" applyNumberFormat="1" applyFont="1" applyBorder="1" applyAlignment="1">
      <alignment horizontal="left" vertical="center"/>
    </xf>
    <xf numFmtId="169" fontId="10" fillId="0" borderId="3" xfId="0" applyNumberFormat="1" applyFont="1" applyBorder="1" applyAlignment="1">
      <alignment horizontal="left" vertical="center"/>
    </xf>
    <xf numFmtId="169" fontId="10" fillId="0" borderId="4" xfId="0" applyNumberFormat="1" applyFont="1" applyBorder="1" applyAlignment="1">
      <alignment horizontal="left" vertical="center"/>
    </xf>
    <xf numFmtId="169" fontId="6" fillId="0" borderId="16" xfId="0" applyNumberFormat="1" applyFont="1" applyBorder="1" applyAlignment="1">
      <alignment horizontal="left" vertical="center"/>
    </xf>
    <xf numFmtId="173" fontId="6" fillId="0" borderId="16" xfId="2" applyNumberFormat="1" applyFont="1" applyFill="1" applyBorder="1" applyAlignment="1">
      <alignment horizontal="center" vertical="center"/>
    </xf>
    <xf numFmtId="169" fontId="10" fillId="0" borderId="4" xfId="1" applyNumberFormat="1" applyFont="1" applyBorder="1" applyAlignment="1">
      <alignment horizontal="left" vertical="center"/>
    </xf>
    <xf numFmtId="169" fontId="6" fillId="0" borderId="3" xfId="1" applyNumberFormat="1" applyFont="1" applyBorder="1" applyAlignment="1">
      <alignment horizontal="left" vertical="center"/>
    </xf>
    <xf numFmtId="169" fontId="6" fillId="0" borderId="4" xfId="1" applyNumberFormat="1" applyFont="1" applyBorder="1" applyAlignment="1">
      <alignment horizontal="left" vertical="center"/>
    </xf>
    <xf numFmtId="169" fontId="10" fillId="0" borderId="3" xfId="1" applyNumberFormat="1" applyFont="1" applyBorder="1" applyAlignment="1">
      <alignment horizontal="left" vertical="center"/>
    </xf>
    <xf numFmtId="169" fontId="4" fillId="4" borderId="3" xfId="0" applyNumberFormat="1" applyFont="1" applyFill="1" applyBorder="1" applyAlignment="1">
      <alignment horizontal="left" vertical="center"/>
    </xf>
    <xf numFmtId="169" fontId="4" fillId="4" borderId="4" xfId="0" applyNumberFormat="1" applyFont="1" applyFill="1" applyBorder="1" applyAlignment="1">
      <alignment horizontal="left" vertical="center"/>
    </xf>
    <xf numFmtId="186" fontId="6" fillId="0" borderId="3" xfId="0" applyNumberFormat="1" applyFont="1" applyBorder="1" applyAlignment="1">
      <alignment horizontal="left" vertical="center"/>
    </xf>
    <xf numFmtId="186" fontId="6" fillId="0" borderId="4" xfId="0" applyNumberFormat="1" applyFont="1" applyBorder="1" applyAlignment="1">
      <alignment horizontal="left" vertical="center"/>
    </xf>
    <xf numFmtId="186" fontId="10" fillId="0" borderId="3" xfId="0" applyNumberFormat="1" applyFont="1" applyBorder="1" applyAlignment="1">
      <alignment horizontal="left" vertical="center"/>
    </xf>
    <xf numFmtId="186" fontId="10" fillId="0" borderId="4" xfId="0" applyNumberFormat="1" applyFont="1" applyBorder="1" applyAlignment="1">
      <alignment horizontal="left" vertical="center"/>
    </xf>
    <xf numFmtId="186" fontId="4" fillId="2" borderId="4" xfId="0" applyNumberFormat="1" applyFont="1" applyFill="1" applyBorder="1" applyAlignment="1">
      <alignment horizontal="left" vertical="center"/>
    </xf>
    <xf numFmtId="186" fontId="4" fillId="2" borderId="3" xfId="0" applyNumberFormat="1" applyFont="1" applyFill="1" applyBorder="1" applyAlignment="1">
      <alignment horizontal="left" vertical="center"/>
    </xf>
    <xf numFmtId="170" fontId="10" fillId="6" borderId="3" xfId="0" applyNumberFormat="1" applyFont="1" applyFill="1" applyBorder="1" applyAlignment="1">
      <alignment horizontal="left" vertical="center"/>
    </xf>
    <xf numFmtId="170" fontId="10" fillId="6" borderId="4" xfId="0" applyNumberFormat="1" applyFont="1" applyFill="1" applyBorder="1" applyAlignment="1">
      <alignment horizontal="left" vertical="center"/>
    </xf>
    <xf numFmtId="178" fontId="6" fillId="6" borderId="3" xfId="0" applyNumberFormat="1" applyFont="1" applyFill="1" applyBorder="1" applyAlignment="1">
      <alignment horizontal="left" vertical="center"/>
    </xf>
    <xf numFmtId="178" fontId="6" fillId="6" borderId="4" xfId="0" applyNumberFormat="1" applyFont="1" applyFill="1" applyBorder="1" applyAlignment="1">
      <alignment horizontal="left" vertical="center"/>
    </xf>
    <xf numFmtId="178" fontId="5" fillId="6" borderId="4" xfId="0" applyNumberFormat="1" applyFont="1" applyFill="1" applyBorder="1" applyAlignment="1">
      <alignment horizontal="left" vertical="center"/>
    </xf>
    <xf numFmtId="187" fontId="6" fillId="0" borderId="3" xfId="0" applyNumberFormat="1" applyFont="1" applyBorder="1" applyAlignment="1">
      <alignment horizontal="left" vertical="center"/>
    </xf>
    <xf numFmtId="187" fontId="6" fillId="0" borderId="4" xfId="0" applyNumberFormat="1" applyFont="1" applyBorder="1" applyAlignment="1">
      <alignment horizontal="left" vertical="center"/>
    </xf>
    <xf numFmtId="187" fontId="4" fillId="2" borderId="3" xfId="0" applyNumberFormat="1" applyFont="1" applyFill="1" applyBorder="1" applyAlignment="1">
      <alignment horizontal="left" vertical="center"/>
    </xf>
    <xf numFmtId="187" fontId="4" fillId="2" borderId="4" xfId="0" applyNumberFormat="1" applyFont="1" applyFill="1" applyBorder="1" applyAlignment="1">
      <alignment horizontal="left" vertical="center"/>
    </xf>
    <xf numFmtId="187" fontId="6" fillId="0" borderId="0" xfId="0" applyNumberFormat="1" applyFont="1" applyAlignment="1">
      <alignment horizontal="left" vertical="center"/>
    </xf>
    <xf numFmtId="174" fontId="5" fillId="0" borderId="4" xfId="0" applyNumberFormat="1" applyFont="1" applyBorder="1" applyAlignment="1">
      <alignment horizontal="left" vertical="center"/>
    </xf>
    <xf numFmtId="175" fontId="6" fillId="0" borderId="3" xfId="0" applyNumberFormat="1" applyFont="1" applyBorder="1" applyAlignment="1">
      <alignment horizontal="left" vertical="center"/>
    </xf>
    <xf numFmtId="175" fontId="6" fillId="0" borderId="4" xfId="0" applyNumberFormat="1" applyFont="1" applyBorder="1" applyAlignment="1">
      <alignment horizontal="left" vertical="center"/>
    </xf>
    <xf numFmtId="188" fontId="6" fillId="0" borderId="4" xfId="0" applyNumberFormat="1" applyFont="1" applyBorder="1" applyAlignment="1">
      <alignment horizontal="left" vertical="center"/>
    </xf>
    <xf numFmtId="188" fontId="4" fillId="4" borderId="4" xfId="0" applyNumberFormat="1" applyFont="1" applyFill="1" applyBorder="1" applyAlignment="1">
      <alignment horizontal="left" vertical="center"/>
    </xf>
    <xf numFmtId="188" fontId="6" fillId="3" borderId="4" xfId="0" applyNumberFormat="1" applyFont="1" applyFill="1" applyBorder="1" applyAlignment="1">
      <alignment horizontal="left" vertical="center"/>
    </xf>
    <xf numFmtId="188" fontId="6" fillId="0" borderId="3" xfId="0" applyNumberFormat="1" applyFont="1" applyBorder="1" applyAlignment="1">
      <alignment horizontal="left" vertical="center"/>
    </xf>
    <xf numFmtId="188" fontId="4" fillId="4" borderId="3" xfId="0" applyNumberFormat="1" applyFont="1" applyFill="1" applyBorder="1" applyAlignment="1">
      <alignment horizontal="left" vertical="center"/>
    </xf>
    <xf numFmtId="172" fontId="5" fillId="0" borderId="4" xfId="0" applyNumberFormat="1" applyFont="1" applyBorder="1" applyAlignment="1">
      <alignment horizontal="left" vertical="center"/>
    </xf>
    <xf numFmtId="0" fontId="14" fillId="0" borderId="0" xfId="0" applyFont="1"/>
    <xf numFmtId="176" fontId="10" fillId="0" borderId="3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87" fontId="6" fillId="0" borderId="4" xfId="1" applyNumberFormat="1" applyFont="1" applyBorder="1" applyAlignment="1">
      <alignment horizontal="left" vertical="center"/>
    </xf>
    <xf numFmtId="187" fontId="4" fillId="4" borderId="4" xfId="1" applyNumberFormat="1" applyFont="1" applyFill="1" applyBorder="1" applyAlignment="1">
      <alignment horizontal="left" vertical="center"/>
    </xf>
    <xf numFmtId="187" fontId="6" fillId="3" borderId="4" xfId="1" applyNumberFormat="1" applyFont="1" applyFill="1" applyBorder="1" applyAlignment="1">
      <alignment horizontal="left" vertical="center"/>
    </xf>
    <xf numFmtId="168" fontId="0" fillId="0" borderId="0" xfId="0" applyNumberFormat="1"/>
    <xf numFmtId="9" fontId="0" fillId="0" borderId="0" xfId="2" applyFont="1"/>
    <xf numFmtId="173" fontId="14" fillId="0" borderId="0" xfId="0" applyNumberFormat="1" applyFont="1" applyAlignment="1">
      <alignment horizontal="center" vertical="center"/>
    </xf>
    <xf numFmtId="44" fontId="14" fillId="0" borderId="0" xfId="0" applyNumberFormat="1" applyFont="1"/>
    <xf numFmtId="173" fontId="14" fillId="0" borderId="0" xfId="0" applyNumberFormat="1" applyFont="1"/>
    <xf numFmtId="165" fontId="15" fillId="11" borderId="20" xfId="0" applyNumberFormat="1" applyFont="1" applyFill="1" applyBorder="1" applyAlignment="1">
      <alignment horizontal="left" vertical="center"/>
    </xf>
    <xf numFmtId="173" fontId="15" fillId="12" borderId="20" xfId="0" applyNumberFormat="1" applyFont="1" applyFill="1" applyBorder="1" applyAlignment="1">
      <alignment horizontal="center" vertical="center"/>
    </xf>
    <xf numFmtId="173" fontId="15" fillId="12" borderId="21" xfId="0" applyNumberFormat="1" applyFont="1" applyFill="1" applyBorder="1" applyAlignment="1">
      <alignment horizontal="center" vertical="center"/>
    </xf>
    <xf numFmtId="189" fontId="6" fillId="0" borderId="4" xfId="0" applyNumberFormat="1" applyFont="1" applyBorder="1" applyAlignment="1">
      <alignment horizontal="left" vertical="center"/>
    </xf>
    <xf numFmtId="189" fontId="4" fillId="4" borderId="4" xfId="0" applyNumberFormat="1" applyFont="1" applyFill="1" applyBorder="1" applyAlignment="1">
      <alignment horizontal="left" vertical="center"/>
    </xf>
    <xf numFmtId="44" fontId="0" fillId="0" borderId="0" xfId="1" applyFont="1"/>
    <xf numFmtId="190" fontId="4" fillId="7" borderId="4" xfId="1" applyNumberFormat="1" applyFont="1" applyFill="1" applyBorder="1" applyAlignment="1">
      <alignment horizontal="left" vertical="center"/>
    </xf>
    <xf numFmtId="166" fontId="0" fillId="0" borderId="0" xfId="0" applyNumberFormat="1"/>
    <xf numFmtId="9" fontId="3" fillId="3" borderId="0" xfId="2" applyFont="1" applyFill="1" applyAlignment="1">
      <alignment vertical="center"/>
    </xf>
    <xf numFmtId="168" fontId="5" fillId="3" borderId="0" xfId="0" applyNumberFormat="1" applyFont="1" applyFill="1" applyAlignment="1">
      <alignment vertical="center"/>
    </xf>
    <xf numFmtId="9" fontId="5" fillId="3" borderId="0" xfId="2" applyFont="1" applyFill="1" applyAlignment="1">
      <alignment vertical="center"/>
    </xf>
    <xf numFmtId="9" fontId="5" fillId="3" borderId="0" xfId="2" applyFont="1" applyFill="1" applyAlignment="1">
      <alignment horizontal="left" vertical="center"/>
    </xf>
    <xf numFmtId="9" fontId="3" fillId="3" borderId="13" xfId="2" applyFont="1" applyFill="1" applyBorder="1" applyAlignment="1">
      <alignment vertical="center"/>
    </xf>
    <xf numFmtId="44" fontId="6" fillId="0" borderId="0" xfId="2" applyNumberFormat="1" applyFont="1"/>
    <xf numFmtId="166" fontId="0" fillId="0" borderId="0" xfId="2" applyNumberFormat="1" applyFont="1"/>
    <xf numFmtId="44" fontId="6" fillId="0" borderId="5" xfId="1" applyFont="1" applyFill="1" applyBorder="1" applyAlignment="1">
      <alignment horizontal="left" vertical="center"/>
    </xf>
    <xf numFmtId="174" fontId="6" fillId="0" borderId="3" xfId="0" applyNumberFormat="1" applyFont="1" applyBorder="1" applyAlignment="1">
      <alignment horizontal="left" vertical="center"/>
    </xf>
    <xf numFmtId="174" fontId="6" fillId="0" borderId="4" xfId="0" applyNumberFormat="1" applyFont="1" applyBorder="1" applyAlignment="1">
      <alignment horizontal="left" vertical="center"/>
    </xf>
    <xf numFmtId="170" fontId="10" fillId="0" borderId="3" xfId="0" applyNumberFormat="1" applyFont="1" applyBorder="1" applyAlignment="1">
      <alignment horizontal="left" vertical="center"/>
    </xf>
    <xf numFmtId="170" fontId="10" fillId="0" borderId="4" xfId="0" applyNumberFormat="1" applyFont="1" applyBorder="1" applyAlignment="1">
      <alignment horizontal="left" vertical="center"/>
    </xf>
    <xf numFmtId="166" fontId="6" fillId="0" borderId="4" xfId="0" applyNumberFormat="1" applyFont="1" applyBorder="1" applyAlignment="1">
      <alignment horizontal="left" vertical="center"/>
    </xf>
    <xf numFmtId="166" fontId="5" fillId="0" borderId="4" xfId="0" applyNumberFormat="1" applyFont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187" fontId="10" fillId="0" borderId="3" xfId="0" applyNumberFormat="1" applyFont="1" applyBorder="1" applyAlignment="1">
      <alignment horizontal="left" vertical="center"/>
    </xf>
    <xf numFmtId="187" fontId="10" fillId="0" borderId="4" xfId="0" applyNumberFormat="1" applyFont="1" applyBorder="1" applyAlignment="1">
      <alignment horizontal="left" vertical="center"/>
    </xf>
    <xf numFmtId="177" fontId="10" fillId="0" borderId="4" xfId="0" applyNumberFormat="1" applyFont="1" applyBorder="1" applyAlignment="1">
      <alignment horizontal="left" vertical="center"/>
    </xf>
    <xf numFmtId="189" fontId="6" fillId="6" borderId="3" xfId="0" applyNumberFormat="1" applyFont="1" applyFill="1" applyBorder="1" applyAlignment="1">
      <alignment horizontal="left" vertical="center"/>
    </xf>
    <xf numFmtId="189" fontId="6" fillId="6" borderId="4" xfId="0" applyNumberFormat="1" applyFont="1" applyFill="1" applyBorder="1" applyAlignment="1">
      <alignment horizontal="left" vertical="center"/>
    </xf>
    <xf numFmtId="189" fontId="6" fillId="0" borderId="3" xfId="0" applyNumberFormat="1" applyFont="1" applyBorder="1" applyAlignment="1">
      <alignment horizontal="left" vertical="center"/>
    </xf>
    <xf numFmtId="189" fontId="10" fillId="6" borderId="3" xfId="0" applyNumberFormat="1" applyFont="1" applyFill="1" applyBorder="1" applyAlignment="1">
      <alignment horizontal="left" vertical="center"/>
    </xf>
    <xf numFmtId="189" fontId="10" fillId="6" borderId="4" xfId="0" applyNumberFormat="1" applyFont="1" applyFill="1" applyBorder="1" applyAlignment="1">
      <alignment horizontal="left" vertical="center"/>
    </xf>
    <xf numFmtId="189" fontId="4" fillId="2" borderId="4" xfId="0" applyNumberFormat="1" applyFont="1" applyFill="1" applyBorder="1" applyAlignment="1">
      <alignment horizontal="left" vertical="center"/>
    </xf>
    <xf numFmtId="189" fontId="10" fillId="0" borderId="4" xfId="0" applyNumberFormat="1" applyFont="1" applyBorder="1" applyAlignment="1">
      <alignment horizontal="left" vertical="center"/>
    </xf>
    <xf numFmtId="44" fontId="0" fillId="0" borderId="0" xfId="0" applyNumberFormat="1"/>
    <xf numFmtId="183" fontId="6" fillId="3" borderId="5" xfId="1" applyNumberFormat="1" applyFont="1" applyFill="1" applyBorder="1" applyAlignment="1">
      <alignment horizontal="left" vertical="center"/>
    </xf>
    <xf numFmtId="43" fontId="0" fillId="0" borderId="0" xfId="3" applyFont="1"/>
    <xf numFmtId="0" fontId="0" fillId="13" borderId="0" xfId="0" applyFill="1"/>
    <xf numFmtId="17" fontId="7" fillId="10" borderId="9" xfId="0" applyNumberFormat="1" applyFont="1" applyFill="1" applyBorder="1" applyAlignment="1">
      <alignment horizontal="center" vertical="center"/>
    </xf>
    <xf numFmtId="17" fontId="7" fillId="10" borderId="10" xfId="0" applyNumberFormat="1" applyFont="1" applyFill="1" applyBorder="1" applyAlignment="1">
      <alignment horizontal="center" vertical="center"/>
    </xf>
    <xf numFmtId="17" fontId="7" fillId="10" borderId="11" xfId="0" applyNumberFormat="1" applyFont="1" applyFill="1" applyBorder="1" applyAlignment="1">
      <alignment horizontal="center" vertical="center"/>
    </xf>
    <xf numFmtId="17" fontId="7" fillId="2" borderId="9" xfId="0" applyNumberFormat="1" applyFont="1" applyFill="1" applyBorder="1" applyAlignment="1">
      <alignment horizontal="center" vertical="center"/>
    </xf>
    <xf numFmtId="17" fontId="7" fillId="2" borderId="10" xfId="0" applyNumberFormat="1" applyFont="1" applyFill="1" applyBorder="1" applyAlignment="1">
      <alignment horizontal="center" vertical="center"/>
    </xf>
    <xf numFmtId="17" fontId="7" fillId="2" borderId="11" xfId="0" applyNumberFormat="1" applyFont="1" applyFill="1" applyBorder="1" applyAlignment="1">
      <alignment horizontal="center" vertical="center"/>
    </xf>
    <xf numFmtId="17" fontId="7" fillId="4" borderId="9" xfId="0" applyNumberFormat="1" applyFont="1" applyFill="1" applyBorder="1" applyAlignment="1">
      <alignment horizontal="center" vertical="center"/>
    </xf>
    <xf numFmtId="17" fontId="7" fillId="4" borderId="10" xfId="0" applyNumberFormat="1" applyFont="1" applyFill="1" applyBorder="1" applyAlignment="1">
      <alignment horizontal="center" vertical="center"/>
    </xf>
    <xf numFmtId="17" fontId="7" fillId="4" borderId="1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4"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dine Lerm" refreshedDate="45966.570174305554" createdVersion="8" refreshedVersion="8" minRefreshableVersion="3" recordCount="318" xr:uid="{FF73BE9B-9083-4DC9-BDB8-5AD497FCB7BF}">
  <cacheSource type="worksheet">
    <worksheetSource ref="B7:S315" sheet="Master Activity Plan (Local)"/>
  </cacheSource>
  <cacheFields count="18">
    <cacheField name="Market" numFmtId="0">
      <sharedItems count="10">
        <s v="Botswana"/>
        <s v="Ghana"/>
        <s v="Hub"/>
        <s v="Kenya"/>
        <s v="Mauritius"/>
        <s v="Tanzania"/>
        <s v="Zambia"/>
        <s v="Uganda"/>
        <s v="Seychelles"/>
        <s v="Mozambique"/>
      </sharedItems>
    </cacheField>
    <cacheField name="Business Unit" numFmtId="0">
      <sharedItems count="5">
        <s v="CIB"/>
        <s v="RBB"/>
        <s v="Brand"/>
        <s v="RBB/ CIB"/>
        <s v="BB"/>
      </sharedItems>
    </cacheField>
    <cacheField name="Campaign" numFmtId="0">
      <sharedItems count="104">
        <s v="CIB THEMATIC"/>
        <s v="CIB ACCESS"/>
        <s v="CARD ACQUISITION"/>
        <s v="SELECTIVE RECEIVABLE FINANCE"/>
        <s v="BRAND"/>
        <s v="WIN A TRUCK"/>
        <s v="WIN A MORAKA"/>
        <s v="BUSINESS BANKING CREDIT CARD"/>
        <s v="GREEN ENERGY LOANS"/>
        <s v="PURPOSE ACCOUNT"/>
        <s v="SME LOANS @10 BOOSTER CAMPAIGN"/>
        <s v="PRINT ONLY CAMPAIGNS"/>
        <s v="OOH ONLY CAMPAIGNS - ADHOC"/>
        <s v="DIGITAL CAMPAIGNS ONLY"/>
        <s v="Airport OOH"/>
        <s v="Ready To Work Webinar"/>
        <s v="Acquisition Campaign"/>
        <s v="KASOA RE-OPENING"/>
        <s v="MOBITAP"/>
        <s v="INSPIRE ME"/>
        <s v="BLACKSTAR MARATHON"/>
        <s v="Agency Banking"/>
        <s v="SHE BUSINESS"/>
        <s v="GLOBAL FINANCE"/>
        <s v="Mastercard Partnership"/>
        <s v="Absa CIB Transactional GTR Africa ARO"/>
        <s v="Absa CIB_Property Finance_EAPI Conference_ARO OOH"/>
        <s v="Absa_ ARO_ DSTV_Showmax TV Schedule March 2025 "/>
        <s v="PRESTIGE"/>
        <s v="INTERNATIONAL WOMEN'S DAY"/>
        <s v="TIMIZA"/>
        <s v="BACK TO SCHOOL"/>
        <s v="CIB"/>
        <s v="FOUNDATION"/>
        <s v="NOTICES"/>
        <s v="VALENTINE"/>
        <s v="READY TO WORK"/>
        <s v="MKO"/>
        <s v="FINANCIALS"/>
        <s v="PERSONAL BANKING"/>
        <s v="BUSINESS BANKING"/>
        <s v="LA RIBA"/>
        <s v="AFFLUENT"/>
        <s v="ALWAYS ON SEARCH"/>
        <s v="MULTICURRENCY"/>
        <s v="Radio plus Sponsorship"/>
        <s v="CIB Campaign  "/>
        <s v="RB - EOY + Card Press communique"/>
        <s v="Pensioners Savings "/>
        <s v=" Premier League Card 2025       "/>
        <s v="le Passeport FB"/>
        <s v="Bocuse d'or    "/>
        <s v="Saturday Branch opening"/>
        <s v="Absa Social media Post"/>
        <s v="Absa - Change of PLR - Press Notice     "/>
        <s v="Absa -  Financial Results Advertorial"/>
        <s v="Absa Metro Train Wrapping"/>
        <s v="ABSA Mortgage Campaign "/>
        <s v="ABSA Tribeca Digital screen"/>
        <s v="ABSA Proparco event"/>
        <s v="Absa Wealth"/>
        <s v="Winners Annoucement "/>
        <s v="ABSA Access"/>
        <s v="ABSA Women Forward "/>
        <s v="ABSA Video wall @ Aiport - Global Market/ CIB/Wealth"/>
        <s v="ABSA National Sensitization campaign "/>
        <s v="GROUP SAVINGS ACCOUNT"/>
        <s v="INFINITE VISA CARD"/>
        <s v="BRAND CHAPTERS"/>
        <s v="PLAY YOUR CARDS RIGHT"/>
        <s v="Premier Banking"/>
        <s v="Retail Unsecured Loans "/>
        <s v="Your Story Matters "/>
        <s v="Women in Business"/>
        <s v="Absa Marathon "/>
        <s v="Momo on POS"/>
        <s v="Other - Financial Statements and MRP"/>
        <s v="ABSA Cup "/>
        <s v="Infinity Card"/>
        <s v="Inspire Me Conference - Women in Business"/>
        <s v="Swipe and Win "/>
        <s v="Ulitamte Plus Account "/>
        <s v="Salary Advance"/>
        <s v="Mobi Tap"/>
        <s v="Jooga 2025 Campaign"/>
        <s v="7 Hills 2025 Campaign"/>
        <s v="TRADE FINANCE"/>
        <s v="POST BUDGET DIALOGUE"/>
        <s v="DIGILOAN"/>
        <s v="SEO SEARCH ENGINE - MULTI CAMPAIGN"/>
        <s v="Business Club"/>
        <s v="Cash Management"/>
        <s v="Brand Positioning"/>
        <s v="VAF CAR LOAN"/>
        <s v="MOBI TOP "/>
        <s v="PREMIER BANKING CVP"/>
        <s v="FESTIVE CARD"/>
        <s v="SIGNATURE CARD"/>
        <s v="FIXED DEPOSIT"/>
        <s v="BUSINESS CREDIT CARD"/>
        <s v="Repositioning Campaign"/>
        <s v="Canais Digitais"/>
        <s v="Credit Consumer"/>
        <s v="Promoted Content"/>
      </sharedItems>
    </cacheField>
    <cacheField name="Medium" numFmtId="0">
      <sharedItems count="10">
        <s v="Television"/>
        <s v="Digital"/>
        <s v="DOOH"/>
        <s v="Radio"/>
        <s v="OOH"/>
        <s v="Print"/>
        <s v="Online Publications"/>
        <s v="Other"/>
        <s v="Influencers"/>
        <s v="Podcast"/>
      </sharedItems>
    </cacheField>
    <cacheField name="Total Spend_x000a_(ZAR)" numFmtId="166">
      <sharedItems containsSemiMixedTypes="0" containsString="0" containsNumber="1" minValue="0" maxValue="3011100.7164000007"/>
    </cacheField>
    <cacheField name="Total Spend" numFmtId="0">
      <sharedItems containsSemiMixedTypes="0" containsString="0" containsNumber="1" minValue="0" maxValue="392000000"/>
    </cacheField>
    <cacheField name="Jan" numFmtId="0">
      <sharedItems containsString="0" containsBlank="1" containsNumber="1" minValue="819.15000000000009" maxValue="60199999.999999993"/>
    </cacheField>
    <cacheField name="Feb" numFmtId="0">
      <sharedItems containsString="0" containsBlank="1" containsNumber="1" minValue="1049.7" maxValue="65342554"/>
    </cacheField>
    <cacheField name="Mar" numFmtId="0">
      <sharedItems containsString="0" containsBlank="1" containsNumber="1" minValue="0" maxValue="100366617"/>
    </cacheField>
    <cacheField name="Apr" numFmtId="0">
      <sharedItems containsString="0" containsBlank="1" containsNumber="1" minValue="0" maxValue="84239909"/>
    </cacheField>
    <cacheField name="May" numFmtId="0">
      <sharedItems containsString="0" containsBlank="1" containsNumber="1" minValue="0" maxValue="80250000"/>
    </cacheField>
    <cacheField name="Jun" numFmtId="0">
      <sharedItems containsBlank="1" containsMixedTypes="1" containsNumber="1" minValue="6000" maxValue="56000000" count="69">
        <n v="11128.32"/>
        <n v="40000"/>
        <n v="33580.080000000002"/>
        <n v="9214.84"/>
        <n v="10000"/>
        <n v="16560"/>
        <m/>
        <n v="35000"/>
        <n v="31760"/>
        <n v="6000"/>
        <n v="71489"/>
        <n v="66209.2"/>
        <n v="39824"/>
        <n v="14500"/>
        <n v="252695"/>
        <n v="12747.29"/>
        <n v="38343.565000000002"/>
        <n v="92372.67"/>
        <n v="30422.720000000001"/>
        <n v="179752.54"/>
        <n v="267831.98"/>
        <n v="36557.5599"/>
        <n v="286929.08549999999"/>
        <n v="8221.8799999999992"/>
        <n v="352847.67"/>
        <n v="110000"/>
        <n v="595045.99"/>
        <n v="200000"/>
        <n v="327613"/>
        <n v="66000"/>
        <n v="134510"/>
        <n v="350290"/>
        <n v="18522"/>
        <n v="271687"/>
        <n v="98379"/>
        <n v="33355.699999999997"/>
        <n v="285000"/>
        <n v="100000"/>
        <n v="3500000"/>
        <n v="11800000"/>
        <n v="820000"/>
        <n v="450000"/>
        <n v="102037"/>
        <n v="76560"/>
        <n v="56000"/>
        <n v="69000"/>
        <n v="70000"/>
        <n v="62000"/>
        <n v="160000"/>
        <n v="40900"/>
        <n v="62600"/>
        <n v="213847"/>
        <n v="85700"/>
        <n v="56000000"/>
        <n v="20150496.555"/>
        <n v="16043648.279999999"/>
        <n v="52200000"/>
        <n v="7000000"/>
        <n v="11487031"/>
        <n v="6973515.4699999997"/>
        <n v="40000000"/>
        <n v="15282305.17"/>
        <n v="34800000"/>
        <n v="854579.52"/>
        <s v="           -  "/>
        <n v="1065853.25"/>
        <n v="1007825.86"/>
        <n v="422114.69"/>
        <s v="                 -  "/>
      </sharedItems>
    </cacheField>
    <cacheField name="Jul" numFmtId="0">
      <sharedItems containsString="0" containsBlank="1" containsNumber="1" minValue="0" maxValue="56000000"/>
    </cacheField>
    <cacheField name="Aug" numFmtId="0">
      <sharedItems containsString="0" containsBlank="1" containsNumber="1" minValue="0" maxValue="56000000"/>
    </cacheField>
    <cacheField name="Sep" numFmtId="0">
      <sharedItems containsString="0" containsBlank="1" containsNumber="1" minValue="0" maxValue="56000000"/>
    </cacheField>
    <cacheField name="Oct" numFmtId="0">
      <sharedItems containsString="0" containsBlank="1" containsNumber="1" containsInteger="1" minValue="0" maxValue="450000"/>
    </cacheField>
    <cacheField name="Nov" numFmtId="0">
      <sharedItems containsString="0" containsBlank="1" containsNumber="1" containsInteger="1" minValue="0" maxValue="213847"/>
    </cacheField>
    <cacheField name="Dec" numFmtId="0">
      <sharedItems containsString="0" containsBlank="1" containsNumber="1" containsInteger="1" minValue="0" maxValue="2138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x v="0"/>
    <x v="0"/>
    <x v="0"/>
    <x v="0"/>
    <n v="81964.608000000007"/>
    <n v="62094.400000000001"/>
    <m/>
    <m/>
    <m/>
    <n v="27337.759999999998"/>
    <n v="23628.32"/>
    <x v="0"/>
    <m/>
    <m/>
    <m/>
    <m/>
    <m/>
    <m/>
  </r>
  <r>
    <x v="0"/>
    <x v="0"/>
    <x v="0"/>
    <x v="1"/>
    <n v="105600"/>
    <n v="80000"/>
    <m/>
    <m/>
    <m/>
    <m/>
    <n v="40000"/>
    <x v="1"/>
    <m/>
    <m/>
    <m/>
    <m/>
    <m/>
    <m/>
  </r>
  <r>
    <x v="0"/>
    <x v="0"/>
    <x v="0"/>
    <x v="2"/>
    <n v="132977.11680000002"/>
    <n v="100740.24"/>
    <m/>
    <m/>
    <m/>
    <n v="33580.080000000002"/>
    <n v="33580.080000000002"/>
    <x v="2"/>
    <m/>
    <m/>
    <m/>
    <m/>
    <m/>
    <m/>
  </r>
  <r>
    <x v="0"/>
    <x v="0"/>
    <x v="0"/>
    <x v="3"/>
    <n v="40125.465599999996"/>
    <n v="30398.079999999998"/>
    <m/>
    <m/>
    <m/>
    <n v="11968.4"/>
    <n v="9214.84"/>
    <x v="3"/>
    <m/>
    <m/>
    <m/>
    <m/>
    <m/>
    <m/>
  </r>
  <r>
    <x v="0"/>
    <x v="0"/>
    <x v="0"/>
    <x v="4"/>
    <n v="39600"/>
    <n v="30000"/>
    <m/>
    <m/>
    <m/>
    <n v="10000"/>
    <n v="10000"/>
    <x v="4"/>
    <m/>
    <m/>
    <m/>
    <m/>
    <m/>
    <m/>
  </r>
  <r>
    <x v="0"/>
    <x v="0"/>
    <x v="0"/>
    <x v="5"/>
    <n v="60429.600000000006"/>
    <n v="45780"/>
    <m/>
    <m/>
    <m/>
    <n v="12570"/>
    <n v="16650"/>
    <x v="5"/>
    <m/>
    <m/>
    <m/>
    <m/>
    <m/>
    <m/>
  </r>
  <r>
    <x v="0"/>
    <x v="0"/>
    <x v="0"/>
    <x v="6"/>
    <n v="25290.671999999999"/>
    <n v="19159.599999999999"/>
    <m/>
    <m/>
    <m/>
    <n v="9579.7999999999993"/>
    <n v="9579.7999999999993"/>
    <x v="6"/>
    <m/>
    <m/>
    <m/>
    <m/>
    <m/>
    <m/>
  </r>
  <r>
    <x v="0"/>
    <x v="0"/>
    <x v="1"/>
    <x v="0"/>
    <n v="105272.95680000001"/>
    <n v="79752.240000000005"/>
    <n v="20401.919999999998"/>
    <n v="27820.080000000002"/>
    <n v="31530.240000000002"/>
    <m/>
    <m/>
    <x v="6"/>
    <m/>
    <m/>
    <m/>
    <m/>
    <m/>
    <m/>
  </r>
  <r>
    <x v="0"/>
    <x v="0"/>
    <x v="1"/>
    <x v="1"/>
    <n v="132000"/>
    <n v="100000"/>
    <n v="25000"/>
    <n v="25000"/>
    <n v="25000"/>
    <n v="25000"/>
    <m/>
    <x v="6"/>
    <m/>
    <m/>
    <m/>
    <m/>
    <m/>
    <m/>
  </r>
  <r>
    <x v="0"/>
    <x v="0"/>
    <x v="1"/>
    <x v="4"/>
    <n v="346159.96800000005"/>
    <n v="262242.40000000002"/>
    <n v="84080.8"/>
    <n v="94080.8"/>
    <n v="84080.8"/>
    <m/>
    <m/>
    <x v="6"/>
    <m/>
    <m/>
    <m/>
    <m/>
    <m/>
    <m/>
  </r>
  <r>
    <x v="0"/>
    <x v="0"/>
    <x v="1"/>
    <x v="5"/>
    <n v="124250.808"/>
    <n v="94129.4"/>
    <n v="40715.160000000003"/>
    <n v="53414.239999999998"/>
    <m/>
    <m/>
    <m/>
    <x v="6"/>
    <m/>
    <m/>
    <m/>
    <m/>
    <m/>
    <m/>
  </r>
  <r>
    <x v="0"/>
    <x v="0"/>
    <x v="1"/>
    <x v="6"/>
    <n v="16914.902399999999"/>
    <n v="12814.32"/>
    <n v="12814.32"/>
    <m/>
    <m/>
    <m/>
    <m/>
    <x v="6"/>
    <m/>
    <m/>
    <m/>
    <m/>
    <m/>
    <m/>
  </r>
  <r>
    <x v="0"/>
    <x v="1"/>
    <x v="2"/>
    <x v="3"/>
    <n v="36607.955999999998"/>
    <n v="27733.3"/>
    <n v="27733.3"/>
    <m/>
    <m/>
    <m/>
    <m/>
    <x v="6"/>
    <m/>
    <m/>
    <m/>
    <m/>
    <m/>
    <m/>
  </r>
  <r>
    <x v="0"/>
    <x v="1"/>
    <x v="2"/>
    <x v="4"/>
    <n v="170115.6336"/>
    <n v="128875.48"/>
    <n v="128875.48"/>
    <m/>
    <m/>
    <m/>
    <m/>
    <x v="6"/>
    <m/>
    <m/>
    <m/>
    <m/>
    <m/>
    <m/>
  </r>
  <r>
    <x v="0"/>
    <x v="1"/>
    <x v="2"/>
    <x v="5"/>
    <n v="36128.400000000001"/>
    <n v="27370"/>
    <n v="27370"/>
    <m/>
    <m/>
    <m/>
    <m/>
    <x v="6"/>
    <m/>
    <m/>
    <m/>
    <m/>
    <m/>
    <m/>
  </r>
  <r>
    <x v="0"/>
    <x v="1"/>
    <x v="2"/>
    <x v="6"/>
    <n v="33987.360000000001"/>
    <n v="25748"/>
    <n v="25748"/>
    <m/>
    <m/>
    <m/>
    <m/>
    <x v="6"/>
    <m/>
    <m/>
    <m/>
    <m/>
    <m/>
    <m/>
  </r>
  <r>
    <x v="0"/>
    <x v="1"/>
    <x v="3"/>
    <x v="1"/>
    <n v="46200"/>
    <n v="35000"/>
    <m/>
    <m/>
    <m/>
    <m/>
    <m/>
    <x v="7"/>
    <m/>
    <m/>
    <m/>
    <m/>
    <m/>
    <m/>
  </r>
  <r>
    <x v="0"/>
    <x v="1"/>
    <x v="3"/>
    <x v="2"/>
    <n v="125769.60000000001"/>
    <n v="95280"/>
    <m/>
    <m/>
    <m/>
    <n v="31760"/>
    <n v="31760"/>
    <x v="8"/>
    <m/>
    <m/>
    <m/>
    <m/>
    <m/>
    <m/>
  </r>
  <r>
    <x v="0"/>
    <x v="1"/>
    <x v="3"/>
    <x v="4"/>
    <n v="23760"/>
    <n v="18000"/>
    <m/>
    <m/>
    <m/>
    <n v="6000"/>
    <n v="6000"/>
    <x v="9"/>
    <m/>
    <m/>
    <m/>
    <m/>
    <m/>
    <m/>
  </r>
  <r>
    <x v="0"/>
    <x v="1"/>
    <x v="3"/>
    <x v="5"/>
    <n v="57655.804800000005"/>
    <n v="43678.64"/>
    <m/>
    <m/>
    <m/>
    <n v="43678.64"/>
    <m/>
    <x v="6"/>
    <m/>
    <m/>
    <m/>
    <m/>
    <m/>
    <m/>
  </r>
  <r>
    <x v="0"/>
    <x v="1"/>
    <x v="3"/>
    <x v="6"/>
    <n v="12647.712000000001"/>
    <n v="9581.6"/>
    <m/>
    <m/>
    <m/>
    <n v="9581.6"/>
    <m/>
    <x v="6"/>
    <m/>
    <m/>
    <m/>
    <m/>
    <m/>
    <m/>
  </r>
  <r>
    <x v="0"/>
    <x v="2"/>
    <x v="4"/>
    <x v="4"/>
    <n v="269599.1496"/>
    <n v="204241.78"/>
    <m/>
    <m/>
    <n v="8393"/>
    <n v="48795.3"/>
    <n v="5964.48"/>
    <x v="10"/>
    <n v="69600"/>
    <m/>
    <m/>
    <m/>
    <m/>
    <m/>
  </r>
  <r>
    <x v="0"/>
    <x v="2"/>
    <x v="4"/>
    <x v="5"/>
    <n v="568510.04760000005"/>
    <n v="430689.43"/>
    <m/>
    <n v="78901"/>
    <n v="114324.56"/>
    <n v="86809.75"/>
    <n v="57224.92"/>
    <x v="11"/>
    <n v="27220"/>
    <m/>
    <m/>
    <m/>
    <m/>
    <m/>
  </r>
  <r>
    <x v="0"/>
    <x v="1"/>
    <x v="5"/>
    <x v="1"/>
    <n v="153978"/>
    <n v="116650"/>
    <m/>
    <m/>
    <m/>
    <m/>
    <n v="35000"/>
    <x v="7"/>
    <n v="46650"/>
    <m/>
    <m/>
    <m/>
    <m/>
    <m/>
  </r>
  <r>
    <x v="0"/>
    <x v="1"/>
    <x v="5"/>
    <x v="2"/>
    <n v="220616.08799999999"/>
    <n v="167133.4"/>
    <m/>
    <m/>
    <m/>
    <m/>
    <n v="39824"/>
    <x v="12"/>
    <n v="48742.400000000001"/>
    <n v="38743"/>
    <m/>
    <m/>
    <m/>
    <m/>
  </r>
  <r>
    <x v="0"/>
    <x v="1"/>
    <x v="5"/>
    <x v="3"/>
    <n v="88914.605999999985"/>
    <n v="67359.549999999988"/>
    <m/>
    <m/>
    <m/>
    <m/>
    <n v="16160"/>
    <x v="13"/>
    <n v="16899.95"/>
    <n v="19799.599999999999"/>
    <m/>
    <m/>
    <m/>
    <m/>
  </r>
  <r>
    <x v="0"/>
    <x v="1"/>
    <x v="5"/>
    <x v="4"/>
    <n v="390367.56"/>
    <n v="295733"/>
    <m/>
    <m/>
    <m/>
    <m/>
    <m/>
    <x v="14"/>
    <n v="21519"/>
    <n v="21519"/>
    <m/>
    <m/>
    <m/>
    <m/>
  </r>
  <r>
    <x v="0"/>
    <x v="1"/>
    <x v="5"/>
    <x v="5"/>
    <n v="67181.122799999997"/>
    <n v="50894.79"/>
    <m/>
    <m/>
    <m/>
    <m/>
    <n v="22981.79"/>
    <x v="6"/>
    <n v="21326"/>
    <n v="6587"/>
    <m/>
    <m/>
    <m/>
    <m/>
  </r>
  <r>
    <x v="0"/>
    <x v="1"/>
    <x v="5"/>
    <x v="6"/>
    <n v="23474.880000000001"/>
    <n v="17784"/>
    <m/>
    <m/>
    <m/>
    <m/>
    <n v="7784"/>
    <x v="4"/>
    <m/>
    <m/>
    <m/>
    <m/>
    <m/>
    <m/>
  </r>
  <r>
    <x v="0"/>
    <x v="1"/>
    <x v="6"/>
    <x v="1"/>
    <n v="74778"/>
    <n v="56650"/>
    <m/>
    <m/>
    <m/>
    <m/>
    <m/>
    <x v="6"/>
    <n v="56650"/>
    <m/>
    <m/>
    <m/>
    <m/>
    <m/>
  </r>
  <r>
    <x v="0"/>
    <x v="1"/>
    <x v="6"/>
    <x v="0"/>
    <n v="26142.600000000002"/>
    <n v="19805"/>
    <m/>
    <m/>
    <m/>
    <m/>
    <m/>
    <x v="6"/>
    <n v="9902.5"/>
    <n v="9902.5"/>
    <m/>
    <m/>
    <m/>
    <m/>
  </r>
  <r>
    <x v="0"/>
    <x v="1"/>
    <x v="6"/>
    <x v="3"/>
    <n v="139946.4"/>
    <n v="106020"/>
    <m/>
    <m/>
    <m/>
    <m/>
    <m/>
    <x v="6"/>
    <n v="79740.100000000006"/>
    <n v="26279.9"/>
    <m/>
    <m/>
    <m/>
    <m/>
  </r>
  <r>
    <x v="0"/>
    <x v="1"/>
    <x v="6"/>
    <x v="2"/>
    <n v="83371.305600000007"/>
    <n v="63160.08"/>
    <m/>
    <m/>
    <m/>
    <m/>
    <m/>
    <x v="6"/>
    <n v="31580"/>
    <n v="31580.080000000002"/>
    <m/>
    <m/>
    <m/>
    <m/>
  </r>
  <r>
    <x v="0"/>
    <x v="1"/>
    <x v="6"/>
    <x v="5"/>
    <n v="44657.712"/>
    <n v="33831.599999999999"/>
    <m/>
    <m/>
    <m/>
    <m/>
    <m/>
    <x v="6"/>
    <n v="24476.6"/>
    <n v="9355"/>
    <m/>
    <m/>
    <m/>
    <m/>
  </r>
  <r>
    <x v="0"/>
    <x v="1"/>
    <x v="6"/>
    <x v="4"/>
    <n v="28405.08"/>
    <n v="21519"/>
    <m/>
    <m/>
    <m/>
    <m/>
    <m/>
    <x v="6"/>
    <n v="21519"/>
    <m/>
    <m/>
    <m/>
    <m/>
    <m/>
  </r>
  <r>
    <x v="0"/>
    <x v="1"/>
    <x v="6"/>
    <x v="6"/>
    <n v="29412.240000000002"/>
    <n v="22282"/>
    <m/>
    <m/>
    <m/>
    <m/>
    <m/>
    <x v="6"/>
    <n v="22282"/>
    <m/>
    <m/>
    <m/>
    <m/>
    <m/>
  </r>
  <r>
    <x v="0"/>
    <x v="1"/>
    <x v="4"/>
    <x v="5"/>
    <n v="96638.52"/>
    <n v="73211"/>
    <m/>
    <m/>
    <m/>
    <m/>
    <m/>
    <x v="6"/>
    <n v="73211"/>
    <m/>
    <m/>
    <m/>
    <m/>
    <m/>
  </r>
  <r>
    <x v="0"/>
    <x v="1"/>
    <x v="4"/>
    <x v="4"/>
    <n v="142755.36000000002"/>
    <n v="108148"/>
    <m/>
    <m/>
    <m/>
    <m/>
    <m/>
    <x v="6"/>
    <n v="71498"/>
    <n v="36650"/>
    <m/>
    <m/>
    <m/>
    <m/>
  </r>
  <r>
    <x v="0"/>
    <x v="1"/>
    <x v="7"/>
    <x v="1"/>
    <n v="83358"/>
    <n v="63150"/>
    <m/>
    <m/>
    <m/>
    <m/>
    <m/>
    <x v="6"/>
    <n v="36650"/>
    <n v="26500"/>
    <m/>
    <m/>
    <m/>
    <m/>
  </r>
  <r>
    <x v="0"/>
    <x v="1"/>
    <x v="7"/>
    <x v="2"/>
    <n v="34980"/>
    <n v="26500"/>
    <m/>
    <m/>
    <m/>
    <m/>
    <m/>
    <x v="6"/>
    <n v="26500"/>
    <m/>
    <m/>
    <m/>
    <m/>
    <m/>
  </r>
  <r>
    <x v="0"/>
    <x v="1"/>
    <x v="7"/>
    <x v="5"/>
    <n v="33811.800000000003"/>
    <n v="25615"/>
    <m/>
    <m/>
    <m/>
    <m/>
    <m/>
    <x v="6"/>
    <n v="25615"/>
    <m/>
    <m/>
    <m/>
    <m/>
    <m/>
  </r>
  <r>
    <x v="0"/>
    <x v="1"/>
    <x v="7"/>
    <x v="6"/>
    <n v="12646.655999999999"/>
    <n v="9580.7999999999993"/>
    <m/>
    <m/>
    <m/>
    <m/>
    <m/>
    <x v="6"/>
    <n v="9580.7999999999993"/>
    <m/>
    <m/>
    <m/>
    <m/>
    <m/>
  </r>
  <r>
    <x v="0"/>
    <x v="1"/>
    <x v="8"/>
    <x v="1"/>
    <n v="157476"/>
    <n v="119300"/>
    <m/>
    <m/>
    <m/>
    <m/>
    <m/>
    <x v="6"/>
    <n v="59650"/>
    <n v="59650"/>
    <m/>
    <m/>
    <m/>
    <m/>
  </r>
  <r>
    <x v="0"/>
    <x v="1"/>
    <x v="8"/>
    <x v="3"/>
    <n v="45583.89"/>
    <n v="34533.25"/>
    <m/>
    <m/>
    <m/>
    <m/>
    <m/>
    <x v="6"/>
    <n v="13813.3"/>
    <n v="20719.95"/>
    <m/>
    <m/>
    <m/>
    <m/>
  </r>
  <r>
    <x v="0"/>
    <x v="1"/>
    <x v="8"/>
    <x v="2"/>
    <n v="103382.82240000002"/>
    <n v="78320.320000000007"/>
    <m/>
    <m/>
    <m/>
    <m/>
    <m/>
    <x v="6"/>
    <n v="39160.160000000003"/>
    <n v="39160.160000000003"/>
    <m/>
    <m/>
    <m/>
    <m/>
  </r>
  <r>
    <x v="0"/>
    <x v="1"/>
    <x v="8"/>
    <x v="5"/>
    <n v="43169.279999999999"/>
    <n v="32704"/>
    <m/>
    <m/>
    <m/>
    <m/>
    <m/>
    <x v="6"/>
    <n v="19632"/>
    <n v="13072"/>
    <m/>
    <m/>
    <m/>
    <m/>
  </r>
  <r>
    <x v="0"/>
    <x v="1"/>
    <x v="8"/>
    <x v="6"/>
    <n v="33219.648000000001"/>
    <n v="25166.400000000001"/>
    <m/>
    <m/>
    <m/>
    <m/>
    <m/>
    <x v="6"/>
    <n v="12583.2"/>
    <n v="12583.2"/>
    <m/>
    <m/>
    <m/>
    <m/>
  </r>
  <r>
    <x v="0"/>
    <x v="1"/>
    <x v="9"/>
    <x v="1"/>
    <n v="57618"/>
    <n v="43650"/>
    <m/>
    <m/>
    <m/>
    <m/>
    <m/>
    <x v="6"/>
    <m/>
    <n v="43650"/>
    <m/>
    <m/>
    <m/>
    <m/>
  </r>
  <r>
    <x v="0"/>
    <x v="1"/>
    <x v="9"/>
    <x v="3"/>
    <n v="20407.992000000002"/>
    <n v="15460.6"/>
    <m/>
    <m/>
    <m/>
    <m/>
    <m/>
    <x v="6"/>
    <m/>
    <n v="15460.6"/>
    <m/>
    <m/>
    <m/>
    <m/>
  </r>
  <r>
    <x v="0"/>
    <x v="1"/>
    <x v="9"/>
    <x v="2"/>
    <n v="40365.705600000001"/>
    <n v="30580.080000000002"/>
    <m/>
    <m/>
    <m/>
    <m/>
    <m/>
    <x v="6"/>
    <m/>
    <n v="30580.080000000002"/>
    <m/>
    <m/>
    <m/>
    <m/>
  </r>
  <r>
    <x v="0"/>
    <x v="1"/>
    <x v="9"/>
    <x v="5"/>
    <n v="40503.196800000005"/>
    <n v="30684.240000000002"/>
    <m/>
    <m/>
    <m/>
    <m/>
    <m/>
    <x v="6"/>
    <m/>
    <n v="30684.240000000002"/>
    <m/>
    <m/>
    <m/>
    <m/>
  </r>
  <r>
    <x v="0"/>
    <x v="1"/>
    <x v="9"/>
    <x v="6"/>
    <n v="12172.406400000002"/>
    <n v="9221.52"/>
    <m/>
    <m/>
    <m/>
    <m/>
    <m/>
    <x v="6"/>
    <m/>
    <n v="9221.52"/>
    <m/>
    <m/>
    <m/>
    <m/>
  </r>
  <r>
    <x v="1"/>
    <x v="1"/>
    <x v="10"/>
    <x v="1"/>
    <n v="105153.06479999999"/>
    <n v="62591.11"/>
    <n v="16800"/>
    <n v="21793.99"/>
    <n v="23997.119999999999"/>
    <m/>
    <m/>
    <x v="6"/>
    <m/>
    <m/>
    <m/>
    <m/>
    <m/>
    <m/>
  </r>
  <r>
    <x v="1"/>
    <x v="1"/>
    <x v="10"/>
    <x v="3"/>
    <n v="754106.43311460677"/>
    <n v="448872.87685393263"/>
    <n v="181557.3468539326"/>
    <n v="202085.51"/>
    <n v="65230.020000000004"/>
    <m/>
    <m/>
    <x v="6"/>
    <m/>
    <m/>
    <m/>
    <m/>
    <m/>
    <m/>
  </r>
  <r>
    <x v="1"/>
    <x v="1"/>
    <x v="10"/>
    <x v="4"/>
    <n v="220977.65760000001"/>
    <n v="131534.32"/>
    <n v="59137.159999999996"/>
    <n v="59137.159999999996"/>
    <n v="13260"/>
    <m/>
    <m/>
    <x v="6"/>
    <m/>
    <m/>
    <m/>
    <m/>
    <m/>
    <m/>
  </r>
  <r>
    <x v="1"/>
    <x v="1"/>
    <x v="10"/>
    <x v="7"/>
    <n v="213060.12"/>
    <n v="126821.5"/>
    <n v="6961.5"/>
    <n v="119860"/>
    <m/>
    <m/>
    <m/>
    <x v="6"/>
    <m/>
    <m/>
    <m/>
    <m/>
    <m/>
    <m/>
  </r>
  <r>
    <x v="1"/>
    <x v="1"/>
    <x v="11"/>
    <x v="5"/>
    <n v="349283.74924800004"/>
    <n v="207906.99360000002"/>
    <n v="11588.45"/>
    <n v="11588.45"/>
    <n v="83795.16"/>
    <n v="28559.55"/>
    <n v="12747.29"/>
    <x v="15"/>
    <n v="25494.573600000003"/>
    <m/>
    <n v="21386.23"/>
    <m/>
    <m/>
    <m/>
  </r>
  <r>
    <x v="1"/>
    <x v="1"/>
    <x v="12"/>
    <x v="4"/>
    <n v="16800"/>
    <n v="10000"/>
    <m/>
    <m/>
    <m/>
    <m/>
    <m/>
    <x v="6"/>
    <m/>
    <m/>
    <n v="10000"/>
    <m/>
    <m/>
    <m/>
  </r>
  <r>
    <x v="1"/>
    <x v="1"/>
    <x v="13"/>
    <x v="1"/>
    <n v="282836.34119999997"/>
    <n v="168354.965"/>
    <n v="819.15000000000009"/>
    <n v="13911.150000000001"/>
    <n v="13655.559999999998"/>
    <n v="25444.32"/>
    <n v="7938.91"/>
    <x v="16"/>
    <n v="30477.23"/>
    <n v="37765.08"/>
    <m/>
    <m/>
    <m/>
    <m/>
  </r>
  <r>
    <x v="1"/>
    <x v="1"/>
    <x v="14"/>
    <x v="4"/>
    <n v="1236748.8336"/>
    <n v="736160.02"/>
    <m/>
    <n v="89551.33"/>
    <n v="92372.67"/>
    <n v="92372.67"/>
    <n v="92372.67"/>
    <x v="17"/>
    <n v="92372.67"/>
    <n v="92372.67"/>
    <n v="92372.67"/>
    <m/>
    <m/>
    <m/>
  </r>
  <r>
    <x v="1"/>
    <x v="1"/>
    <x v="15"/>
    <x v="0"/>
    <n v="4712.3999999999996"/>
    <n v="2805"/>
    <m/>
    <n v="1275"/>
    <m/>
    <m/>
    <n v="1530"/>
    <x v="6"/>
    <m/>
    <m/>
    <m/>
    <m/>
    <m/>
    <m/>
  </r>
  <r>
    <x v="1"/>
    <x v="1"/>
    <x v="15"/>
    <x v="1"/>
    <n v="35186.565811200002"/>
    <n v="20944.384411428571"/>
    <m/>
    <n v="13498.264411428572"/>
    <m/>
    <m/>
    <n v="7446.12"/>
    <x v="6"/>
    <m/>
    <m/>
    <m/>
    <m/>
    <m/>
    <m/>
  </r>
  <r>
    <x v="1"/>
    <x v="1"/>
    <x v="15"/>
    <x v="3"/>
    <n v="39298.568399999996"/>
    <n v="23392.004999999997"/>
    <m/>
    <n v="11568.074999999999"/>
    <m/>
    <m/>
    <n v="11823.93"/>
    <x v="6"/>
    <m/>
    <m/>
    <m/>
    <m/>
    <m/>
    <m/>
  </r>
  <r>
    <x v="1"/>
    <x v="1"/>
    <x v="16"/>
    <x v="0"/>
    <n v="758609.04839999997"/>
    <n v="451553.005"/>
    <m/>
    <m/>
    <m/>
    <m/>
    <m/>
    <x v="6"/>
    <n v="322783.89500000002"/>
    <n v="128769.11"/>
    <m/>
    <m/>
    <m/>
    <m/>
  </r>
  <r>
    <x v="1"/>
    <x v="1"/>
    <x v="16"/>
    <x v="1"/>
    <n v="465411.87839999999"/>
    <n v="277030.88"/>
    <m/>
    <m/>
    <n v="44979.839999999997"/>
    <n v="38426.559999999998"/>
    <n v="9236"/>
    <x v="18"/>
    <n v="35821.599999999999"/>
    <n v="35821.599999999999"/>
    <n v="82322.559999999998"/>
    <m/>
    <m/>
    <m/>
  </r>
  <r>
    <x v="1"/>
    <x v="1"/>
    <x v="16"/>
    <x v="3"/>
    <n v="2406789.6636000006"/>
    <n v="1432612.8950000003"/>
    <m/>
    <m/>
    <n v="222231.67250000002"/>
    <n v="286994.36249999999"/>
    <n v="204376.7"/>
    <x v="19"/>
    <n v="179752.54"/>
    <n v="179752.54"/>
    <n v="179752.54"/>
    <m/>
    <m/>
    <m/>
  </r>
  <r>
    <x v="1"/>
    <x v="1"/>
    <x v="16"/>
    <x v="4"/>
    <n v="2786259.6047999999"/>
    <n v="1658487.8599999999"/>
    <m/>
    <m/>
    <n v="267831.98"/>
    <n v="267831.98"/>
    <n v="267831.98"/>
    <x v="20"/>
    <n v="267831.98"/>
    <n v="232798.98"/>
    <n v="86528.98"/>
    <m/>
    <m/>
    <m/>
  </r>
  <r>
    <x v="1"/>
    <x v="1"/>
    <x v="16"/>
    <x v="5"/>
    <n v="327555.04269600002"/>
    <n v="194973.23970000001"/>
    <m/>
    <m/>
    <n v="48743"/>
    <n v="36557.56"/>
    <n v="48743.413200000003"/>
    <x v="21"/>
    <n v="24371.706600000001"/>
    <m/>
    <m/>
    <m/>
    <m/>
    <m/>
  </r>
  <r>
    <x v="1"/>
    <x v="1"/>
    <x v="17"/>
    <x v="1"/>
    <n v="15175.439999999999"/>
    <n v="9033"/>
    <m/>
    <m/>
    <m/>
    <m/>
    <m/>
    <x v="6"/>
    <n v="8200"/>
    <m/>
    <n v="833"/>
    <m/>
    <m/>
    <m/>
  </r>
  <r>
    <x v="1"/>
    <x v="1"/>
    <x v="17"/>
    <x v="3"/>
    <n v="21869.82"/>
    <n v="13017.75"/>
    <m/>
    <m/>
    <m/>
    <m/>
    <m/>
    <x v="6"/>
    <n v="13017.75"/>
    <m/>
    <m/>
    <m/>
    <m/>
    <m/>
  </r>
  <r>
    <x v="1"/>
    <x v="1"/>
    <x v="17"/>
    <x v="4"/>
    <n v="13776"/>
    <n v="8200"/>
    <m/>
    <m/>
    <m/>
    <m/>
    <m/>
    <x v="6"/>
    <n v="8200"/>
    <m/>
    <m/>
    <m/>
    <m/>
    <m/>
  </r>
  <r>
    <x v="1"/>
    <x v="0"/>
    <x v="17"/>
    <x v="5"/>
    <n v="11040.099336000001"/>
    <n v="6571.4877000000006"/>
    <m/>
    <m/>
    <m/>
    <m/>
    <m/>
    <x v="6"/>
    <n v="6571.4877000000006"/>
    <m/>
    <m/>
    <m/>
    <m/>
    <m/>
  </r>
  <r>
    <x v="1"/>
    <x v="0"/>
    <x v="17"/>
    <x v="7"/>
    <n v="50904"/>
    <n v="30300"/>
    <m/>
    <m/>
    <m/>
    <m/>
    <m/>
    <x v="6"/>
    <n v="30300"/>
    <m/>
    <m/>
    <m/>
    <m/>
    <m/>
  </r>
  <r>
    <x v="1"/>
    <x v="0"/>
    <x v="18"/>
    <x v="1"/>
    <n v="52996.675199999998"/>
    <n v="31545.64"/>
    <m/>
    <m/>
    <m/>
    <m/>
    <m/>
    <x v="6"/>
    <n v="15772.82"/>
    <n v="15772.82"/>
    <m/>
    <m/>
    <m/>
    <m/>
  </r>
  <r>
    <x v="1"/>
    <x v="1"/>
    <x v="18"/>
    <x v="3"/>
    <n v="111304.60319999998"/>
    <n v="66252.739999999991"/>
    <m/>
    <m/>
    <m/>
    <m/>
    <m/>
    <x v="6"/>
    <n v="66252.739999999991"/>
    <m/>
    <m/>
    <m/>
    <m/>
    <m/>
  </r>
  <r>
    <x v="1"/>
    <x v="1"/>
    <x v="18"/>
    <x v="5"/>
    <n v="31841.105184000004"/>
    <n v="18953.038800000002"/>
    <m/>
    <m/>
    <m/>
    <m/>
    <m/>
    <x v="6"/>
    <n v="18953.038800000002"/>
    <m/>
    <m/>
    <m/>
    <m/>
    <m/>
  </r>
  <r>
    <x v="1"/>
    <x v="1"/>
    <x v="19"/>
    <x v="1"/>
    <n v="15964.317599999998"/>
    <n v="9502.57"/>
    <m/>
    <m/>
    <m/>
    <m/>
    <m/>
    <x v="6"/>
    <n v="9502.57"/>
    <m/>
    <m/>
    <m/>
    <m/>
    <m/>
  </r>
  <r>
    <x v="1"/>
    <x v="1"/>
    <x v="19"/>
    <x v="3"/>
    <n v="20940.191999999999"/>
    <n v="12464.4"/>
    <m/>
    <m/>
    <m/>
    <m/>
    <m/>
    <x v="6"/>
    <n v="12464.4"/>
    <m/>
    <m/>
    <m/>
    <m/>
    <m/>
  </r>
  <r>
    <x v="1"/>
    <x v="1"/>
    <x v="20"/>
    <x v="1"/>
    <n v="36929.323199999999"/>
    <n v="21981.74"/>
    <m/>
    <m/>
    <m/>
    <m/>
    <m/>
    <x v="6"/>
    <n v="10990.87"/>
    <n v="10990.87"/>
    <m/>
    <m/>
    <m/>
    <m/>
  </r>
  <r>
    <x v="1"/>
    <x v="1"/>
    <x v="20"/>
    <x v="3"/>
    <n v="25221.335999999999"/>
    <n v="15012.7"/>
    <m/>
    <m/>
    <m/>
    <m/>
    <m/>
    <x v="6"/>
    <n v="15012.7"/>
    <m/>
    <m/>
    <m/>
    <m/>
    <m/>
  </r>
  <r>
    <x v="1"/>
    <x v="1"/>
    <x v="21"/>
    <x v="3"/>
    <n v="265483.6569"/>
    <n v="158025.98625000002"/>
    <m/>
    <m/>
    <m/>
    <m/>
    <m/>
    <x v="6"/>
    <m/>
    <n v="105350.6575"/>
    <n v="52675.328750000001"/>
    <m/>
    <m/>
    <m/>
  </r>
  <r>
    <x v="1"/>
    <x v="1"/>
    <x v="22"/>
    <x v="0"/>
    <n v="83357.500799999994"/>
    <n v="49617.56"/>
    <m/>
    <m/>
    <m/>
    <n v="40130.03"/>
    <n v="9487.5300000000007"/>
    <x v="6"/>
    <m/>
    <m/>
    <m/>
    <m/>
    <m/>
    <m/>
  </r>
  <r>
    <x v="1"/>
    <x v="1"/>
    <x v="22"/>
    <x v="1"/>
    <n v="52901.125199999995"/>
    <n v="31488.764999999999"/>
    <m/>
    <m/>
    <m/>
    <n v="10840.5"/>
    <n v="11222.145"/>
    <x v="6"/>
    <m/>
    <n v="9426.1200000000008"/>
    <m/>
    <m/>
    <m/>
    <m/>
  </r>
  <r>
    <x v="1"/>
    <x v="1"/>
    <x v="22"/>
    <x v="3"/>
    <n v="219386.69339999999"/>
    <n v="130587.3175"/>
    <m/>
    <m/>
    <m/>
    <n v="79654"/>
    <n v="50933.317499999997"/>
    <x v="6"/>
    <m/>
    <m/>
    <m/>
    <m/>
    <m/>
    <m/>
  </r>
  <r>
    <x v="1"/>
    <x v="1"/>
    <x v="22"/>
    <x v="5"/>
    <n v="64246.324800000002"/>
    <n v="38241.86"/>
    <m/>
    <m/>
    <m/>
    <n v="25494.57"/>
    <n v="12747.29"/>
    <x v="6"/>
    <m/>
    <m/>
    <m/>
    <m/>
    <m/>
    <m/>
  </r>
  <r>
    <x v="1"/>
    <x v="1"/>
    <x v="23"/>
    <x v="1"/>
    <n v="17806.7736"/>
    <n v="10599.27"/>
    <m/>
    <m/>
    <m/>
    <n v="10599.27"/>
    <m/>
    <x v="6"/>
    <m/>
    <m/>
    <m/>
    <m/>
    <m/>
    <m/>
  </r>
  <r>
    <x v="1"/>
    <x v="1"/>
    <x v="23"/>
    <x v="4"/>
    <n v="50400"/>
    <n v="30000"/>
    <m/>
    <m/>
    <m/>
    <n v="30000"/>
    <m/>
    <x v="6"/>
    <m/>
    <m/>
    <m/>
    <m/>
    <m/>
    <m/>
  </r>
  <r>
    <x v="1"/>
    <x v="1"/>
    <x v="23"/>
    <x v="5"/>
    <n v="30443.279999999999"/>
    <n v="18121"/>
    <m/>
    <m/>
    <m/>
    <n v="18121"/>
    <m/>
    <x v="6"/>
    <m/>
    <m/>
    <m/>
    <m/>
    <m/>
    <m/>
  </r>
  <r>
    <x v="1"/>
    <x v="1"/>
    <x v="24"/>
    <x v="0"/>
    <n v="482040.86363999994"/>
    <n v="286929.08549999999"/>
    <m/>
    <m/>
    <m/>
    <m/>
    <m/>
    <x v="22"/>
    <m/>
    <m/>
    <m/>
    <m/>
    <m/>
    <m/>
  </r>
  <r>
    <x v="1"/>
    <x v="1"/>
    <x v="24"/>
    <x v="1"/>
    <n v="96540.225599999991"/>
    <n v="57464.42"/>
    <m/>
    <m/>
    <m/>
    <m/>
    <m/>
    <x v="23"/>
    <n v="24621.27"/>
    <n v="24621.27"/>
    <n v="0"/>
    <n v="0"/>
    <n v="0"/>
    <n v="0"/>
  </r>
  <r>
    <x v="2"/>
    <x v="0"/>
    <x v="25"/>
    <x v="1"/>
    <n v="8081.17"/>
    <n v="8081.17"/>
    <m/>
    <n v="8081.17"/>
    <m/>
    <m/>
    <m/>
    <x v="6"/>
    <m/>
    <m/>
    <m/>
    <m/>
    <m/>
    <m/>
  </r>
  <r>
    <x v="2"/>
    <x v="0"/>
    <x v="25"/>
    <x v="1"/>
    <n v="8081.17"/>
    <n v="8081.17"/>
    <m/>
    <n v="8081.17"/>
    <m/>
    <m/>
    <m/>
    <x v="6"/>
    <m/>
    <m/>
    <m/>
    <m/>
    <m/>
    <m/>
  </r>
  <r>
    <x v="2"/>
    <x v="0"/>
    <x v="25"/>
    <x v="1"/>
    <n v="4665.3100000000004"/>
    <n v="4665.3100000000004"/>
    <m/>
    <n v="4665.3100000000004"/>
    <m/>
    <m/>
    <m/>
    <x v="6"/>
    <m/>
    <m/>
    <m/>
    <m/>
    <m/>
    <m/>
  </r>
  <r>
    <x v="2"/>
    <x v="0"/>
    <x v="25"/>
    <x v="1"/>
    <n v="1818.49"/>
    <n v="1818.49"/>
    <m/>
    <n v="1818.49"/>
    <m/>
    <m/>
    <m/>
    <x v="6"/>
    <m/>
    <m/>
    <m/>
    <m/>
    <m/>
    <m/>
  </r>
  <r>
    <x v="2"/>
    <x v="0"/>
    <x v="25"/>
    <x v="1"/>
    <n v="1818.49"/>
    <n v="1818.49"/>
    <m/>
    <n v="1818.49"/>
    <m/>
    <m/>
    <m/>
    <x v="6"/>
    <m/>
    <m/>
    <m/>
    <m/>
    <m/>
    <m/>
  </r>
  <r>
    <x v="2"/>
    <x v="0"/>
    <x v="25"/>
    <x v="1"/>
    <n v="1049.7"/>
    <n v="1049.7"/>
    <m/>
    <n v="1049.7"/>
    <m/>
    <m/>
    <m/>
    <x v="6"/>
    <m/>
    <m/>
    <m/>
    <m/>
    <m/>
    <m/>
  </r>
  <r>
    <x v="2"/>
    <x v="0"/>
    <x v="25"/>
    <x v="1"/>
    <n v="3434.73"/>
    <n v="3434.73"/>
    <m/>
    <n v="3434.73"/>
    <m/>
    <m/>
    <m/>
    <x v="6"/>
    <m/>
    <m/>
    <m/>
    <m/>
    <m/>
    <m/>
  </r>
  <r>
    <x v="2"/>
    <x v="0"/>
    <x v="25"/>
    <x v="1"/>
    <n v="3434.73"/>
    <n v="3434.73"/>
    <m/>
    <n v="3434.73"/>
    <m/>
    <m/>
    <m/>
    <x v="6"/>
    <m/>
    <m/>
    <m/>
    <m/>
    <m/>
    <m/>
  </r>
  <r>
    <x v="2"/>
    <x v="0"/>
    <x v="25"/>
    <x v="1"/>
    <n v="1982.76"/>
    <n v="1982.76"/>
    <m/>
    <n v="1982.76"/>
    <m/>
    <m/>
    <m/>
    <x v="6"/>
    <m/>
    <m/>
    <m/>
    <m/>
    <m/>
    <m/>
  </r>
  <r>
    <x v="2"/>
    <x v="0"/>
    <x v="25"/>
    <x v="1"/>
    <n v="17509.36"/>
    <n v="17509.36"/>
    <m/>
    <n v="17509.36"/>
    <m/>
    <m/>
    <m/>
    <x v="6"/>
    <m/>
    <m/>
    <m/>
    <m/>
    <m/>
    <m/>
  </r>
  <r>
    <x v="2"/>
    <x v="0"/>
    <x v="25"/>
    <x v="1"/>
    <n v="17509.36"/>
    <n v="17509.36"/>
    <m/>
    <n v="17509.36"/>
    <m/>
    <m/>
    <m/>
    <x v="6"/>
    <m/>
    <m/>
    <m/>
    <m/>
    <m/>
    <m/>
  </r>
  <r>
    <x v="2"/>
    <x v="0"/>
    <x v="25"/>
    <x v="1"/>
    <n v="10107.870000000001"/>
    <n v="10107.870000000001"/>
    <m/>
    <n v="10107.870000000001"/>
    <m/>
    <m/>
    <m/>
    <x v="6"/>
    <m/>
    <m/>
    <m/>
    <m/>
    <m/>
    <m/>
  </r>
  <r>
    <x v="2"/>
    <x v="0"/>
    <x v="25"/>
    <x v="1"/>
    <n v="4646.8999999999996"/>
    <n v="4646.8999999999996"/>
    <m/>
    <n v="4646.8999999999996"/>
    <m/>
    <m/>
    <m/>
    <x v="6"/>
    <m/>
    <m/>
    <m/>
    <m/>
    <m/>
    <m/>
  </r>
  <r>
    <x v="2"/>
    <x v="0"/>
    <x v="25"/>
    <x v="1"/>
    <n v="4646.8999999999996"/>
    <n v="4646.8999999999996"/>
    <m/>
    <n v="4646.8999999999996"/>
    <m/>
    <m/>
    <m/>
    <x v="6"/>
    <m/>
    <m/>
    <m/>
    <m/>
    <m/>
    <m/>
  </r>
  <r>
    <x v="2"/>
    <x v="0"/>
    <x v="25"/>
    <x v="1"/>
    <n v="2682.55"/>
    <n v="2682.55"/>
    <m/>
    <n v="2682.55"/>
    <m/>
    <m/>
    <m/>
    <x v="6"/>
    <m/>
    <m/>
    <m/>
    <m/>
    <m/>
    <m/>
  </r>
  <r>
    <x v="2"/>
    <x v="0"/>
    <x v="25"/>
    <x v="1"/>
    <n v="5082.75"/>
    <n v="5082.75"/>
    <m/>
    <n v="5082.75"/>
    <m/>
    <m/>
    <m/>
    <x v="6"/>
    <m/>
    <m/>
    <m/>
    <m/>
    <m/>
    <m/>
  </r>
  <r>
    <x v="2"/>
    <x v="0"/>
    <x v="25"/>
    <x v="1"/>
    <n v="2261.75"/>
    <n v="2261.75"/>
    <m/>
    <n v="2261.75"/>
    <m/>
    <m/>
    <m/>
    <x v="6"/>
    <m/>
    <m/>
    <m/>
    <m/>
    <m/>
    <m/>
  </r>
  <r>
    <x v="2"/>
    <x v="0"/>
    <x v="26"/>
    <x v="4"/>
    <n v="176000"/>
    <n v="176000"/>
    <m/>
    <m/>
    <m/>
    <n v="176000"/>
    <m/>
    <x v="6"/>
    <m/>
    <m/>
    <m/>
    <m/>
    <m/>
    <m/>
  </r>
  <r>
    <x v="2"/>
    <x v="1"/>
    <x v="27"/>
    <x v="0"/>
    <n v="517634"/>
    <n v="517634"/>
    <n v="517634"/>
    <m/>
    <m/>
    <m/>
    <m/>
    <x v="6"/>
    <m/>
    <m/>
    <m/>
    <m/>
    <m/>
    <m/>
  </r>
  <r>
    <x v="3"/>
    <x v="1"/>
    <x v="28"/>
    <x v="0"/>
    <n v="59409.000000000007"/>
    <n v="424350"/>
    <m/>
    <m/>
    <n v="424350"/>
    <m/>
    <m/>
    <x v="6"/>
    <m/>
    <m/>
    <m/>
    <m/>
    <m/>
    <m/>
  </r>
  <r>
    <x v="3"/>
    <x v="1"/>
    <x v="28"/>
    <x v="1"/>
    <n v="197420.41620000004"/>
    <n v="1410145.83"/>
    <m/>
    <m/>
    <n v="384066"/>
    <n v="105200.34"/>
    <n v="117489"/>
    <x v="24"/>
    <m/>
    <n v="313723.06"/>
    <n v="136819.76"/>
    <m/>
    <m/>
    <m/>
  </r>
  <r>
    <x v="3"/>
    <x v="1"/>
    <x v="28"/>
    <x v="2"/>
    <n v="126000.00000000001"/>
    <n v="900000"/>
    <m/>
    <m/>
    <n v="900000"/>
    <m/>
    <m/>
    <x v="6"/>
    <m/>
    <m/>
    <m/>
    <m/>
    <m/>
    <m/>
  </r>
  <r>
    <x v="3"/>
    <x v="1"/>
    <x v="28"/>
    <x v="3"/>
    <n v="534431.24000000011"/>
    <n v="3817366"/>
    <m/>
    <n v="1100000"/>
    <n v="2717366"/>
    <m/>
    <m/>
    <x v="6"/>
    <m/>
    <m/>
    <m/>
    <m/>
    <m/>
    <m/>
  </r>
  <r>
    <x v="3"/>
    <x v="1"/>
    <x v="28"/>
    <x v="4"/>
    <n v="590800"/>
    <n v="4220000"/>
    <m/>
    <m/>
    <n v="1450000"/>
    <n v="1450000"/>
    <n v="1210000"/>
    <x v="25"/>
    <m/>
    <m/>
    <m/>
    <m/>
    <m/>
    <m/>
  </r>
  <r>
    <x v="3"/>
    <x v="2"/>
    <x v="4"/>
    <x v="0"/>
    <n v="178227.00000000003"/>
    <n v="1273050"/>
    <m/>
    <n v="1273050"/>
    <m/>
    <m/>
    <m/>
    <x v="6"/>
    <m/>
    <m/>
    <m/>
    <m/>
    <m/>
    <m/>
  </r>
  <r>
    <x v="3"/>
    <x v="1"/>
    <x v="29"/>
    <x v="1"/>
    <n v="37776.620000000003"/>
    <n v="269833"/>
    <m/>
    <m/>
    <n v="269833"/>
    <m/>
    <m/>
    <x v="6"/>
    <m/>
    <m/>
    <m/>
    <m/>
    <m/>
    <m/>
  </r>
  <r>
    <x v="3"/>
    <x v="1"/>
    <x v="30"/>
    <x v="1"/>
    <n v="1131534.1982000002"/>
    <n v="8082387.1300000008"/>
    <n v="1366132"/>
    <n v="662096.69999999995"/>
    <m/>
    <n v="469505.96"/>
    <n v="593749"/>
    <x v="26"/>
    <n v="1855262.22"/>
    <n v="1098352.57"/>
    <n v="1442242.69"/>
    <m/>
    <m/>
    <m/>
  </r>
  <r>
    <x v="3"/>
    <x v="1"/>
    <x v="30"/>
    <x v="3"/>
    <n v="80360.000000000015"/>
    <n v="574000"/>
    <n v="574000"/>
    <m/>
    <m/>
    <m/>
    <m/>
    <x v="6"/>
    <m/>
    <m/>
    <m/>
    <m/>
    <m/>
    <m/>
  </r>
  <r>
    <x v="3"/>
    <x v="1"/>
    <x v="31"/>
    <x v="0"/>
    <n v="144648"/>
    <n v="1033200"/>
    <n v="1033200"/>
    <m/>
    <m/>
    <m/>
    <m/>
    <x v="6"/>
    <m/>
    <m/>
    <m/>
    <m/>
    <m/>
    <m/>
  </r>
  <r>
    <x v="3"/>
    <x v="1"/>
    <x v="31"/>
    <x v="1"/>
    <n v="28350.000000000004"/>
    <n v="202500"/>
    <n v="202500"/>
    <m/>
    <m/>
    <m/>
    <m/>
    <x v="6"/>
    <m/>
    <m/>
    <m/>
    <m/>
    <m/>
    <m/>
  </r>
  <r>
    <x v="3"/>
    <x v="0"/>
    <x v="32"/>
    <x v="1"/>
    <n v="462261.8672000001"/>
    <n v="3301870.4800000004"/>
    <n v="393869"/>
    <n v="338172.3"/>
    <n v="1109246"/>
    <n v="527277.17000000004"/>
    <n v="303156"/>
    <x v="6"/>
    <n v="58887.08"/>
    <n v="223813.73"/>
    <n v="347449.2"/>
    <m/>
    <m/>
    <m/>
  </r>
  <r>
    <x v="3"/>
    <x v="0"/>
    <x v="32"/>
    <x v="5"/>
    <n v="21000.000000000004"/>
    <n v="150000"/>
    <m/>
    <n v="150000"/>
    <m/>
    <m/>
    <m/>
    <x v="6"/>
    <m/>
    <m/>
    <m/>
    <m/>
    <m/>
    <m/>
  </r>
  <r>
    <x v="3"/>
    <x v="0"/>
    <x v="32"/>
    <x v="0"/>
    <n v="109200.00000000001"/>
    <n v="780000"/>
    <m/>
    <m/>
    <m/>
    <m/>
    <m/>
    <x v="6"/>
    <m/>
    <m/>
    <n v="780000"/>
    <m/>
    <m/>
    <m/>
  </r>
  <r>
    <x v="3"/>
    <x v="2"/>
    <x v="33"/>
    <x v="1"/>
    <n v="124542.1296"/>
    <n v="889586.6399999999"/>
    <n v="389789"/>
    <n v="61379.1"/>
    <m/>
    <m/>
    <m/>
    <x v="6"/>
    <n v="66500"/>
    <n v="371918.54"/>
    <m/>
    <m/>
    <m/>
    <m/>
  </r>
  <r>
    <x v="3"/>
    <x v="2"/>
    <x v="34"/>
    <x v="5"/>
    <n v="104473.74"/>
    <n v="746241"/>
    <m/>
    <n v="248747"/>
    <m/>
    <n v="248747"/>
    <m/>
    <x v="6"/>
    <n v="248747"/>
    <m/>
    <m/>
    <m/>
    <m/>
    <m/>
  </r>
  <r>
    <x v="3"/>
    <x v="2"/>
    <x v="35"/>
    <x v="1"/>
    <n v="190260.00000000003"/>
    <n v="1359000"/>
    <m/>
    <n v="1359000"/>
    <m/>
    <m/>
    <m/>
    <x v="6"/>
    <m/>
    <m/>
    <m/>
    <m/>
    <m/>
    <m/>
  </r>
  <r>
    <x v="3"/>
    <x v="2"/>
    <x v="36"/>
    <x v="1"/>
    <n v="25556.58"/>
    <n v="182547"/>
    <m/>
    <m/>
    <m/>
    <m/>
    <m/>
    <x v="6"/>
    <m/>
    <m/>
    <n v="182547"/>
    <m/>
    <m/>
    <m/>
  </r>
  <r>
    <x v="3"/>
    <x v="2"/>
    <x v="37"/>
    <x v="1"/>
    <n v="221448.78000000003"/>
    <n v="1581777"/>
    <m/>
    <n v="1581777"/>
    <m/>
    <m/>
    <m/>
    <x v="6"/>
    <m/>
    <m/>
    <m/>
    <m/>
    <m/>
    <m/>
  </r>
  <r>
    <x v="3"/>
    <x v="1"/>
    <x v="38"/>
    <x v="5"/>
    <n v="999828.76000000013"/>
    <n v="7141634"/>
    <m/>
    <m/>
    <n v="2253622"/>
    <n v="2253622"/>
    <m/>
    <x v="6"/>
    <m/>
    <n v="2634390"/>
    <m/>
    <m/>
    <m/>
    <m/>
  </r>
  <r>
    <x v="3"/>
    <x v="1"/>
    <x v="39"/>
    <x v="1"/>
    <n v="608870.20740000007"/>
    <n v="4349072.91"/>
    <m/>
    <m/>
    <m/>
    <m/>
    <m/>
    <x v="6"/>
    <n v="1122880.43"/>
    <n v="1008081.48"/>
    <n v="2218111"/>
    <m/>
    <m/>
    <m/>
  </r>
  <r>
    <x v="3"/>
    <x v="1"/>
    <x v="39"/>
    <x v="3"/>
    <n v="390320.00000000006"/>
    <n v="2788000"/>
    <m/>
    <m/>
    <m/>
    <m/>
    <m/>
    <x v="6"/>
    <m/>
    <m/>
    <n v="2788000"/>
    <m/>
    <m/>
    <m/>
  </r>
  <r>
    <x v="3"/>
    <x v="1"/>
    <x v="39"/>
    <x v="0"/>
    <n v="282867.20000000001"/>
    <n v="2020480"/>
    <m/>
    <m/>
    <m/>
    <m/>
    <m/>
    <x v="6"/>
    <m/>
    <m/>
    <n v="2020480"/>
    <m/>
    <m/>
    <m/>
  </r>
  <r>
    <x v="3"/>
    <x v="1"/>
    <x v="39"/>
    <x v="4"/>
    <n v="343000.00000000006"/>
    <n v="2450000"/>
    <m/>
    <m/>
    <m/>
    <m/>
    <m/>
    <x v="6"/>
    <m/>
    <m/>
    <n v="2450000"/>
    <m/>
    <m/>
    <m/>
  </r>
  <r>
    <x v="3"/>
    <x v="1"/>
    <x v="40"/>
    <x v="1"/>
    <n v="76112.043000000005"/>
    <n v="543657.44999999995"/>
    <m/>
    <m/>
    <m/>
    <m/>
    <m/>
    <x v="6"/>
    <n v="33135.620000000003"/>
    <n v="159794.18"/>
    <n v="350727.65"/>
    <m/>
    <m/>
    <m/>
  </r>
  <r>
    <x v="3"/>
    <x v="1"/>
    <x v="41"/>
    <x v="1"/>
    <n v="77227.381000000008"/>
    <n v="551624.15"/>
    <m/>
    <m/>
    <m/>
    <m/>
    <m/>
    <x v="6"/>
    <n v="66500"/>
    <n v="238844.06"/>
    <n v="246280.09"/>
    <m/>
    <m/>
    <m/>
  </r>
  <r>
    <x v="3"/>
    <x v="1"/>
    <x v="41"/>
    <x v="3"/>
    <n v="149240"/>
    <n v="1066000"/>
    <m/>
    <m/>
    <m/>
    <m/>
    <m/>
    <x v="6"/>
    <n v="574000"/>
    <n v="492000"/>
    <m/>
    <m/>
    <m/>
    <m/>
  </r>
  <r>
    <x v="3"/>
    <x v="1"/>
    <x v="42"/>
    <x v="4"/>
    <n v="30800.000000000004"/>
    <n v="220000"/>
    <m/>
    <m/>
    <m/>
    <m/>
    <m/>
    <x v="6"/>
    <n v="110000"/>
    <n v="110000"/>
    <m/>
    <m/>
    <m/>
    <m/>
  </r>
  <r>
    <x v="3"/>
    <x v="3"/>
    <x v="43"/>
    <x v="1"/>
    <n v="123750.56820000001"/>
    <n v="883932.63"/>
    <m/>
    <m/>
    <m/>
    <m/>
    <m/>
    <x v="6"/>
    <n v="242916.52"/>
    <n v="308974.96000000002"/>
    <n v="332041.15000000002"/>
    <m/>
    <m/>
    <m/>
  </r>
  <r>
    <x v="3"/>
    <x v="1"/>
    <x v="44"/>
    <x v="1"/>
    <n v="171083.91160000002"/>
    <n v="1222027.94"/>
    <m/>
    <m/>
    <m/>
    <m/>
    <m/>
    <x v="6"/>
    <m/>
    <n v="679885.36"/>
    <n v="542142.57999999996"/>
    <m/>
    <m/>
    <m/>
  </r>
  <r>
    <x v="3"/>
    <x v="1"/>
    <x v="44"/>
    <x v="8"/>
    <n v="190960.00000000003"/>
    <n v="1364000"/>
    <m/>
    <m/>
    <m/>
    <m/>
    <m/>
    <x v="6"/>
    <n v="682000"/>
    <n v="682000"/>
    <m/>
    <m/>
    <m/>
    <m/>
  </r>
  <r>
    <x v="4"/>
    <x v="1"/>
    <x v="45"/>
    <x v="3"/>
    <n v="702000"/>
    <n v="1800000"/>
    <n v="200000"/>
    <n v="200000"/>
    <n v="200000"/>
    <n v="200000"/>
    <n v="200000"/>
    <x v="27"/>
    <n v="200000"/>
    <n v="200000"/>
    <n v="200000"/>
    <m/>
    <m/>
    <m/>
  </r>
  <r>
    <x v="4"/>
    <x v="0"/>
    <x v="46"/>
    <x v="1"/>
    <n v="142916.67000000001"/>
    <n v="366453"/>
    <m/>
    <n v="9710"/>
    <n v="29130"/>
    <m/>
    <m/>
    <x v="28"/>
    <m/>
    <m/>
    <m/>
    <m/>
    <m/>
    <m/>
  </r>
  <r>
    <x v="4"/>
    <x v="0"/>
    <x v="46"/>
    <x v="4"/>
    <n v="421851.94999999995"/>
    <n v="1081671.6666666665"/>
    <n v="208000"/>
    <n v="210917"/>
    <n v="206666.66666666666"/>
    <n v="147000"/>
    <n v="66000"/>
    <x v="29"/>
    <n v="177088"/>
    <m/>
    <m/>
    <m/>
    <m/>
    <m/>
  </r>
  <r>
    <x v="4"/>
    <x v="0"/>
    <x v="46"/>
    <x v="5"/>
    <n v="90045.598500000007"/>
    <n v="230886.15"/>
    <m/>
    <n v="51376.15"/>
    <n v="45000"/>
    <m/>
    <m/>
    <x v="30"/>
    <m/>
    <m/>
    <m/>
    <m/>
    <m/>
    <m/>
  </r>
  <r>
    <x v="4"/>
    <x v="1"/>
    <x v="47"/>
    <x v="1"/>
    <n v="84835.269870000004"/>
    <n v="217526.33299999998"/>
    <m/>
    <m/>
    <n v="217526.33299999998"/>
    <m/>
    <m/>
    <x v="6"/>
    <m/>
    <m/>
    <m/>
    <m/>
    <m/>
    <m/>
  </r>
  <r>
    <x v="4"/>
    <x v="1"/>
    <x v="47"/>
    <x v="3"/>
    <n v="10415.301000000001"/>
    <n v="26705.9"/>
    <n v="26705.9"/>
    <m/>
    <m/>
    <m/>
    <m/>
    <x v="6"/>
    <m/>
    <m/>
    <m/>
    <m/>
    <m/>
    <m/>
  </r>
  <r>
    <x v="4"/>
    <x v="1"/>
    <x v="47"/>
    <x v="5"/>
    <n v="37978.200000000004"/>
    <n v="97380"/>
    <n v="51120"/>
    <n v="22320"/>
    <n v="23940"/>
    <m/>
    <m/>
    <x v="6"/>
    <m/>
    <m/>
    <m/>
    <m/>
    <m/>
    <m/>
  </r>
  <r>
    <x v="4"/>
    <x v="1"/>
    <x v="48"/>
    <x v="0"/>
    <n v="271525.8"/>
    <n v="696220"/>
    <n v="316120"/>
    <n v="162960"/>
    <n v="217140"/>
    <m/>
    <m/>
    <x v="6"/>
    <m/>
    <m/>
    <m/>
    <m/>
    <m/>
    <m/>
  </r>
  <r>
    <x v="4"/>
    <x v="1"/>
    <x v="48"/>
    <x v="1"/>
    <n v="307093.8"/>
    <n v="787420"/>
    <n v="113050"/>
    <m/>
    <n v="36000"/>
    <m/>
    <m/>
    <x v="31"/>
    <n v="176310"/>
    <n v="111770"/>
    <m/>
    <m/>
    <m/>
    <m/>
  </r>
  <r>
    <x v="4"/>
    <x v="1"/>
    <x v="48"/>
    <x v="3"/>
    <n v="64587.705000000002"/>
    <n v="165609.5"/>
    <n v="42644"/>
    <n v="30975"/>
    <n v="91990.5"/>
    <m/>
    <m/>
    <x v="6"/>
    <m/>
    <m/>
    <m/>
    <m/>
    <m/>
    <m/>
  </r>
  <r>
    <x v="4"/>
    <x v="1"/>
    <x v="48"/>
    <x v="4"/>
    <n v="220947.48"/>
    <n v="566532"/>
    <n v="566532"/>
    <m/>
    <m/>
    <m/>
    <m/>
    <x v="6"/>
    <m/>
    <m/>
    <m/>
    <m/>
    <m/>
    <m/>
  </r>
  <r>
    <x v="4"/>
    <x v="1"/>
    <x v="48"/>
    <x v="5"/>
    <n v="22120.3125"/>
    <n v="56718.75"/>
    <n v="20718.75"/>
    <n v="23760"/>
    <m/>
    <m/>
    <m/>
    <x v="6"/>
    <n v="12240"/>
    <m/>
    <m/>
    <m/>
    <m/>
    <m/>
  </r>
  <r>
    <x v="4"/>
    <x v="1"/>
    <x v="49"/>
    <x v="1"/>
    <n v="135934.5"/>
    <n v="348550"/>
    <n v="348550"/>
    <m/>
    <m/>
    <m/>
    <m/>
    <x v="6"/>
    <m/>
    <m/>
    <m/>
    <m/>
    <m/>
    <m/>
  </r>
  <r>
    <x v="4"/>
    <x v="1"/>
    <x v="49"/>
    <x v="3"/>
    <n v="131298.68700000001"/>
    <n v="336663.3"/>
    <n v="140884.5"/>
    <n v="90146"/>
    <n v="105632.8"/>
    <m/>
    <m/>
    <x v="6"/>
    <m/>
    <m/>
    <m/>
    <m/>
    <m/>
    <m/>
  </r>
  <r>
    <x v="4"/>
    <x v="1"/>
    <x v="49"/>
    <x v="5"/>
    <n v="34693.425000000003"/>
    <n v="88957.5"/>
    <n v="20718.75"/>
    <n v="44478.75"/>
    <n v="23760"/>
    <m/>
    <m/>
    <x v="6"/>
    <m/>
    <m/>
    <m/>
    <m/>
    <m/>
    <m/>
  </r>
  <r>
    <x v="4"/>
    <x v="1"/>
    <x v="49"/>
    <x v="2"/>
    <n v="73710"/>
    <n v="189000"/>
    <n v="189000"/>
    <m/>
    <m/>
    <m/>
    <m/>
    <x v="6"/>
    <m/>
    <m/>
    <m/>
    <m/>
    <m/>
    <m/>
  </r>
  <r>
    <x v="4"/>
    <x v="1"/>
    <x v="50"/>
    <x v="1"/>
    <n v="30899.018864999998"/>
    <n v="79228.253499999992"/>
    <n v="24275"/>
    <n v="15000.01"/>
    <n v="9999.843499999999"/>
    <m/>
    <n v="14953.4"/>
    <x v="6"/>
    <n v="15000"/>
    <m/>
    <m/>
    <m/>
    <m/>
    <m/>
  </r>
  <r>
    <x v="4"/>
    <x v="2"/>
    <x v="51"/>
    <x v="1"/>
    <n v="39384.93"/>
    <n v="100987"/>
    <n v="12137.5"/>
    <m/>
    <n v="2427.5"/>
    <m/>
    <m/>
    <x v="32"/>
    <n v="50977.5"/>
    <m/>
    <n v="16922.5"/>
    <m/>
    <m/>
    <m/>
  </r>
  <r>
    <x v="4"/>
    <x v="1"/>
    <x v="52"/>
    <x v="1"/>
    <n v="38434.476015"/>
    <n v="98549.938499999989"/>
    <n v="68691.938499999989"/>
    <m/>
    <m/>
    <m/>
    <m/>
    <x v="6"/>
    <n v="20148"/>
    <m/>
    <n v="9710"/>
    <m/>
    <m/>
    <m/>
  </r>
  <r>
    <x v="4"/>
    <x v="1"/>
    <x v="52"/>
    <x v="3"/>
    <n v="75850.671000000002"/>
    <n v="194488.9"/>
    <n v="75332.899999999994"/>
    <m/>
    <n v="49071"/>
    <m/>
    <m/>
    <x v="6"/>
    <n v="70085"/>
    <m/>
    <m/>
    <m/>
    <m/>
    <m/>
  </r>
  <r>
    <x v="4"/>
    <x v="2"/>
    <x v="53"/>
    <x v="1"/>
    <n v="446851.54800000001"/>
    <n v="1145773.2"/>
    <m/>
    <n v="58260"/>
    <n v="116520"/>
    <n v="109382"/>
    <n v="264791.7"/>
    <x v="33"/>
    <n v="114092.5"/>
    <n v="177055"/>
    <n v="33985"/>
    <m/>
    <m/>
    <m/>
  </r>
  <r>
    <x v="4"/>
    <x v="2"/>
    <x v="54"/>
    <x v="5"/>
    <n v="3480.75"/>
    <n v="8925"/>
    <m/>
    <n v="8925"/>
    <m/>
    <m/>
    <m/>
    <x v="6"/>
    <m/>
    <m/>
    <m/>
    <m/>
    <m/>
    <m/>
  </r>
  <r>
    <x v="4"/>
    <x v="2"/>
    <x v="55"/>
    <x v="1"/>
    <n v="9694.23"/>
    <n v="24857"/>
    <m/>
    <m/>
    <m/>
    <n v="24857"/>
    <m/>
    <x v="6"/>
    <m/>
    <m/>
    <m/>
    <m/>
    <m/>
    <m/>
  </r>
  <r>
    <x v="4"/>
    <x v="2"/>
    <x v="55"/>
    <x v="5"/>
    <n v="66183"/>
    <n v="169700"/>
    <m/>
    <m/>
    <m/>
    <n v="169700"/>
    <m/>
    <x v="6"/>
    <m/>
    <m/>
    <m/>
    <m/>
    <m/>
    <m/>
  </r>
  <r>
    <x v="4"/>
    <x v="2"/>
    <x v="56"/>
    <x v="4"/>
    <n v="132600"/>
    <n v="340000"/>
    <m/>
    <m/>
    <m/>
    <m/>
    <m/>
    <x v="6"/>
    <n v="340000"/>
    <m/>
    <m/>
    <m/>
    <m/>
    <m/>
  </r>
  <r>
    <x v="4"/>
    <x v="1"/>
    <x v="56"/>
    <x v="5"/>
    <n v="499200"/>
    <n v="1280000"/>
    <m/>
    <n v="640000"/>
    <n v="640000"/>
    <n v="0"/>
    <n v="0"/>
    <x v="6"/>
    <m/>
    <m/>
    <m/>
    <m/>
    <m/>
    <m/>
  </r>
  <r>
    <x v="4"/>
    <x v="1"/>
    <x v="57"/>
    <x v="1"/>
    <n v="403997.59530000004"/>
    <n v="1035891.27"/>
    <m/>
    <m/>
    <n v="195553.37"/>
    <n v="272600.45"/>
    <n v="272600.45"/>
    <x v="34"/>
    <n v="98379"/>
    <n v="98379"/>
    <m/>
    <m/>
    <m/>
    <m/>
  </r>
  <r>
    <x v="4"/>
    <x v="1"/>
    <x v="57"/>
    <x v="3"/>
    <n v="88441.353000000003"/>
    <n v="226772.7"/>
    <m/>
    <m/>
    <m/>
    <n v="68360"/>
    <n v="77157"/>
    <x v="35"/>
    <n v="30571"/>
    <n v="17329"/>
    <m/>
    <m/>
    <m/>
    <m/>
  </r>
  <r>
    <x v="4"/>
    <x v="1"/>
    <x v="57"/>
    <x v="5"/>
    <n v="40840.020000000004"/>
    <n v="104718"/>
    <m/>
    <m/>
    <n v="60000"/>
    <n v="44718"/>
    <m/>
    <x v="6"/>
    <m/>
    <m/>
    <m/>
    <m/>
    <m/>
    <m/>
  </r>
  <r>
    <x v="4"/>
    <x v="2"/>
    <x v="57"/>
    <x v="2"/>
    <n v="142545"/>
    <n v="365500"/>
    <m/>
    <m/>
    <m/>
    <n v="365500"/>
    <m/>
    <x v="6"/>
    <m/>
    <m/>
    <m/>
    <m/>
    <m/>
    <m/>
  </r>
  <r>
    <x v="4"/>
    <x v="2"/>
    <x v="58"/>
    <x v="2"/>
    <n v="778050"/>
    <n v="1995000"/>
    <m/>
    <m/>
    <n v="285000"/>
    <n v="285000"/>
    <n v="285000"/>
    <x v="36"/>
    <n v="285000"/>
    <n v="285000"/>
    <n v="285000"/>
    <m/>
    <m/>
    <m/>
  </r>
  <r>
    <x v="4"/>
    <x v="2"/>
    <x v="59"/>
    <x v="1"/>
    <n v="6627.0749999999998"/>
    <n v="16992.5"/>
    <m/>
    <m/>
    <n v="16992.5"/>
    <m/>
    <m/>
    <x v="6"/>
    <m/>
    <m/>
    <m/>
    <m/>
    <m/>
    <m/>
  </r>
  <r>
    <x v="4"/>
    <x v="1"/>
    <x v="59"/>
    <x v="5"/>
    <n v="35392.5"/>
    <n v="90750"/>
    <m/>
    <m/>
    <n v="90750"/>
    <m/>
    <m/>
    <x v="6"/>
    <m/>
    <m/>
    <m/>
    <m/>
    <m/>
    <m/>
  </r>
  <r>
    <x v="4"/>
    <x v="1"/>
    <x v="60"/>
    <x v="1"/>
    <n v="118382.69547000001"/>
    <n v="303545.37300000002"/>
    <m/>
    <m/>
    <n v="303545.37300000002"/>
    <m/>
    <m/>
    <x v="6"/>
    <m/>
    <m/>
    <m/>
    <m/>
    <m/>
    <m/>
  </r>
  <r>
    <x v="4"/>
    <x v="1"/>
    <x v="60"/>
    <x v="4"/>
    <n v="232910.66630000001"/>
    <n v="597206.83666666667"/>
    <m/>
    <m/>
    <n v="174610.83666666667"/>
    <n v="111996"/>
    <n v="310600"/>
    <x v="6"/>
    <m/>
    <m/>
    <m/>
    <m/>
    <m/>
    <m/>
  </r>
  <r>
    <x v="4"/>
    <x v="1"/>
    <x v="60"/>
    <x v="5"/>
    <n v="155122.5"/>
    <n v="397750"/>
    <m/>
    <m/>
    <m/>
    <m/>
    <n v="262500"/>
    <x v="37"/>
    <n v="35250"/>
    <m/>
    <m/>
    <m/>
    <m/>
    <m/>
  </r>
  <r>
    <x v="4"/>
    <x v="1"/>
    <x v="60"/>
    <x v="2"/>
    <n v="444600"/>
    <n v="1140000"/>
    <m/>
    <m/>
    <m/>
    <m/>
    <m/>
    <x v="6"/>
    <n v="400000"/>
    <n v="370000"/>
    <n v="370000"/>
    <m/>
    <m/>
    <m/>
  </r>
  <r>
    <x v="4"/>
    <x v="1"/>
    <x v="61"/>
    <x v="1"/>
    <n v="5680.35"/>
    <n v="14565"/>
    <m/>
    <m/>
    <m/>
    <m/>
    <n v="14565"/>
    <x v="6"/>
    <m/>
    <m/>
    <m/>
    <m/>
    <m/>
    <m/>
  </r>
  <r>
    <x v="4"/>
    <x v="1"/>
    <x v="61"/>
    <x v="5"/>
    <n v="8704.8000000000011"/>
    <n v="22320"/>
    <m/>
    <m/>
    <m/>
    <m/>
    <n v="22320"/>
    <x v="6"/>
    <m/>
    <m/>
    <m/>
    <m/>
    <m/>
    <m/>
  </r>
  <r>
    <x v="4"/>
    <x v="1"/>
    <x v="62"/>
    <x v="1"/>
    <n v="122860.53"/>
    <n v="315027"/>
    <m/>
    <m/>
    <m/>
    <m/>
    <m/>
    <x v="6"/>
    <m/>
    <n v="51793"/>
    <n v="263234"/>
    <m/>
    <m/>
    <m/>
  </r>
  <r>
    <x v="4"/>
    <x v="1"/>
    <x v="62"/>
    <x v="4"/>
    <n v="52461.630000000005"/>
    <n v="134517"/>
    <m/>
    <m/>
    <m/>
    <m/>
    <m/>
    <x v="6"/>
    <m/>
    <n v="62050"/>
    <n v="72467"/>
    <m/>
    <m/>
    <m/>
  </r>
  <r>
    <x v="4"/>
    <x v="1"/>
    <x v="62"/>
    <x v="5"/>
    <n v="27641.25"/>
    <n v="70875"/>
    <m/>
    <m/>
    <m/>
    <m/>
    <m/>
    <x v="6"/>
    <m/>
    <n v="23625"/>
    <n v="47250"/>
    <m/>
    <m/>
    <m/>
  </r>
  <r>
    <x v="4"/>
    <x v="1"/>
    <x v="62"/>
    <x v="2"/>
    <n v="87027.72"/>
    <n v="223148"/>
    <m/>
    <m/>
    <m/>
    <m/>
    <m/>
    <x v="6"/>
    <m/>
    <n v="111574"/>
    <n v="111574"/>
    <m/>
    <m/>
    <m/>
  </r>
  <r>
    <x v="4"/>
    <x v="1"/>
    <x v="63"/>
    <x v="1"/>
    <n v="7573.8"/>
    <n v="19420"/>
    <m/>
    <m/>
    <m/>
    <m/>
    <m/>
    <x v="6"/>
    <m/>
    <m/>
    <n v="19420"/>
    <m/>
    <m/>
    <m/>
  </r>
  <r>
    <x v="4"/>
    <x v="1"/>
    <x v="63"/>
    <x v="5"/>
    <n v="39341.25"/>
    <n v="100875"/>
    <m/>
    <m/>
    <m/>
    <m/>
    <m/>
    <x v="6"/>
    <m/>
    <m/>
    <n v="100875"/>
    <m/>
    <m/>
    <m/>
  </r>
  <r>
    <x v="4"/>
    <x v="0"/>
    <x v="64"/>
    <x v="2"/>
    <n v="134550"/>
    <n v="345000"/>
    <m/>
    <m/>
    <m/>
    <m/>
    <m/>
    <x v="6"/>
    <m/>
    <m/>
    <n v="345000"/>
    <m/>
    <m/>
    <m/>
  </r>
  <r>
    <x v="4"/>
    <x v="1"/>
    <x v="65"/>
    <x v="1"/>
    <n v="70220.67"/>
    <n v="180053"/>
    <m/>
    <m/>
    <m/>
    <m/>
    <m/>
    <x v="6"/>
    <m/>
    <m/>
    <n v="180053"/>
    <m/>
    <m/>
    <m/>
  </r>
  <r>
    <x v="4"/>
    <x v="1"/>
    <x v="65"/>
    <x v="3"/>
    <n v="4188.6000000000004"/>
    <n v="10740"/>
    <m/>
    <m/>
    <m/>
    <m/>
    <m/>
    <x v="6"/>
    <m/>
    <m/>
    <n v="10740"/>
    <m/>
    <m/>
    <m/>
  </r>
  <r>
    <x v="4"/>
    <x v="1"/>
    <x v="65"/>
    <x v="4"/>
    <n v="77307.75"/>
    <n v="198225"/>
    <m/>
    <m/>
    <m/>
    <m/>
    <m/>
    <x v="6"/>
    <m/>
    <m/>
    <n v="198225"/>
    <m/>
    <m/>
    <m/>
  </r>
  <r>
    <x v="4"/>
    <x v="1"/>
    <x v="65"/>
    <x v="5"/>
    <n v="27699.75"/>
    <n v="71025"/>
    <m/>
    <m/>
    <m/>
    <m/>
    <m/>
    <x v="6"/>
    <m/>
    <m/>
    <n v="71025"/>
    <m/>
    <m/>
    <m/>
  </r>
  <r>
    <x v="5"/>
    <x v="1"/>
    <x v="66"/>
    <x v="1"/>
    <n v="45107.643000000004"/>
    <n v="6443949"/>
    <m/>
    <n v="2147983"/>
    <n v="2147983"/>
    <n v="2147983"/>
    <m/>
    <x v="6"/>
    <m/>
    <m/>
    <m/>
    <m/>
    <m/>
    <m/>
  </r>
  <r>
    <x v="5"/>
    <x v="1"/>
    <x v="66"/>
    <x v="2"/>
    <n v="76072.5"/>
    <n v="10867500"/>
    <m/>
    <n v="4657500"/>
    <n v="6210000"/>
    <m/>
    <m/>
    <x v="6"/>
    <m/>
    <m/>
    <m/>
    <m/>
    <m/>
    <m/>
  </r>
  <r>
    <x v="5"/>
    <x v="1"/>
    <x v="66"/>
    <x v="3"/>
    <n v="343000"/>
    <n v="49000000"/>
    <m/>
    <n v="24500000"/>
    <n v="24500000"/>
    <m/>
    <m/>
    <x v="6"/>
    <m/>
    <m/>
    <m/>
    <m/>
    <m/>
    <m/>
  </r>
  <r>
    <x v="5"/>
    <x v="0"/>
    <x v="1"/>
    <x v="1"/>
    <n v="107375.072"/>
    <n v="15339296"/>
    <m/>
    <m/>
    <n v="7669648"/>
    <n v="7669648"/>
    <m/>
    <x v="6"/>
    <m/>
    <m/>
    <m/>
    <m/>
    <m/>
    <m/>
  </r>
  <r>
    <x v="5"/>
    <x v="0"/>
    <x v="1"/>
    <x v="2"/>
    <n v="234622.5"/>
    <n v="33517500"/>
    <m/>
    <m/>
    <n v="21860000"/>
    <n v="11657500"/>
    <m/>
    <x v="6"/>
    <m/>
    <m/>
    <m/>
    <m/>
    <m/>
    <m/>
  </r>
  <r>
    <x v="5"/>
    <x v="1"/>
    <x v="67"/>
    <x v="2"/>
    <n v="129710"/>
    <n v="18530000"/>
    <m/>
    <m/>
    <m/>
    <n v="8820000"/>
    <n v="6210000"/>
    <x v="38"/>
    <m/>
    <m/>
    <m/>
    <m/>
    <m/>
    <m/>
  </r>
  <r>
    <x v="5"/>
    <x v="1"/>
    <x v="67"/>
    <x v="3"/>
    <n v="389200"/>
    <n v="55600000"/>
    <m/>
    <m/>
    <m/>
    <n v="27800000"/>
    <n v="16000000"/>
    <x v="39"/>
    <m/>
    <m/>
    <m/>
    <m/>
    <m/>
    <m/>
  </r>
  <r>
    <x v="5"/>
    <x v="1"/>
    <x v="67"/>
    <x v="5"/>
    <n v="92725.5"/>
    <n v="13246500"/>
    <m/>
    <m/>
    <m/>
    <n v="11606500"/>
    <n v="820000"/>
    <x v="40"/>
    <m/>
    <m/>
    <m/>
    <m/>
    <m/>
    <m/>
  </r>
  <r>
    <x v="5"/>
    <x v="2"/>
    <x v="68"/>
    <x v="1"/>
    <n v="0"/>
    <n v="0"/>
    <m/>
    <m/>
    <m/>
    <m/>
    <m/>
    <x v="6"/>
    <m/>
    <m/>
    <m/>
    <m/>
    <m/>
    <m/>
  </r>
  <r>
    <x v="5"/>
    <x v="2"/>
    <x v="68"/>
    <x v="2"/>
    <n v="123970"/>
    <n v="17710000"/>
    <m/>
    <m/>
    <m/>
    <m/>
    <m/>
    <x v="6"/>
    <m/>
    <m/>
    <n v="17710000"/>
    <m/>
    <m/>
    <m/>
  </r>
  <r>
    <x v="5"/>
    <x v="2"/>
    <x v="68"/>
    <x v="3"/>
    <n v="154000"/>
    <n v="22000000"/>
    <m/>
    <m/>
    <m/>
    <m/>
    <m/>
    <x v="6"/>
    <m/>
    <m/>
    <n v="22000000"/>
    <m/>
    <m/>
    <m/>
  </r>
  <r>
    <x v="5"/>
    <x v="2"/>
    <x v="68"/>
    <x v="5"/>
    <n v="70700"/>
    <n v="10100000"/>
    <m/>
    <m/>
    <m/>
    <m/>
    <m/>
    <x v="6"/>
    <m/>
    <m/>
    <n v="10100000"/>
    <m/>
    <m/>
    <m/>
  </r>
  <r>
    <x v="5"/>
    <x v="2"/>
    <x v="68"/>
    <x v="0"/>
    <n v="33600"/>
    <n v="4800000"/>
    <m/>
    <m/>
    <m/>
    <m/>
    <m/>
    <x v="6"/>
    <m/>
    <m/>
    <n v="4800000"/>
    <m/>
    <m/>
    <m/>
  </r>
  <r>
    <x v="5"/>
    <x v="2"/>
    <x v="68"/>
    <x v="9"/>
    <n v="0"/>
    <n v="0"/>
    <m/>
    <m/>
    <m/>
    <m/>
    <m/>
    <x v="6"/>
    <m/>
    <m/>
    <m/>
    <m/>
    <m/>
    <m/>
  </r>
  <r>
    <x v="5"/>
    <x v="1"/>
    <x v="69"/>
    <x v="1"/>
    <n v="0"/>
    <n v="0"/>
    <m/>
    <m/>
    <m/>
    <m/>
    <m/>
    <x v="6"/>
    <m/>
    <m/>
    <m/>
    <m/>
    <m/>
    <m/>
  </r>
  <r>
    <x v="5"/>
    <x v="1"/>
    <x v="69"/>
    <x v="2"/>
    <n v="81970"/>
    <n v="11710000"/>
    <m/>
    <m/>
    <m/>
    <m/>
    <m/>
    <x v="6"/>
    <m/>
    <m/>
    <n v="11710000"/>
    <m/>
    <m/>
    <m/>
  </r>
  <r>
    <x v="5"/>
    <x v="1"/>
    <x v="69"/>
    <x v="3"/>
    <n v="304500"/>
    <n v="43500000"/>
    <m/>
    <m/>
    <m/>
    <m/>
    <m/>
    <x v="6"/>
    <m/>
    <m/>
    <n v="43500000"/>
    <m/>
    <m/>
    <m/>
  </r>
  <r>
    <x v="5"/>
    <x v="1"/>
    <x v="69"/>
    <x v="8"/>
    <n v="24500"/>
    <n v="3500000"/>
    <m/>
    <m/>
    <m/>
    <m/>
    <m/>
    <x v="6"/>
    <m/>
    <m/>
    <n v="3500000"/>
    <m/>
    <m/>
    <m/>
  </r>
  <r>
    <x v="6"/>
    <x v="1"/>
    <x v="70"/>
    <x v="1"/>
    <n v="17480"/>
    <n v="23000"/>
    <n v="23000"/>
    <m/>
    <m/>
    <m/>
    <m/>
    <x v="6"/>
    <m/>
    <m/>
    <m/>
    <m/>
    <m/>
    <m/>
  </r>
  <r>
    <x v="6"/>
    <x v="1"/>
    <x v="71"/>
    <x v="0"/>
    <n v="1197000"/>
    <n v="1575000"/>
    <n v="450000"/>
    <n v="450000"/>
    <m/>
    <m/>
    <n v="225000"/>
    <x v="41"/>
    <m/>
    <m/>
    <m/>
    <m/>
    <m/>
    <m/>
  </r>
  <r>
    <x v="6"/>
    <x v="2"/>
    <x v="72"/>
    <x v="3"/>
    <n v="82080"/>
    <n v="108000"/>
    <n v="108000"/>
    <m/>
    <m/>
    <m/>
    <m/>
    <x v="6"/>
    <m/>
    <m/>
    <m/>
    <m/>
    <m/>
    <m/>
  </r>
  <r>
    <x v="6"/>
    <x v="2"/>
    <x v="72"/>
    <x v="4"/>
    <n v="775481.2"/>
    <n v="1020370"/>
    <n v="102037"/>
    <n v="102037"/>
    <n v="102037"/>
    <n v="102037"/>
    <n v="102037"/>
    <x v="42"/>
    <n v="102037"/>
    <n v="102037"/>
    <n v="102037"/>
    <n v="102037"/>
    <m/>
    <m/>
  </r>
  <r>
    <x v="6"/>
    <x v="4"/>
    <x v="73"/>
    <x v="1"/>
    <n v="154618.96"/>
    <n v="203446"/>
    <m/>
    <m/>
    <n v="143446"/>
    <m/>
    <m/>
    <x v="6"/>
    <n v="15000"/>
    <n v="15000"/>
    <n v="15000"/>
    <n v="15000"/>
    <m/>
    <m/>
  </r>
  <r>
    <x v="6"/>
    <x v="4"/>
    <x v="73"/>
    <x v="2"/>
    <n v="156042.44"/>
    <n v="205319"/>
    <m/>
    <m/>
    <m/>
    <n v="205319"/>
    <m/>
    <x v="6"/>
    <m/>
    <m/>
    <m/>
    <m/>
    <m/>
    <m/>
  </r>
  <r>
    <x v="6"/>
    <x v="4"/>
    <x v="73"/>
    <x v="3"/>
    <n v="37415.56"/>
    <n v="49231"/>
    <m/>
    <m/>
    <n v="49231"/>
    <m/>
    <m/>
    <x v="6"/>
    <m/>
    <m/>
    <m/>
    <m/>
    <m/>
    <m/>
  </r>
  <r>
    <x v="6"/>
    <x v="4"/>
    <x v="73"/>
    <x v="4"/>
    <n v="67640"/>
    <n v="89000"/>
    <m/>
    <m/>
    <n v="89000"/>
    <m/>
    <m/>
    <x v="6"/>
    <m/>
    <m/>
    <m/>
    <m/>
    <m/>
    <m/>
  </r>
  <r>
    <x v="6"/>
    <x v="2"/>
    <x v="74"/>
    <x v="0"/>
    <n v="513000"/>
    <n v="675000"/>
    <m/>
    <m/>
    <m/>
    <m/>
    <m/>
    <x v="6"/>
    <n v="225000"/>
    <n v="225000"/>
    <n v="225000"/>
    <m/>
    <m/>
    <m/>
  </r>
  <r>
    <x v="6"/>
    <x v="2"/>
    <x v="74"/>
    <x v="1"/>
    <n v="69391.8"/>
    <n v="91305"/>
    <n v="1305"/>
    <m/>
    <m/>
    <m/>
    <m/>
    <x v="6"/>
    <n v="20000"/>
    <n v="35000"/>
    <n v="35000"/>
    <m/>
    <m/>
    <m/>
  </r>
  <r>
    <x v="6"/>
    <x v="2"/>
    <x v="74"/>
    <x v="3"/>
    <n v="259571.16"/>
    <n v="341541"/>
    <m/>
    <m/>
    <m/>
    <m/>
    <m/>
    <x v="6"/>
    <n v="113847"/>
    <n v="113847"/>
    <n v="113847"/>
    <m/>
    <m/>
    <m/>
  </r>
  <r>
    <x v="6"/>
    <x v="2"/>
    <x v="74"/>
    <x v="5"/>
    <n v="26600"/>
    <n v="35000"/>
    <m/>
    <m/>
    <m/>
    <m/>
    <m/>
    <x v="6"/>
    <m/>
    <m/>
    <n v="35000"/>
    <m/>
    <m/>
    <m/>
  </r>
  <r>
    <x v="6"/>
    <x v="4"/>
    <x v="75"/>
    <x v="0"/>
    <n v="255785.60000000001"/>
    <n v="336560"/>
    <m/>
    <m/>
    <m/>
    <m/>
    <m/>
    <x v="43"/>
    <n v="130000"/>
    <n v="130000"/>
    <m/>
    <m/>
    <m/>
    <m/>
  </r>
  <r>
    <x v="6"/>
    <x v="4"/>
    <x v="75"/>
    <x v="1"/>
    <n v="103360"/>
    <n v="136000"/>
    <m/>
    <m/>
    <m/>
    <m/>
    <m/>
    <x v="44"/>
    <n v="40000"/>
    <n v="40000"/>
    <m/>
    <m/>
    <m/>
    <m/>
  </r>
  <r>
    <x v="6"/>
    <x v="4"/>
    <x v="75"/>
    <x v="2"/>
    <n v="313362.44"/>
    <n v="412319"/>
    <m/>
    <n v="205319"/>
    <m/>
    <m/>
    <m/>
    <x v="45"/>
    <n v="69000"/>
    <n v="69000"/>
    <m/>
    <m/>
    <m/>
    <m/>
  </r>
  <r>
    <x v="6"/>
    <x v="4"/>
    <x v="75"/>
    <x v="3"/>
    <n v="650095.89839999995"/>
    <n v="855389.34"/>
    <m/>
    <n v="427694.67"/>
    <m/>
    <m/>
    <n v="427694.67"/>
    <x v="6"/>
    <m/>
    <m/>
    <m/>
    <m/>
    <m/>
    <m/>
  </r>
  <r>
    <x v="6"/>
    <x v="4"/>
    <x v="75"/>
    <x v="4"/>
    <n v="358229.04"/>
    <n v="471354"/>
    <m/>
    <n v="191354"/>
    <m/>
    <m/>
    <m/>
    <x v="46"/>
    <n v="70000"/>
    <n v="70000"/>
    <n v="70000"/>
    <m/>
    <m/>
    <m/>
  </r>
  <r>
    <x v="6"/>
    <x v="4"/>
    <x v="75"/>
    <x v="5"/>
    <n v="60800"/>
    <n v="80000"/>
    <m/>
    <n v="80000"/>
    <m/>
    <m/>
    <m/>
    <x v="6"/>
    <m/>
    <m/>
    <m/>
    <m/>
    <m/>
    <m/>
  </r>
  <r>
    <x v="6"/>
    <x v="1"/>
    <x v="76"/>
    <x v="5"/>
    <n v="293208"/>
    <n v="385800"/>
    <m/>
    <n v="60800"/>
    <n v="67000"/>
    <n v="134000"/>
    <n v="124000"/>
    <x v="6"/>
    <m/>
    <m/>
    <m/>
    <m/>
    <m/>
    <m/>
  </r>
  <r>
    <x v="6"/>
    <x v="2"/>
    <x v="77"/>
    <x v="0"/>
    <n v="855000"/>
    <n v="1125000"/>
    <m/>
    <m/>
    <n v="450000"/>
    <n v="450000"/>
    <n v="225000"/>
    <x v="6"/>
    <m/>
    <m/>
    <m/>
    <m/>
    <m/>
    <m/>
  </r>
  <r>
    <x v="6"/>
    <x v="2"/>
    <x v="77"/>
    <x v="1"/>
    <n v="166440"/>
    <n v="219000"/>
    <m/>
    <m/>
    <m/>
    <n v="210300"/>
    <n v="8700"/>
    <x v="6"/>
    <m/>
    <m/>
    <m/>
    <m/>
    <m/>
    <m/>
  </r>
  <r>
    <x v="6"/>
    <x v="2"/>
    <x v="77"/>
    <x v="2"/>
    <n v="279162.44"/>
    <n v="367319"/>
    <m/>
    <m/>
    <n v="205319"/>
    <m/>
    <n v="162000"/>
    <x v="6"/>
    <m/>
    <m/>
    <m/>
    <m/>
    <m/>
    <m/>
  </r>
  <r>
    <x v="6"/>
    <x v="2"/>
    <x v="77"/>
    <x v="3"/>
    <n v="650095.89839999995"/>
    <n v="855389.34"/>
    <m/>
    <m/>
    <n v="427694.67"/>
    <n v="427694.67"/>
    <m/>
    <x v="6"/>
    <m/>
    <m/>
    <m/>
    <m/>
    <m/>
    <m/>
  </r>
  <r>
    <x v="6"/>
    <x v="2"/>
    <x v="77"/>
    <x v="4"/>
    <n v="142393.60000000001"/>
    <n v="187360"/>
    <m/>
    <m/>
    <n v="93680"/>
    <n v="46840"/>
    <n v="46840"/>
    <x v="6"/>
    <m/>
    <m/>
    <m/>
    <m/>
    <m/>
    <m/>
  </r>
  <r>
    <x v="6"/>
    <x v="1"/>
    <x v="78"/>
    <x v="4"/>
    <n v="354540"/>
    <n v="466500"/>
    <m/>
    <m/>
    <n v="94500"/>
    <n v="62000"/>
    <n v="62000"/>
    <x v="47"/>
    <n v="62000"/>
    <n v="62000"/>
    <n v="62000"/>
    <m/>
    <m/>
    <m/>
  </r>
  <r>
    <x v="6"/>
    <x v="4"/>
    <x v="79"/>
    <x v="1"/>
    <n v="243200"/>
    <n v="320000"/>
    <m/>
    <m/>
    <m/>
    <m/>
    <m/>
    <x v="48"/>
    <n v="160000"/>
    <m/>
    <m/>
    <m/>
    <m/>
    <m/>
  </r>
  <r>
    <x v="6"/>
    <x v="4"/>
    <x v="79"/>
    <x v="2"/>
    <n v="47120"/>
    <n v="62000"/>
    <m/>
    <m/>
    <m/>
    <m/>
    <m/>
    <x v="47"/>
    <m/>
    <m/>
    <m/>
    <m/>
    <m/>
    <m/>
  </r>
  <r>
    <x v="6"/>
    <x v="4"/>
    <x v="79"/>
    <x v="3"/>
    <n v="0"/>
    <n v="0"/>
    <m/>
    <m/>
    <m/>
    <m/>
    <m/>
    <x v="6"/>
    <m/>
    <m/>
    <m/>
    <m/>
    <m/>
    <m/>
  </r>
  <r>
    <x v="6"/>
    <x v="4"/>
    <x v="79"/>
    <x v="4"/>
    <n v="62168"/>
    <n v="81800"/>
    <m/>
    <m/>
    <m/>
    <m/>
    <m/>
    <x v="49"/>
    <n v="40900"/>
    <m/>
    <m/>
    <m/>
    <m/>
    <m/>
  </r>
  <r>
    <x v="6"/>
    <x v="4"/>
    <x v="79"/>
    <x v="5"/>
    <n v="60800"/>
    <n v="80000"/>
    <m/>
    <m/>
    <m/>
    <m/>
    <m/>
    <x v="6"/>
    <n v="80000"/>
    <m/>
    <m/>
    <m/>
    <m/>
    <m/>
  </r>
  <r>
    <x v="6"/>
    <x v="1"/>
    <x v="80"/>
    <x v="1"/>
    <n v="342912"/>
    <n v="451200"/>
    <m/>
    <m/>
    <m/>
    <m/>
    <m/>
    <x v="50"/>
    <n v="62600"/>
    <n v="75600"/>
    <n v="62600"/>
    <n v="62600"/>
    <n v="62600"/>
    <n v="62600"/>
  </r>
  <r>
    <x v="6"/>
    <x v="1"/>
    <x v="80"/>
    <x v="2"/>
    <n v="330296"/>
    <n v="434600"/>
    <m/>
    <m/>
    <m/>
    <m/>
    <m/>
    <x v="47"/>
    <n v="62000"/>
    <n v="62000"/>
    <n v="62600"/>
    <n v="62000"/>
    <n v="62000"/>
    <n v="62000"/>
  </r>
  <r>
    <x v="6"/>
    <x v="1"/>
    <x v="80"/>
    <x v="0"/>
    <n v="171000"/>
    <n v="225000"/>
    <m/>
    <m/>
    <m/>
    <m/>
    <m/>
    <x v="6"/>
    <m/>
    <n v="225000"/>
    <m/>
    <m/>
    <m/>
    <m/>
  </r>
  <r>
    <x v="6"/>
    <x v="1"/>
    <x v="80"/>
    <x v="3"/>
    <n v="977422.32000000007"/>
    <n v="1286082"/>
    <m/>
    <m/>
    <m/>
    <m/>
    <m/>
    <x v="51"/>
    <n v="113847"/>
    <n v="103000"/>
    <n v="213847"/>
    <n v="213847"/>
    <n v="213847"/>
    <n v="213847"/>
  </r>
  <r>
    <x v="6"/>
    <x v="1"/>
    <x v="80"/>
    <x v="4"/>
    <n v="260528"/>
    <n v="342800"/>
    <m/>
    <m/>
    <m/>
    <m/>
    <m/>
    <x v="52"/>
    <n v="85700"/>
    <n v="85700"/>
    <n v="85700"/>
    <m/>
    <m/>
    <m/>
  </r>
  <r>
    <x v="6"/>
    <x v="1"/>
    <x v="81"/>
    <x v="3"/>
    <n v="243785.58000000002"/>
    <n v="320770.5"/>
    <m/>
    <m/>
    <m/>
    <m/>
    <m/>
    <x v="51"/>
    <n v="106923.5"/>
    <m/>
    <m/>
    <m/>
    <m/>
    <m/>
  </r>
  <r>
    <x v="6"/>
    <x v="1"/>
    <x v="82"/>
    <x v="3"/>
    <n v="514461.86"/>
    <n v="676923.5"/>
    <m/>
    <m/>
    <m/>
    <m/>
    <m/>
    <x v="6"/>
    <n v="150000"/>
    <n v="106923.5"/>
    <n v="140000"/>
    <n v="140000"/>
    <n v="140000"/>
    <m/>
  </r>
  <r>
    <x v="6"/>
    <x v="1"/>
    <x v="82"/>
    <x v="0"/>
    <n v="513000"/>
    <n v="675000"/>
    <m/>
    <m/>
    <m/>
    <m/>
    <m/>
    <x v="6"/>
    <m/>
    <m/>
    <n v="225000"/>
    <n v="450000"/>
    <m/>
    <m/>
  </r>
  <r>
    <x v="6"/>
    <x v="1"/>
    <x v="82"/>
    <x v="1"/>
    <n v="65360"/>
    <n v="86000"/>
    <m/>
    <m/>
    <m/>
    <m/>
    <m/>
    <x v="6"/>
    <m/>
    <m/>
    <n v="43000"/>
    <n v="43000"/>
    <m/>
    <m/>
  </r>
  <r>
    <x v="6"/>
    <x v="4"/>
    <x v="83"/>
    <x v="0"/>
    <n v="34200"/>
    <n v="45000"/>
    <m/>
    <m/>
    <m/>
    <m/>
    <m/>
    <x v="6"/>
    <m/>
    <m/>
    <n v="45000"/>
    <m/>
    <m/>
    <m/>
  </r>
  <r>
    <x v="6"/>
    <x v="4"/>
    <x v="83"/>
    <x v="3"/>
    <n v="319200"/>
    <n v="420000"/>
    <m/>
    <m/>
    <m/>
    <m/>
    <m/>
    <x v="6"/>
    <m/>
    <m/>
    <n v="140000"/>
    <n v="140000"/>
    <n v="140000"/>
    <m/>
  </r>
  <r>
    <x v="6"/>
    <x v="4"/>
    <x v="83"/>
    <x v="2"/>
    <n v="47120"/>
    <n v="62000"/>
    <m/>
    <m/>
    <m/>
    <m/>
    <m/>
    <x v="6"/>
    <m/>
    <m/>
    <n v="62000"/>
    <m/>
    <m/>
    <m/>
  </r>
  <r>
    <x v="6"/>
    <x v="4"/>
    <x v="83"/>
    <x v="1"/>
    <n v="39520"/>
    <n v="52000"/>
    <m/>
    <m/>
    <m/>
    <m/>
    <m/>
    <x v="6"/>
    <m/>
    <m/>
    <n v="52000"/>
    <m/>
    <m/>
    <m/>
  </r>
  <r>
    <x v="7"/>
    <x v="1"/>
    <x v="84"/>
    <x v="0"/>
    <n v="1960000"/>
    <n v="392000000"/>
    <n v="28000000"/>
    <n v="28000000"/>
    <n v="28000000"/>
    <n v="28000000"/>
    <n v="56000000"/>
    <x v="53"/>
    <n v="56000000"/>
    <n v="56000000"/>
    <n v="56000000"/>
    <m/>
    <m/>
    <m/>
  </r>
  <r>
    <x v="7"/>
    <x v="1"/>
    <x v="84"/>
    <x v="1"/>
    <n v="742918.76777500007"/>
    <n v="148583753.55500001"/>
    <m/>
    <m/>
    <n v="26872160"/>
    <n v="84239909"/>
    <n v="17321188"/>
    <x v="54"/>
    <m/>
    <n v="0"/>
    <m/>
    <m/>
    <m/>
    <m/>
  </r>
  <r>
    <x v="7"/>
    <x v="1"/>
    <x v="84"/>
    <x v="3"/>
    <n v="1563100"/>
    <n v="312620000"/>
    <n v="60199999.999999993"/>
    <n v="54720000"/>
    <n v="36500000"/>
    <n v="80950000"/>
    <n v="80250000"/>
    <x v="6"/>
    <n v="0"/>
    <n v="0"/>
    <m/>
    <m/>
    <m/>
    <m/>
  </r>
  <r>
    <x v="7"/>
    <x v="1"/>
    <x v="84"/>
    <x v="4"/>
    <n v="163100"/>
    <n v="32620000"/>
    <n v="7000000"/>
    <n v="5600000"/>
    <n v="6020000"/>
    <n v="7000000"/>
    <n v="7000000"/>
    <x v="6"/>
    <m/>
    <n v="0"/>
    <m/>
    <m/>
    <m/>
    <m/>
  </r>
  <r>
    <x v="7"/>
    <x v="1"/>
    <x v="84"/>
    <x v="5"/>
    <n v="135295.57"/>
    <n v="27059114"/>
    <n v="6802490"/>
    <n v="6752208"/>
    <n v="6752208"/>
    <n v="6752208"/>
    <m/>
    <x v="6"/>
    <m/>
    <n v="0"/>
    <m/>
    <m/>
    <m/>
    <m/>
  </r>
  <r>
    <x v="7"/>
    <x v="1"/>
    <x v="85"/>
    <x v="0"/>
    <n v="120000"/>
    <n v="24000000"/>
    <m/>
    <m/>
    <n v="24000000"/>
    <m/>
    <m/>
    <x v="6"/>
    <m/>
    <n v="0"/>
    <m/>
    <m/>
    <m/>
    <m/>
  </r>
  <r>
    <x v="7"/>
    <x v="1"/>
    <x v="85"/>
    <x v="1"/>
    <n v="828545.85499999998"/>
    <n v="165709171"/>
    <m/>
    <n v="65342554"/>
    <n v="100366617"/>
    <m/>
    <m/>
    <x v="6"/>
    <m/>
    <n v="0"/>
    <m/>
    <m/>
    <m/>
    <m/>
  </r>
  <r>
    <x v="7"/>
    <x v="1"/>
    <x v="85"/>
    <x v="3"/>
    <n v="351160"/>
    <n v="70232000"/>
    <m/>
    <n v="27360000"/>
    <n v="42872000"/>
    <n v="0"/>
    <n v="0"/>
    <x v="6"/>
    <n v="0"/>
    <n v="0"/>
    <m/>
    <m/>
    <m/>
    <m/>
  </r>
  <r>
    <x v="7"/>
    <x v="1"/>
    <x v="85"/>
    <x v="2"/>
    <n v="24500"/>
    <n v="4900000"/>
    <m/>
    <n v="2800000"/>
    <n v="2100000"/>
    <m/>
    <m/>
    <x v="6"/>
    <m/>
    <n v="0"/>
    <m/>
    <m/>
    <m/>
    <m/>
  </r>
  <r>
    <x v="7"/>
    <x v="1"/>
    <x v="69"/>
    <x v="1"/>
    <n v="127578.22140000001"/>
    <n v="25515644.280000001"/>
    <m/>
    <m/>
    <m/>
    <m/>
    <m/>
    <x v="55"/>
    <n v="9471996"/>
    <m/>
    <m/>
    <m/>
    <m/>
    <m/>
  </r>
  <r>
    <x v="7"/>
    <x v="1"/>
    <x v="69"/>
    <x v="3"/>
    <n v="572500"/>
    <n v="114500000"/>
    <m/>
    <m/>
    <m/>
    <m/>
    <m/>
    <x v="56"/>
    <n v="31150000"/>
    <n v="31150000"/>
    <m/>
    <m/>
    <m/>
    <m/>
  </r>
  <r>
    <x v="7"/>
    <x v="1"/>
    <x v="69"/>
    <x v="2"/>
    <n v="105000"/>
    <n v="21000000"/>
    <m/>
    <m/>
    <m/>
    <m/>
    <m/>
    <x v="57"/>
    <n v="7000000"/>
    <n v="7000000"/>
    <m/>
    <m/>
    <m/>
    <m/>
  </r>
  <r>
    <x v="7"/>
    <x v="1"/>
    <x v="69"/>
    <x v="5"/>
    <n v="57435.154999999999"/>
    <n v="11487031"/>
    <m/>
    <m/>
    <m/>
    <m/>
    <m/>
    <x v="58"/>
    <m/>
    <n v="0"/>
    <m/>
    <m/>
    <m/>
    <m/>
  </r>
  <r>
    <x v="7"/>
    <x v="1"/>
    <x v="86"/>
    <x v="0"/>
    <n v="560000"/>
    <n v="112000000"/>
    <n v="28000000"/>
    <n v="28000000"/>
    <n v="28000000"/>
    <n v="28000000"/>
    <m/>
    <x v="6"/>
    <m/>
    <m/>
    <m/>
    <m/>
    <m/>
    <m/>
  </r>
  <r>
    <x v="7"/>
    <x v="1"/>
    <x v="86"/>
    <x v="1"/>
    <n v="63175.755000000005"/>
    <n v="12635151"/>
    <m/>
    <m/>
    <n v="12635151"/>
    <m/>
    <m/>
    <x v="6"/>
    <m/>
    <n v="0"/>
    <m/>
    <m/>
    <m/>
    <m/>
  </r>
  <r>
    <x v="7"/>
    <x v="1"/>
    <x v="86"/>
    <x v="3"/>
    <n v="312000"/>
    <n v="62400000"/>
    <n v="25800000"/>
    <n v="9120000"/>
    <n v="13980000"/>
    <n v="6750000"/>
    <n v="6750000"/>
    <x v="6"/>
    <n v="0"/>
    <n v="0"/>
    <m/>
    <m/>
    <m/>
    <m/>
  </r>
  <r>
    <x v="7"/>
    <x v="1"/>
    <x v="86"/>
    <x v="2"/>
    <n v="162400"/>
    <n v="32480000"/>
    <n v="7000000"/>
    <n v="5600000"/>
    <n v="5880000"/>
    <n v="7000000"/>
    <n v="7000000"/>
    <x v="6"/>
    <m/>
    <n v="0"/>
    <m/>
    <m/>
    <m/>
    <m/>
  </r>
  <r>
    <x v="7"/>
    <x v="1"/>
    <x v="86"/>
    <x v="5"/>
    <n v="535134.16500000004"/>
    <n v="107026833"/>
    <n v="54163510"/>
    <n v="40664095"/>
    <n v="12199228"/>
    <m/>
    <m/>
    <x v="6"/>
    <m/>
    <n v="0"/>
    <m/>
    <m/>
    <m/>
    <m/>
  </r>
  <r>
    <x v="7"/>
    <x v="1"/>
    <x v="62"/>
    <x v="1"/>
    <n v="54703.577349999992"/>
    <n v="10940715.469999999"/>
    <m/>
    <m/>
    <m/>
    <m/>
    <m/>
    <x v="59"/>
    <n v="3967200"/>
    <m/>
    <m/>
    <m/>
    <m/>
    <m/>
  </r>
  <r>
    <x v="7"/>
    <x v="1"/>
    <x v="62"/>
    <x v="2"/>
    <n v="14000"/>
    <n v="2800000"/>
    <m/>
    <m/>
    <m/>
    <m/>
    <m/>
    <x v="6"/>
    <n v="1400000"/>
    <n v="1400000"/>
    <m/>
    <m/>
    <m/>
    <m/>
  </r>
  <r>
    <x v="7"/>
    <x v="1"/>
    <x v="87"/>
    <x v="0"/>
    <n v="200000"/>
    <n v="40000000"/>
    <m/>
    <m/>
    <m/>
    <m/>
    <m/>
    <x v="60"/>
    <m/>
    <n v="0"/>
    <m/>
    <m/>
    <m/>
    <m/>
  </r>
  <r>
    <x v="7"/>
    <x v="1"/>
    <x v="88"/>
    <x v="1"/>
    <n v="76411.525850000005"/>
    <n v="15282305.17"/>
    <m/>
    <m/>
    <m/>
    <m/>
    <m/>
    <x v="61"/>
    <m/>
    <m/>
    <m/>
    <m/>
    <m/>
    <m/>
  </r>
  <r>
    <x v="7"/>
    <x v="1"/>
    <x v="88"/>
    <x v="3"/>
    <n v="517500"/>
    <n v="103500000"/>
    <m/>
    <m/>
    <m/>
    <m/>
    <m/>
    <x v="62"/>
    <n v="13350000"/>
    <n v="13350000"/>
    <n v="42000000"/>
    <m/>
    <m/>
    <m/>
  </r>
  <r>
    <x v="7"/>
    <x v="1"/>
    <x v="88"/>
    <x v="2"/>
    <n v="98500"/>
    <n v="19700000"/>
    <m/>
    <m/>
    <m/>
    <m/>
    <m/>
    <x v="57"/>
    <n v="5600000"/>
    <n v="5600000"/>
    <n v="1500000"/>
    <m/>
    <m/>
    <m/>
  </r>
  <r>
    <x v="7"/>
    <x v="1"/>
    <x v="89"/>
    <x v="1"/>
    <n v="27833.940000000002"/>
    <n v="5566788"/>
    <m/>
    <m/>
    <m/>
    <m/>
    <m/>
    <x v="6"/>
    <m/>
    <n v="4846788"/>
    <n v="720000"/>
    <m/>
    <m/>
    <m/>
  </r>
  <r>
    <x v="7"/>
    <x v="1"/>
    <x v="90"/>
    <x v="2"/>
    <n v="42500"/>
    <n v="8500000"/>
    <m/>
    <m/>
    <m/>
    <m/>
    <m/>
    <x v="6"/>
    <m/>
    <m/>
    <n v="8500000"/>
    <m/>
    <m/>
    <m/>
  </r>
  <r>
    <x v="7"/>
    <x v="1"/>
    <x v="90"/>
    <x v="5"/>
    <n v="31864.405000000002"/>
    <n v="6372881"/>
    <m/>
    <m/>
    <m/>
    <m/>
    <m/>
    <x v="6"/>
    <m/>
    <m/>
    <n v="6372881"/>
    <m/>
    <m/>
    <m/>
  </r>
  <r>
    <x v="7"/>
    <x v="1"/>
    <x v="91"/>
    <x v="2"/>
    <n v="20000"/>
    <n v="4000000"/>
    <m/>
    <m/>
    <m/>
    <m/>
    <m/>
    <x v="6"/>
    <m/>
    <m/>
    <n v="4000000"/>
    <m/>
    <m/>
    <m/>
  </r>
  <r>
    <x v="7"/>
    <x v="1"/>
    <x v="91"/>
    <x v="5"/>
    <n v="31864.405000000002"/>
    <n v="6372881"/>
    <m/>
    <m/>
    <m/>
    <m/>
    <m/>
    <x v="6"/>
    <m/>
    <m/>
    <n v="6372881"/>
    <m/>
    <m/>
    <m/>
  </r>
  <r>
    <x v="8"/>
    <x v="1"/>
    <x v="92"/>
    <x v="2"/>
    <n v="10896.300000000001"/>
    <n v="9000"/>
    <m/>
    <m/>
    <m/>
    <m/>
    <m/>
    <x v="6"/>
    <m/>
    <m/>
    <m/>
    <m/>
    <m/>
    <m/>
  </r>
  <r>
    <x v="8"/>
    <x v="1"/>
    <x v="92"/>
    <x v="4"/>
    <n v="149473.02200000003"/>
    <n v="123460"/>
    <m/>
    <m/>
    <m/>
    <m/>
    <m/>
    <x v="6"/>
    <m/>
    <m/>
    <m/>
    <m/>
    <m/>
    <m/>
  </r>
  <r>
    <x v="8"/>
    <x v="1"/>
    <x v="92"/>
    <x v="1"/>
    <n v="11138.44"/>
    <n v="9200"/>
    <m/>
    <m/>
    <m/>
    <m/>
    <m/>
    <x v="6"/>
    <m/>
    <m/>
    <m/>
    <m/>
    <m/>
    <m/>
  </r>
  <r>
    <x v="8"/>
    <x v="1"/>
    <x v="93"/>
    <x v="2"/>
    <n v="10896.300000000001"/>
    <n v="9000"/>
    <m/>
    <m/>
    <m/>
    <m/>
    <m/>
    <x v="6"/>
    <m/>
    <m/>
    <m/>
    <m/>
    <m/>
    <m/>
  </r>
  <r>
    <x v="8"/>
    <x v="1"/>
    <x v="93"/>
    <x v="4"/>
    <n v="145909.93190000003"/>
    <n v="120517"/>
    <m/>
    <m/>
    <m/>
    <m/>
    <m/>
    <x v="6"/>
    <m/>
    <m/>
    <m/>
    <m/>
    <m/>
    <m/>
  </r>
  <r>
    <x v="8"/>
    <x v="1"/>
    <x v="94"/>
    <x v="3"/>
    <n v="71531.788100000005"/>
    <n v="59083"/>
    <m/>
    <m/>
    <m/>
    <m/>
    <m/>
    <x v="6"/>
    <m/>
    <m/>
    <m/>
    <m/>
    <m/>
    <m/>
  </r>
  <r>
    <x v="8"/>
    <x v="1"/>
    <x v="94"/>
    <x v="2"/>
    <n v="10896.300000000001"/>
    <n v="9000"/>
    <m/>
    <m/>
    <m/>
    <m/>
    <m/>
    <x v="6"/>
    <m/>
    <m/>
    <m/>
    <m/>
    <m/>
    <m/>
  </r>
  <r>
    <x v="8"/>
    <x v="1"/>
    <x v="94"/>
    <x v="4"/>
    <n v="99176.911900000006"/>
    <n v="81917"/>
    <m/>
    <m/>
    <m/>
    <m/>
    <m/>
    <x v="6"/>
    <m/>
    <m/>
    <m/>
    <m/>
    <m/>
    <m/>
  </r>
  <r>
    <x v="8"/>
    <x v="1"/>
    <x v="95"/>
    <x v="5"/>
    <n v="6683.0640000000003"/>
    <n v="5520"/>
    <m/>
    <m/>
    <m/>
    <m/>
    <m/>
    <x v="6"/>
    <m/>
    <m/>
    <m/>
    <m/>
    <m/>
    <m/>
  </r>
  <r>
    <x v="8"/>
    <x v="1"/>
    <x v="95"/>
    <x v="2"/>
    <n v="19371.2"/>
    <n v="16000"/>
    <m/>
    <m/>
    <m/>
    <m/>
    <m/>
    <x v="6"/>
    <m/>
    <m/>
    <m/>
    <m/>
    <m/>
    <m/>
  </r>
  <r>
    <x v="8"/>
    <x v="1"/>
    <x v="95"/>
    <x v="1"/>
    <n v="15860.170000000002"/>
    <n v="13100"/>
    <m/>
    <m/>
    <m/>
    <m/>
    <m/>
    <x v="6"/>
    <m/>
    <m/>
    <m/>
    <m/>
    <m/>
    <m/>
  </r>
  <r>
    <x v="8"/>
    <x v="1"/>
    <x v="96"/>
    <x v="2"/>
    <n v="15739.100000000002"/>
    <n v="13000"/>
    <m/>
    <m/>
    <m/>
    <m/>
    <m/>
    <x v="6"/>
    <m/>
    <m/>
    <m/>
    <m/>
    <m/>
    <m/>
  </r>
  <r>
    <x v="8"/>
    <x v="1"/>
    <x v="96"/>
    <x v="1"/>
    <n v="15860.170000000002"/>
    <n v="13100"/>
    <m/>
    <m/>
    <m/>
    <m/>
    <m/>
    <x v="6"/>
    <m/>
    <m/>
    <m/>
    <m/>
    <m/>
    <m/>
  </r>
  <r>
    <x v="8"/>
    <x v="1"/>
    <x v="97"/>
    <x v="5"/>
    <n v="15032.051200000002"/>
    <n v="12416"/>
    <m/>
    <m/>
    <m/>
    <m/>
    <m/>
    <x v="6"/>
    <m/>
    <m/>
    <m/>
    <m/>
    <m/>
    <m/>
  </r>
  <r>
    <x v="8"/>
    <x v="1"/>
    <x v="97"/>
    <x v="2"/>
    <n v="36387.588500000005"/>
    <n v="30055"/>
    <m/>
    <m/>
    <m/>
    <m/>
    <m/>
    <x v="6"/>
    <m/>
    <m/>
    <m/>
    <m/>
    <m/>
    <m/>
  </r>
  <r>
    <x v="8"/>
    <x v="1"/>
    <x v="97"/>
    <x v="1"/>
    <n v="61079.815000000002"/>
    <n v="50450"/>
    <m/>
    <m/>
    <m/>
    <m/>
    <m/>
    <x v="6"/>
    <m/>
    <m/>
    <m/>
    <m/>
    <m/>
    <m/>
  </r>
  <r>
    <x v="8"/>
    <x v="1"/>
    <x v="98"/>
    <x v="0"/>
    <n v="22809.588000000003"/>
    <n v="18840"/>
    <m/>
    <m/>
    <m/>
    <m/>
    <m/>
    <x v="6"/>
    <m/>
    <m/>
    <m/>
    <m/>
    <m/>
    <m/>
  </r>
  <r>
    <x v="8"/>
    <x v="1"/>
    <x v="98"/>
    <x v="3"/>
    <n v="55625.611500000006"/>
    <n v="45945"/>
    <m/>
    <m/>
    <m/>
    <m/>
    <m/>
    <x v="6"/>
    <m/>
    <m/>
    <m/>
    <m/>
    <m/>
    <m/>
  </r>
  <r>
    <x v="8"/>
    <x v="1"/>
    <x v="98"/>
    <x v="5"/>
    <n v="27337.606000000003"/>
    <n v="22580"/>
    <m/>
    <m/>
    <m/>
    <m/>
    <m/>
    <x v="6"/>
    <m/>
    <m/>
    <m/>
    <m/>
    <m/>
    <m/>
  </r>
  <r>
    <x v="8"/>
    <x v="1"/>
    <x v="98"/>
    <x v="2"/>
    <n v="21563.777700000002"/>
    <n v="17811"/>
    <m/>
    <m/>
    <m/>
    <m/>
    <m/>
    <x v="6"/>
    <m/>
    <m/>
    <m/>
    <m/>
    <m/>
    <m/>
  </r>
  <r>
    <x v="8"/>
    <x v="1"/>
    <x v="98"/>
    <x v="1"/>
    <n v="57241.896000000008"/>
    <n v="47280"/>
    <m/>
    <m/>
    <m/>
    <m/>
    <m/>
    <x v="6"/>
    <m/>
    <m/>
    <m/>
    <m/>
    <m/>
    <m/>
  </r>
  <r>
    <x v="8"/>
    <x v="1"/>
    <x v="99"/>
    <x v="3"/>
    <n v="55625.611500000006"/>
    <n v="45945"/>
    <m/>
    <m/>
    <m/>
    <m/>
    <m/>
    <x v="6"/>
    <m/>
    <m/>
    <m/>
    <m/>
    <m/>
    <m/>
  </r>
  <r>
    <x v="8"/>
    <x v="1"/>
    <x v="99"/>
    <x v="5"/>
    <n v="30742.094400000002"/>
    <n v="25392"/>
    <m/>
    <m/>
    <m/>
    <m/>
    <m/>
    <x v="6"/>
    <m/>
    <m/>
    <m/>
    <m/>
    <m/>
    <m/>
  </r>
  <r>
    <x v="8"/>
    <x v="1"/>
    <x v="99"/>
    <x v="2"/>
    <n v="23756.3554"/>
    <n v="19622"/>
    <m/>
    <m/>
    <m/>
    <m/>
    <m/>
    <x v="6"/>
    <m/>
    <m/>
    <m/>
    <m/>
    <m/>
    <m/>
  </r>
  <r>
    <x v="8"/>
    <x v="1"/>
    <x v="99"/>
    <x v="1"/>
    <n v="21017.752"/>
    <n v="17360"/>
    <m/>
    <m/>
    <m/>
    <m/>
    <m/>
    <x v="6"/>
    <m/>
    <m/>
    <m/>
    <m/>
    <m/>
    <m/>
  </r>
  <r>
    <x v="9"/>
    <x v="2"/>
    <x v="100"/>
    <x v="1"/>
    <n v="1737095.7772000001"/>
    <n v="6203913.4900000002"/>
    <n v="566629.75"/>
    <n v="681175.75"/>
    <n v="681175.75"/>
    <n v="949123.75"/>
    <n v="663617"/>
    <x v="63"/>
    <n v="788828.48"/>
    <n v="788828.48"/>
    <n v="229955.01"/>
    <m/>
    <m/>
    <m/>
  </r>
  <r>
    <x v="9"/>
    <x v="2"/>
    <x v="100"/>
    <x v="3"/>
    <n v="75735.240000000005"/>
    <n v="270483"/>
    <m/>
    <n v="44172"/>
    <n v="0"/>
    <n v="0"/>
    <n v="226311"/>
    <x v="64"/>
    <n v="0"/>
    <n v="0"/>
    <n v="0"/>
    <m/>
    <m/>
    <m/>
  </r>
  <r>
    <x v="9"/>
    <x v="2"/>
    <x v="100"/>
    <x v="4"/>
    <n v="3011100.7164000007"/>
    <n v="10753931.130000001"/>
    <n v="513000"/>
    <n v="873875"/>
    <n v="1062237"/>
    <n v="1588829"/>
    <n v="1588829"/>
    <x v="65"/>
    <n v="1559596.08"/>
    <n v="1395022"/>
    <n v="1106689.8"/>
    <m/>
    <m/>
    <m/>
  </r>
  <r>
    <x v="9"/>
    <x v="2"/>
    <x v="100"/>
    <x v="2"/>
    <n v="1254906.3044"/>
    <n v="4481808.2299999995"/>
    <n v="267337.59999999998"/>
    <n v="267337.59999999998"/>
    <n v="338021"/>
    <n v="665239"/>
    <n v="327218"/>
    <x v="66"/>
    <n v="551385.92000000004"/>
    <n v="551385.92000000004"/>
    <n v="506057.33"/>
    <m/>
    <m/>
    <m/>
  </r>
  <r>
    <x v="9"/>
    <x v="2"/>
    <x v="100"/>
    <x v="5"/>
    <n v="715863.70520000008"/>
    <n v="2556656.09"/>
    <n v="334400"/>
    <n v="150128"/>
    <n v="150128"/>
    <n v="387219.20000000001"/>
    <n v="317798.2"/>
    <x v="67"/>
    <n v="0"/>
    <n v="605598"/>
    <n v="189270"/>
    <m/>
    <m/>
    <m/>
  </r>
  <r>
    <x v="9"/>
    <x v="2"/>
    <x v="100"/>
    <x v="7"/>
    <n v="482980.4"/>
    <n v="1724930"/>
    <m/>
    <n v="862465"/>
    <n v="862465"/>
    <n v="0"/>
    <n v="0"/>
    <x v="68"/>
    <n v="0"/>
    <n v="0"/>
    <n v="0"/>
    <m/>
    <m/>
    <m/>
  </r>
  <r>
    <x v="9"/>
    <x v="1"/>
    <x v="101"/>
    <x v="1"/>
    <n v="6643.8372000000008"/>
    <n v="23727.99"/>
    <m/>
    <m/>
    <m/>
    <m/>
    <m/>
    <x v="6"/>
    <m/>
    <m/>
    <n v="23727.99"/>
    <m/>
    <m/>
    <m/>
  </r>
  <r>
    <x v="9"/>
    <x v="1"/>
    <x v="101"/>
    <x v="1"/>
    <n v="25335.609600000003"/>
    <n v="90484.32"/>
    <m/>
    <m/>
    <m/>
    <m/>
    <m/>
    <x v="6"/>
    <m/>
    <m/>
    <n v="90484.32"/>
    <m/>
    <m/>
    <m/>
  </r>
  <r>
    <x v="9"/>
    <x v="1"/>
    <x v="101"/>
    <x v="1"/>
    <n v="19493.334000000003"/>
    <n v="69619.05"/>
    <m/>
    <m/>
    <m/>
    <m/>
    <m/>
    <x v="6"/>
    <m/>
    <m/>
    <n v="69619.05"/>
    <m/>
    <m/>
    <m/>
  </r>
  <r>
    <x v="9"/>
    <x v="1"/>
    <x v="102"/>
    <x v="1"/>
    <n v="154.58800000000002"/>
    <n v="552.1"/>
    <m/>
    <m/>
    <m/>
    <m/>
    <m/>
    <x v="6"/>
    <m/>
    <m/>
    <n v="552.1"/>
    <m/>
    <m/>
    <m/>
  </r>
  <r>
    <x v="9"/>
    <x v="1"/>
    <x v="102"/>
    <x v="1"/>
    <n v="662.71800000000007"/>
    <n v="2366.85"/>
    <m/>
    <m/>
    <m/>
    <m/>
    <m/>
    <x v="6"/>
    <m/>
    <m/>
    <n v="2366.85"/>
    <m/>
    <m/>
    <m/>
  </r>
  <r>
    <x v="9"/>
    <x v="1"/>
    <x v="103"/>
    <x v="1"/>
    <n v="4861.4356000000007"/>
    <n v="17362.27"/>
    <m/>
    <m/>
    <m/>
    <m/>
    <m/>
    <x v="6"/>
    <m/>
    <m/>
    <n v="17362.27"/>
    <m/>
    <m/>
    <m/>
  </r>
  <r>
    <x v="9"/>
    <x v="1"/>
    <x v="103"/>
    <x v="1"/>
    <n v="7235.8804000000009"/>
    <n v="25842.43"/>
    <m/>
    <m/>
    <m/>
    <m/>
    <m/>
    <x v="6"/>
    <m/>
    <m/>
    <n v="25842.4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CE196-BC13-4FA9-8B8A-82D2A3347A3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4" firstHeaderRow="0" firstDataRow="1" firstDataCol="1"/>
  <pivotFields count="18">
    <pivotField axis="axisRow" showAll="0">
      <items count="11">
        <item x="0"/>
        <item x="1"/>
        <item x="2"/>
        <item x="3"/>
        <item x="4"/>
        <item x="9"/>
        <item x="8"/>
        <item x="5"/>
        <item x="7"/>
        <item x="6"/>
        <item t="default"/>
      </items>
    </pivotField>
    <pivotField showAll="0">
      <items count="6">
        <item x="4"/>
        <item x="2"/>
        <item x="0"/>
        <item x="1"/>
        <item x="3"/>
        <item t="default"/>
      </items>
    </pivotField>
    <pivotField showAll="0">
      <items count="105">
        <item x="49"/>
        <item x="85"/>
        <item x="55"/>
        <item x="54"/>
        <item x="62"/>
        <item x="25"/>
        <item x="26"/>
        <item x="77"/>
        <item x="74"/>
        <item x="56"/>
        <item x="57"/>
        <item x="65"/>
        <item x="59"/>
        <item x="53"/>
        <item x="58"/>
        <item x="64"/>
        <item x="60"/>
        <item x="63"/>
        <item x="27"/>
        <item x="16"/>
        <item x="42"/>
        <item x="21"/>
        <item x="14"/>
        <item x="43"/>
        <item x="31"/>
        <item x="20"/>
        <item x="51"/>
        <item x="4"/>
        <item x="68"/>
        <item x="92"/>
        <item x="40"/>
        <item x="7"/>
        <item x="90"/>
        <item x="99"/>
        <item x="101"/>
        <item x="2"/>
        <item x="91"/>
        <item x="32"/>
        <item x="1"/>
        <item x="46"/>
        <item x="0"/>
        <item x="102"/>
        <item x="88"/>
        <item x="13"/>
        <item x="96"/>
        <item x="38"/>
        <item x="98"/>
        <item x="33"/>
        <item x="23"/>
        <item x="8"/>
        <item x="66"/>
        <item x="67"/>
        <item x="78"/>
        <item x="19"/>
        <item x="79"/>
        <item x="29"/>
        <item x="84"/>
        <item x="17"/>
        <item x="41"/>
        <item x="50"/>
        <item x="24"/>
        <item x="37"/>
        <item x="83"/>
        <item x="94"/>
        <item x="18"/>
        <item x="75"/>
        <item x="44"/>
        <item x="34"/>
        <item x="12"/>
        <item x="76"/>
        <item x="48"/>
        <item x="39"/>
        <item x="69"/>
        <item x="87"/>
        <item x="70"/>
        <item x="95"/>
        <item x="28"/>
        <item x="11"/>
        <item x="103"/>
        <item x="9"/>
        <item x="45"/>
        <item x="47"/>
        <item x="36"/>
        <item x="15"/>
        <item x="100"/>
        <item x="71"/>
        <item x="82"/>
        <item x="52"/>
        <item x="3"/>
        <item x="89"/>
        <item x="22"/>
        <item x="97"/>
        <item x="10"/>
        <item x="80"/>
        <item x="30"/>
        <item x="86"/>
        <item x="81"/>
        <item x="93"/>
        <item x="35"/>
        <item x="6"/>
        <item x="5"/>
        <item x="61"/>
        <item x="73"/>
        <item x="72"/>
        <item t="default"/>
      </items>
    </pivotField>
    <pivotField showAll="0">
      <items count="11">
        <item x="1"/>
        <item x="2"/>
        <item x="8"/>
        <item x="6"/>
        <item x="4"/>
        <item x="7"/>
        <item x="9"/>
        <item x="5"/>
        <item x="3"/>
        <item x="0"/>
        <item t="default"/>
      </items>
    </pivotField>
    <pivotField numFmtId="166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>
      <items count="70">
        <item x="9"/>
        <item x="23"/>
        <item x="3"/>
        <item x="4"/>
        <item x="0"/>
        <item x="15"/>
        <item x="13"/>
        <item x="5"/>
        <item x="32"/>
        <item x="18"/>
        <item x="8"/>
        <item x="35"/>
        <item x="2"/>
        <item x="7"/>
        <item x="21"/>
        <item x="16"/>
        <item x="12"/>
        <item x="1"/>
        <item x="49"/>
        <item x="44"/>
        <item x="47"/>
        <item x="50"/>
        <item x="29"/>
        <item x="11"/>
        <item x="45"/>
        <item x="46"/>
        <item x="10"/>
        <item x="43"/>
        <item x="52"/>
        <item x="17"/>
        <item x="34"/>
        <item x="37"/>
        <item x="42"/>
        <item x="25"/>
        <item x="30"/>
        <item x="48"/>
        <item x="19"/>
        <item x="27"/>
        <item x="51"/>
        <item x="14"/>
        <item x="20"/>
        <item x="33"/>
        <item x="36"/>
        <item x="22"/>
        <item x="28"/>
        <item x="31"/>
        <item x="24"/>
        <item x="67"/>
        <item x="41"/>
        <item x="26"/>
        <item x="40"/>
        <item x="63"/>
        <item x="66"/>
        <item x="65"/>
        <item x="38"/>
        <item x="59"/>
        <item x="57"/>
        <item x="58"/>
        <item x="39"/>
        <item x="61"/>
        <item x="55"/>
        <item x="54"/>
        <item x="62"/>
        <item x="60"/>
        <item x="56"/>
        <item x="53"/>
        <item x="64"/>
        <item x="68"/>
        <item x="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Jan" fld="6" baseField="0" baseItem="0"/>
    <dataField name="Sum of Feb" fld="7" baseField="0" baseItem="0"/>
    <dataField name="Sum of Mar" fld="8" baseField="0" baseItem="0"/>
    <dataField name="Sum of Apr" fld="9" baseField="0" baseItem="0"/>
    <dataField name="Sum of May" fld="10" baseField="0" baseItem="0"/>
    <dataField name="Sum of Jun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eme1">
  <a:themeElements>
    <a:clrScheme name="Office">
      <a:dk1>
        <a:srgbClr val="736464"/>
      </a:dk1>
      <a:lt1>
        <a:srgbClr val="FFFFFF"/>
      </a:lt1>
      <a:dk2>
        <a:srgbClr val="000000"/>
      </a:dk2>
      <a:lt2>
        <a:srgbClr val="5A4B4B"/>
      </a:lt2>
      <a:accent1>
        <a:srgbClr val="F47721"/>
      </a:accent1>
      <a:accent2>
        <a:srgbClr val="870A3C"/>
      </a:accent2>
      <a:accent3>
        <a:srgbClr val="F52D28"/>
      </a:accent3>
      <a:accent4>
        <a:srgbClr val="DC0032"/>
      </a:accent4>
      <a:accent5>
        <a:srgbClr val="BE0028"/>
      </a:accent5>
      <a:accent6>
        <a:srgbClr val="AA052D"/>
      </a:accent6>
      <a:hlink>
        <a:srgbClr val="960528"/>
      </a:hlink>
      <a:folHlink>
        <a:srgbClr val="000000"/>
      </a:folHlink>
    </a:clrScheme>
    <a:fontScheme name="Source Sans Pro">
      <a:majorFont>
        <a:latin typeface="Source Sans Pro Bold"/>
        <a:ea typeface=""/>
        <a:cs typeface=""/>
      </a:majorFont>
      <a:minorFont>
        <a:latin typeface="Source Sans Pro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3"/>
        </a:solidFill>
        <a:ln w="12700" cap="flat" cmpd="sng" algn="ctr">
          <a:noFill/>
          <a:prstDash val="solid"/>
          <a:miter lim="800000"/>
        </a:ln>
        <a:effectLst/>
      </a:spPr>
      <a:bodyPr rtlCol="0" anchor="ctr" anchorCtr="0"/>
      <a:lstStyle>
        <a:defPPr algn="ctr" defTabSz="914400">
          <a:defRPr sz="1600" b="1" kern="0" dirty="0">
            <a:solidFill>
              <a:srgbClr val="FFFFFF"/>
            </a:solidFill>
            <a:latin typeface="+mj-lt"/>
          </a:defRPr>
        </a:defPPr>
      </a:lstStyle>
    </a:spDef>
    <a:txDef>
      <a:spPr>
        <a:noFill/>
      </a:spPr>
      <a:bodyPr wrap="square" rtlCol="0">
        <a:spAutoFit/>
      </a:bodyPr>
      <a:lstStyle>
        <a:defPPr algn="l">
          <a:defRPr sz="1000" dirty="0" smtClean="0">
            <a:solidFill>
              <a:schemeClr val="tx2"/>
            </a:solidFill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Theme1" id="{450DD275-6CF6-4106-92FC-DEDCE4CF1665}" vid="{D377BA43-A17E-4B17-8F3F-A0BFEB715C4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29F2-982F-4C8B-97E9-2B3B668FAAFF}">
  <dimension ref="A1:EE149"/>
  <sheetViews>
    <sheetView showGridLines="0" tabSelected="1" zoomScaleNormal="100" workbookViewId="0">
      <pane xSplit="2" topLeftCell="C1" activePane="topRight" state="frozen"/>
      <selection pane="topRight" activeCell="CG135" sqref="A1:CG135"/>
    </sheetView>
  </sheetViews>
  <sheetFormatPr defaultRowHeight="14.5"/>
  <cols>
    <col min="1" max="1" width="14.1796875" customWidth="1"/>
    <col min="2" max="2" width="31.453125" style="10" customWidth="1"/>
    <col min="3" max="6" width="20.1796875" style="124" bestFit="1" customWidth="1"/>
    <col min="7" max="7" width="8.7265625" style="127" customWidth="1"/>
    <col min="8" max="8" width="20.1796875" style="196" bestFit="1" customWidth="1"/>
    <col min="9" max="9" width="8.1796875" style="127" customWidth="1"/>
    <col min="10" max="10" width="16.54296875" style="124" customWidth="1"/>
    <col min="11" max="11" width="1.1796875" customWidth="1"/>
    <col min="12" max="15" width="18.6328125" bestFit="1" customWidth="1"/>
    <col min="16" max="16" width="7.1796875" style="12" customWidth="1"/>
    <col min="17" max="17" width="24.453125" bestFit="1" customWidth="1"/>
    <col min="18" max="18" width="9.453125" style="12" customWidth="1"/>
    <col min="19" max="19" width="1.1796875" customWidth="1"/>
    <col min="20" max="22" width="17.81640625" bestFit="1" customWidth="1"/>
    <col min="23" max="23" width="17.453125" bestFit="1" customWidth="1"/>
    <col min="24" max="24" width="7.1796875" style="12" customWidth="1"/>
    <col min="25" max="25" width="17.453125" bestFit="1" customWidth="1"/>
    <col min="26" max="26" width="7.1796875" style="12" customWidth="1"/>
    <col min="27" max="27" width="1.1796875" customWidth="1"/>
    <col min="28" max="29" width="17.81640625" bestFit="1" customWidth="1"/>
    <col min="30" max="30" width="17.453125" bestFit="1" customWidth="1"/>
    <col min="31" max="31" width="17.81640625" bestFit="1" customWidth="1"/>
    <col min="32" max="32" width="7.1796875" style="12" customWidth="1"/>
    <col min="33" max="33" width="17.81640625" bestFit="1" customWidth="1"/>
    <col min="34" max="34" width="7.1796875" style="12" customWidth="1"/>
    <col min="35" max="35" width="1.1796875" customWidth="1"/>
    <col min="36" max="38" width="17.81640625" bestFit="1" customWidth="1"/>
    <col min="39" max="39" width="16.26953125" customWidth="1"/>
    <col min="40" max="40" width="7.1796875" style="12" customWidth="1"/>
    <col min="41" max="41" width="17.81640625" bestFit="1" customWidth="1"/>
    <col min="42" max="42" width="7.1796875" style="12" customWidth="1"/>
    <col min="43" max="43" width="1.1796875" customWidth="1"/>
    <col min="44" max="46" width="17.81640625" bestFit="1" customWidth="1"/>
    <col min="47" max="47" width="17.7265625" customWidth="1"/>
    <col min="48" max="48" width="7.1796875" style="12" customWidth="1"/>
    <col min="49" max="49" width="17.81640625" bestFit="1" customWidth="1"/>
    <col min="50" max="50" width="7.1796875" style="12" customWidth="1"/>
    <col min="51" max="51" width="1.1796875" customWidth="1"/>
    <col min="52" max="52" width="17.90625" bestFit="1" customWidth="1"/>
    <col min="53" max="53" width="16.26953125" bestFit="1" customWidth="1"/>
    <col min="54" max="55" width="17" bestFit="1" customWidth="1"/>
    <col min="56" max="56" width="7.1796875" style="12" customWidth="1"/>
    <col min="57" max="57" width="14.81640625" customWidth="1"/>
    <col min="58" max="58" width="7.1796875" style="12" customWidth="1"/>
    <col min="59" max="59" width="1.08984375" customWidth="1"/>
    <col min="60" max="60" width="16.6328125" bestFit="1" customWidth="1"/>
    <col min="61" max="61" width="15.6328125" customWidth="1"/>
    <col min="62" max="63" width="16.6328125" bestFit="1" customWidth="1"/>
    <col min="64" max="64" width="11.90625" style="12" bestFit="1" customWidth="1"/>
    <col min="65" max="65" width="19" customWidth="1"/>
    <col min="66" max="66" width="7.1796875" style="12" customWidth="1"/>
    <col min="67" max="67" width="16.54296875" style="124" customWidth="1"/>
    <col min="68" max="68" width="1.1796875" customWidth="1"/>
    <col min="69" max="72" width="17.1796875" customWidth="1"/>
    <col min="73" max="73" width="7.1796875" style="12" customWidth="1"/>
    <col min="74" max="74" width="17.453125" customWidth="1"/>
    <col min="75" max="75" width="7.1796875" style="12" customWidth="1"/>
    <col min="76" max="76" width="16.54296875" style="124" customWidth="1"/>
    <col min="77" max="77" width="1.1796875" customWidth="1"/>
    <col min="78" max="79" width="17.36328125" customWidth="1"/>
    <col min="80" max="81" width="17" customWidth="1"/>
    <col min="82" max="82" width="7.1796875" style="12" customWidth="1"/>
    <col min="83" max="83" width="17.1796875" customWidth="1"/>
    <col min="84" max="84" width="7.1796875" style="12" customWidth="1"/>
    <col min="85" max="85" width="16.54296875" style="124" customWidth="1"/>
    <col min="86" max="86" width="1.1796875" hidden="1" customWidth="1"/>
    <col min="87" max="90" width="13.1796875" hidden="1" customWidth="1"/>
    <col min="91" max="91" width="7.1796875" style="12" hidden="1" customWidth="1"/>
    <col min="92" max="92" width="13.1796875" hidden="1" customWidth="1"/>
    <col min="93" max="93" width="7.1796875" style="12" hidden="1" customWidth="1"/>
    <col min="94" max="94" width="1.1796875" hidden="1" customWidth="1"/>
    <col min="95" max="98" width="13.1796875" hidden="1" customWidth="1"/>
    <col min="99" max="99" width="7.1796875" style="12" hidden="1" customWidth="1"/>
    <col min="100" max="100" width="13.1796875" hidden="1" customWidth="1"/>
    <col min="101" max="101" width="7.1796875" style="12" hidden="1" customWidth="1"/>
    <col min="102" max="102" width="1.1796875" hidden="1" customWidth="1"/>
    <col min="103" max="106" width="13.1796875" hidden="1" customWidth="1"/>
    <col min="107" max="107" width="7.1796875" style="12" hidden="1" customWidth="1"/>
    <col min="108" max="108" width="13.1796875" hidden="1" customWidth="1"/>
    <col min="109" max="109" width="7.1796875" style="12" hidden="1" customWidth="1"/>
    <col min="110" max="110" width="18.453125" customWidth="1"/>
    <col min="111" max="111" width="8.81640625" style="275" customWidth="1"/>
    <col min="112" max="112" width="8.81640625" customWidth="1"/>
    <col min="113" max="113" width="14.453125" bestFit="1" customWidth="1"/>
    <col min="114" max="121" width="8.81640625" customWidth="1"/>
  </cols>
  <sheetData>
    <row r="1" spans="1:135" ht="25">
      <c r="A1" s="216" t="s">
        <v>0</v>
      </c>
      <c r="B1" s="215"/>
    </row>
    <row r="2" spans="1:135">
      <c r="F2" s="275">
        <f>(F3-F17)/F17</f>
        <v>0.14796814620818313</v>
      </c>
    </row>
    <row r="3" spans="1:135" ht="15" thickBot="1">
      <c r="C3" s="275"/>
      <c r="F3" s="315">
        <v>3833244</v>
      </c>
    </row>
    <row r="4" spans="1:135" s="2" customFormat="1" ht="20.149999999999999" customHeight="1">
      <c r="A4" s="326" t="s">
        <v>58</v>
      </c>
      <c r="B4" s="327"/>
      <c r="C4" s="327"/>
      <c r="D4" s="327"/>
      <c r="E4" s="327"/>
      <c r="F4" s="327"/>
      <c r="G4" s="327"/>
      <c r="H4" s="327"/>
      <c r="I4" s="328"/>
      <c r="J4" s="189" t="s">
        <v>1</v>
      </c>
      <c r="K4" s="88"/>
      <c r="L4" s="323">
        <v>45682</v>
      </c>
      <c r="M4" s="324"/>
      <c r="N4" s="324"/>
      <c r="O4" s="324"/>
      <c r="P4" s="324"/>
      <c r="Q4" s="324"/>
      <c r="R4" s="325"/>
      <c r="S4" s="88"/>
      <c r="T4" s="320">
        <v>45713</v>
      </c>
      <c r="U4" s="321"/>
      <c r="V4" s="321"/>
      <c r="W4" s="321"/>
      <c r="X4" s="321"/>
      <c r="Y4" s="321"/>
      <c r="Z4" s="322"/>
      <c r="AA4" s="88"/>
      <c r="AB4" s="320">
        <v>45741</v>
      </c>
      <c r="AC4" s="321"/>
      <c r="AD4" s="321"/>
      <c r="AE4" s="321"/>
      <c r="AF4" s="321"/>
      <c r="AG4" s="321"/>
      <c r="AH4" s="322"/>
      <c r="AI4" s="88"/>
      <c r="AJ4" s="320">
        <v>45772</v>
      </c>
      <c r="AK4" s="321"/>
      <c r="AL4" s="321"/>
      <c r="AM4" s="321"/>
      <c r="AN4" s="321"/>
      <c r="AO4" s="321"/>
      <c r="AP4" s="322"/>
      <c r="AQ4" s="88"/>
      <c r="AR4" s="320">
        <v>45802</v>
      </c>
      <c r="AS4" s="321"/>
      <c r="AT4" s="321"/>
      <c r="AU4" s="321"/>
      <c r="AV4" s="321"/>
      <c r="AW4" s="321"/>
      <c r="AX4" s="322"/>
      <c r="AY4" s="88"/>
      <c r="AZ4" s="320">
        <v>45833</v>
      </c>
      <c r="BA4" s="321"/>
      <c r="BB4" s="321"/>
      <c r="BC4" s="321"/>
      <c r="BD4" s="321"/>
      <c r="BE4" s="321"/>
      <c r="BF4" s="322"/>
      <c r="BG4" s="88"/>
      <c r="BH4" s="323">
        <v>45863</v>
      </c>
      <c r="BI4" s="324"/>
      <c r="BJ4" s="324"/>
      <c r="BK4" s="324"/>
      <c r="BL4" s="324"/>
      <c r="BM4" s="324"/>
      <c r="BN4" s="325"/>
      <c r="BO4" s="189" t="s">
        <v>1</v>
      </c>
      <c r="BP4" s="88"/>
      <c r="BQ4" s="323">
        <v>45894</v>
      </c>
      <c r="BR4" s="324"/>
      <c r="BS4" s="324"/>
      <c r="BT4" s="324"/>
      <c r="BU4" s="324"/>
      <c r="BV4" s="324"/>
      <c r="BW4" s="325"/>
      <c r="BX4" s="189" t="s">
        <v>1</v>
      </c>
      <c r="BY4" s="88"/>
      <c r="BZ4" s="317">
        <v>45925</v>
      </c>
      <c r="CA4" s="318"/>
      <c r="CB4" s="318"/>
      <c r="CC4" s="318"/>
      <c r="CD4" s="318"/>
      <c r="CE4" s="318"/>
      <c r="CF4" s="319"/>
      <c r="CG4" s="189" t="s">
        <v>1</v>
      </c>
      <c r="CH4" s="88"/>
      <c r="CI4" s="320">
        <v>45955</v>
      </c>
      <c r="CJ4" s="321"/>
      <c r="CK4" s="321"/>
      <c r="CL4" s="321"/>
      <c r="CM4" s="321"/>
      <c r="CN4" s="321"/>
      <c r="CO4" s="322"/>
      <c r="CP4" s="88"/>
      <c r="CQ4" s="320">
        <v>45986</v>
      </c>
      <c r="CR4" s="321"/>
      <c r="CS4" s="321"/>
      <c r="CT4" s="321"/>
      <c r="CU4" s="321"/>
      <c r="CV4" s="321"/>
      <c r="CW4" s="322"/>
      <c r="CX4" s="88"/>
      <c r="CY4" s="320">
        <v>46016</v>
      </c>
      <c r="CZ4" s="321"/>
      <c r="DA4" s="321"/>
      <c r="DB4" s="321"/>
      <c r="DC4" s="321"/>
      <c r="DD4" s="321"/>
      <c r="DE4" s="322"/>
      <c r="DF4" s="1"/>
      <c r="DG4" s="287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</row>
    <row r="5" spans="1:135" s="2" customFormat="1" ht="13" customHeight="1">
      <c r="A5" s="172"/>
      <c r="B5" s="162" t="s">
        <v>2</v>
      </c>
      <c r="C5" s="163" t="s">
        <v>3</v>
      </c>
      <c r="D5" s="163" t="s">
        <v>4</v>
      </c>
      <c r="E5" s="163" t="s">
        <v>5</v>
      </c>
      <c r="F5" s="163" t="s">
        <v>6</v>
      </c>
      <c r="G5" s="15" t="s">
        <v>7</v>
      </c>
      <c r="H5" s="197" t="s">
        <v>8</v>
      </c>
      <c r="I5" s="15" t="s">
        <v>9</v>
      </c>
      <c r="J5" s="185" t="s">
        <v>6</v>
      </c>
      <c r="K5" s="89"/>
      <c r="L5" s="61" t="s">
        <v>3</v>
      </c>
      <c r="M5" s="43" t="s">
        <v>4</v>
      </c>
      <c r="N5" s="43" t="s">
        <v>5</v>
      </c>
      <c r="O5" s="43" t="s">
        <v>6</v>
      </c>
      <c r="P5" s="15" t="s">
        <v>7</v>
      </c>
      <c r="Q5" s="44" t="s">
        <v>8</v>
      </c>
      <c r="R5" s="62" t="s">
        <v>9</v>
      </c>
      <c r="S5" s="89"/>
      <c r="T5" s="5" t="s">
        <v>3</v>
      </c>
      <c r="U5" s="3" t="s">
        <v>4</v>
      </c>
      <c r="V5" s="3" t="s">
        <v>5</v>
      </c>
      <c r="W5" s="3" t="s">
        <v>6</v>
      </c>
      <c r="X5" s="13" t="s">
        <v>7</v>
      </c>
      <c r="Y5" s="4" t="s">
        <v>8</v>
      </c>
      <c r="Z5" s="16" t="s">
        <v>9</v>
      </c>
      <c r="AA5" s="89"/>
      <c r="AB5" s="5" t="s">
        <v>3</v>
      </c>
      <c r="AC5" s="3" t="s">
        <v>4</v>
      </c>
      <c r="AD5" s="3" t="s">
        <v>5</v>
      </c>
      <c r="AE5" s="3" t="s">
        <v>6</v>
      </c>
      <c r="AF5" s="13" t="s">
        <v>7</v>
      </c>
      <c r="AG5" s="4" t="s">
        <v>8</v>
      </c>
      <c r="AH5" s="16" t="s">
        <v>9</v>
      </c>
      <c r="AI5" s="89"/>
      <c r="AJ5" s="5" t="s">
        <v>3</v>
      </c>
      <c r="AK5" s="3" t="s">
        <v>4</v>
      </c>
      <c r="AL5" s="3" t="s">
        <v>5</v>
      </c>
      <c r="AM5" s="3" t="s">
        <v>6</v>
      </c>
      <c r="AN5" s="13" t="s">
        <v>7</v>
      </c>
      <c r="AO5" s="4" t="s">
        <v>8</v>
      </c>
      <c r="AP5" s="16" t="s">
        <v>9</v>
      </c>
      <c r="AQ5" s="89"/>
      <c r="AR5" s="5" t="s">
        <v>3</v>
      </c>
      <c r="AS5" s="3" t="s">
        <v>4</v>
      </c>
      <c r="AT5" s="3" t="s">
        <v>5</v>
      </c>
      <c r="AU5" s="3" t="s">
        <v>6</v>
      </c>
      <c r="AV5" s="13" t="s">
        <v>7</v>
      </c>
      <c r="AW5" s="4" t="s">
        <v>8</v>
      </c>
      <c r="AX5" s="16" t="s">
        <v>9</v>
      </c>
      <c r="AY5" s="89"/>
      <c r="AZ5" s="5" t="s">
        <v>3</v>
      </c>
      <c r="BA5" s="3" t="s">
        <v>4</v>
      </c>
      <c r="BB5" s="3" t="s">
        <v>5</v>
      </c>
      <c r="BC5" s="3" t="s">
        <v>6</v>
      </c>
      <c r="BD5" s="13" t="s">
        <v>7</v>
      </c>
      <c r="BE5" s="4" t="s">
        <v>8</v>
      </c>
      <c r="BF5" s="16" t="s">
        <v>9</v>
      </c>
      <c r="BG5" s="89"/>
      <c r="BH5" s="5" t="s">
        <v>3</v>
      </c>
      <c r="BI5" s="3" t="s">
        <v>4</v>
      </c>
      <c r="BJ5" s="3" t="s">
        <v>5</v>
      </c>
      <c r="BK5" s="3" t="s">
        <v>10</v>
      </c>
      <c r="BL5" s="13" t="s">
        <v>7</v>
      </c>
      <c r="BM5" s="4" t="s">
        <v>8</v>
      </c>
      <c r="BN5" s="16" t="s">
        <v>9</v>
      </c>
      <c r="BO5" s="185" t="s">
        <v>6</v>
      </c>
      <c r="BP5" s="89"/>
      <c r="BQ5" s="5" t="s">
        <v>3</v>
      </c>
      <c r="BR5" s="3" t="s">
        <v>4</v>
      </c>
      <c r="BS5" s="3" t="s">
        <v>5</v>
      </c>
      <c r="BT5" s="3" t="s">
        <v>6</v>
      </c>
      <c r="BU5" s="13" t="s">
        <v>7</v>
      </c>
      <c r="BV5" s="4" t="s">
        <v>8</v>
      </c>
      <c r="BW5" s="16" t="s">
        <v>9</v>
      </c>
      <c r="BX5" s="185" t="s">
        <v>6</v>
      </c>
      <c r="BY5" s="89"/>
      <c r="BZ5" s="61" t="s">
        <v>3</v>
      </c>
      <c r="CA5" s="43" t="s">
        <v>4</v>
      </c>
      <c r="CB5" s="43" t="s">
        <v>5</v>
      </c>
      <c r="CC5" s="43" t="s">
        <v>6</v>
      </c>
      <c r="CD5" s="15" t="s">
        <v>7</v>
      </c>
      <c r="CE5" s="44" t="s">
        <v>8</v>
      </c>
      <c r="CF5" s="62" t="s">
        <v>9</v>
      </c>
      <c r="CG5" s="185" t="s">
        <v>6</v>
      </c>
      <c r="CH5" s="89"/>
      <c r="CI5" s="5" t="s">
        <v>3</v>
      </c>
      <c r="CJ5" s="3" t="s">
        <v>4</v>
      </c>
      <c r="CK5" s="3" t="s">
        <v>5</v>
      </c>
      <c r="CL5" s="3" t="s">
        <v>6</v>
      </c>
      <c r="CM5" s="13" t="s">
        <v>7</v>
      </c>
      <c r="CN5" s="4" t="s">
        <v>8</v>
      </c>
      <c r="CO5" s="16" t="s">
        <v>9</v>
      </c>
      <c r="CP5" s="89"/>
      <c r="CQ5" s="5" t="s">
        <v>3</v>
      </c>
      <c r="CR5" s="3" t="s">
        <v>4</v>
      </c>
      <c r="CS5" s="3" t="s">
        <v>5</v>
      </c>
      <c r="CT5" s="3" t="s">
        <v>6</v>
      </c>
      <c r="CU5" s="13" t="s">
        <v>7</v>
      </c>
      <c r="CV5" s="4" t="s">
        <v>8</v>
      </c>
      <c r="CW5" s="16" t="s">
        <v>9</v>
      </c>
      <c r="CX5" s="89"/>
      <c r="CY5" s="5" t="s">
        <v>3</v>
      </c>
      <c r="CZ5" s="3" t="s">
        <v>4</v>
      </c>
      <c r="DA5" s="3" t="s">
        <v>5</v>
      </c>
      <c r="DB5" s="3" t="s">
        <v>6</v>
      </c>
      <c r="DC5" s="13" t="s">
        <v>7</v>
      </c>
      <c r="DD5" s="4" t="s">
        <v>8</v>
      </c>
      <c r="DE5" s="16" t="s">
        <v>9</v>
      </c>
      <c r="DF5" s="1"/>
      <c r="DG5" s="287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</row>
    <row r="6" spans="1:135" s="7" customFormat="1" ht="13" customHeight="1">
      <c r="A6" s="329" t="s">
        <v>11</v>
      </c>
      <c r="B6" s="48" t="s">
        <v>12</v>
      </c>
      <c r="C6" s="45">
        <f t="shared" ref="C6:C13" si="0">SUM(L6,T6,AB6,AJ6,AR6,AZ6,BH6,BQ6,BZ6,CI6,CQ6,CY6)</f>
        <v>0</v>
      </c>
      <c r="D6" s="45">
        <f t="shared" ref="D6:D16" si="1">SUM(M6,U6,AC6,AK6,AS6,BA6,BI6,BR6,CA6,CJ6,CR6,CZ6)</f>
        <v>0</v>
      </c>
      <c r="E6" s="45">
        <f t="shared" ref="E6:E16" si="2">SUM(N6,V6,AD6,AL6,AT6,BB6,BJ6,BS6,CB6,CK6,CS6,DA6)</f>
        <v>0</v>
      </c>
      <c r="F6" s="45">
        <f t="shared" ref="F6:F16" si="3">SUM(O6,W6,AE6,AM6,AU6,BC6,BK6,BT6,CC6,CL6,CT6,DB6)</f>
        <v>0</v>
      </c>
      <c r="G6" s="14" t="e">
        <f t="shared" ref="G6:G16" si="4">D6/C6</f>
        <v>#DIV/0!</v>
      </c>
      <c r="H6" s="198">
        <f>SUM(Q6,Y6,AG6,AO6,AW6,BE6,BM6,BV6,CE6,CN6,CV6,DD6)</f>
        <v>0</v>
      </c>
      <c r="I6" s="14" t="e">
        <f t="shared" ref="I6:I15" si="5">H6/C6</f>
        <v>#DIV/0!</v>
      </c>
      <c r="J6" s="190">
        <f>F6*$A$18</f>
        <v>0</v>
      </c>
      <c r="K6" s="90"/>
      <c r="L6" s="51">
        <v>0</v>
      </c>
      <c r="M6" s="45">
        <v>0</v>
      </c>
      <c r="N6" s="45">
        <v>0</v>
      </c>
      <c r="O6" s="45">
        <v>0</v>
      </c>
      <c r="P6" s="52" t="e">
        <f>M6/L6</f>
        <v>#DIV/0!</v>
      </c>
      <c r="Q6" s="45">
        <v>0</v>
      </c>
      <c r="R6" s="53" t="e">
        <f>Q6/L6</f>
        <v>#DIV/0!</v>
      </c>
      <c r="S6" s="90"/>
      <c r="T6" s="130">
        <v>0</v>
      </c>
      <c r="U6" s="131">
        <v>0</v>
      </c>
      <c r="V6" s="131">
        <v>0</v>
      </c>
      <c r="W6" s="131">
        <v>0</v>
      </c>
      <c r="X6" s="66" t="e">
        <f>(T6-V6)/T6</f>
        <v>#DIV/0!</v>
      </c>
      <c r="Y6" s="131">
        <v>0</v>
      </c>
      <c r="Z6" s="67" t="e">
        <f t="shared" ref="Z6:Z30" si="6">Y6/T6</f>
        <v>#DIV/0!</v>
      </c>
      <c r="AA6" s="90"/>
      <c r="AB6" s="51">
        <v>0</v>
      </c>
      <c r="AC6" s="45">
        <v>0</v>
      </c>
      <c r="AD6" s="45">
        <v>0</v>
      </c>
      <c r="AE6" s="45">
        <v>0</v>
      </c>
      <c r="AF6" s="52" t="e">
        <f>(AB6-AD6)/AB6</f>
        <v>#DIV/0!</v>
      </c>
      <c r="AG6" s="132">
        <v>0</v>
      </c>
      <c r="AH6" s="53" t="e">
        <f>AG6/AB6</f>
        <v>#DIV/0!</v>
      </c>
      <c r="AI6" s="90"/>
      <c r="AJ6" s="130">
        <v>0</v>
      </c>
      <c r="AK6" s="131">
        <v>0</v>
      </c>
      <c r="AL6" s="131">
        <v>0</v>
      </c>
      <c r="AM6" s="131">
        <v>0</v>
      </c>
      <c r="AN6" s="66" t="e">
        <f>(AJ6-AL6)/AJ6</f>
        <v>#DIV/0!</v>
      </c>
      <c r="AO6" s="131">
        <v>0</v>
      </c>
      <c r="AP6" s="67" t="e">
        <f t="shared" ref="AP6:AP17" si="7">AO6/AJ6</f>
        <v>#DIV/0!</v>
      </c>
      <c r="AQ6" s="90"/>
      <c r="AR6" s="130">
        <v>0</v>
      </c>
      <c r="AS6" s="131">
        <v>0</v>
      </c>
      <c r="AT6" s="131">
        <v>0</v>
      </c>
      <c r="AU6" s="131">
        <v>0</v>
      </c>
      <c r="AV6" s="66" t="e">
        <f t="shared" ref="AV6:AV16" si="8">(AR6-AT6)/AR6</f>
        <v>#DIV/0!</v>
      </c>
      <c r="AW6" s="131">
        <v>0</v>
      </c>
      <c r="AX6" s="67" t="e">
        <f t="shared" ref="AX6:AX30" si="9">AW6/AR6</f>
        <v>#DIV/0!</v>
      </c>
      <c r="AY6" s="90"/>
      <c r="AZ6" s="130">
        <v>0</v>
      </c>
      <c r="BA6" s="131">
        <v>0</v>
      </c>
      <c r="BB6" s="131">
        <v>0</v>
      </c>
      <c r="BC6" s="131">
        <v>0</v>
      </c>
      <c r="BD6" s="66" t="e">
        <f t="shared" ref="BD6:BD29" si="10">(AZ6-BB6)/AZ6</f>
        <v>#DIV/0!</v>
      </c>
      <c r="BE6" s="131">
        <v>0</v>
      </c>
      <c r="BF6" s="67" t="e">
        <f t="shared" ref="BF6:BF29" si="11">BE6/AZ6</f>
        <v>#DIV/0!</v>
      </c>
      <c r="BG6" s="90"/>
      <c r="BH6" s="130">
        <v>0</v>
      </c>
      <c r="BI6" s="131">
        <v>0</v>
      </c>
      <c r="BJ6" s="131">
        <v>0</v>
      </c>
      <c r="BK6" s="131">
        <v>0</v>
      </c>
      <c r="BL6" s="66"/>
      <c r="BM6" s="131">
        <v>0</v>
      </c>
      <c r="BN6" s="67" t="e">
        <f t="shared" ref="BN6:BN17" si="12">BM6/BH6</f>
        <v>#DIV/0!</v>
      </c>
      <c r="BO6" s="190">
        <f>BK6*$A$18</f>
        <v>0</v>
      </c>
      <c r="BP6" s="90"/>
      <c r="BQ6" s="130"/>
      <c r="BR6" s="131"/>
      <c r="BS6" s="131"/>
      <c r="BT6" s="131"/>
      <c r="BU6" s="66" t="e">
        <f t="shared" ref="BU6:BU16" si="13">(BQ6-BS6)/BQ6</f>
        <v>#DIV/0!</v>
      </c>
      <c r="BV6" s="131"/>
      <c r="BW6" s="67" t="e">
        <f t="shared" ref="BW6:BW30" si="14">BV6/BQ6</f>
        <v>#DIV/0!</v>
      </c>
      <c r="BX6" s="294">
        <f>BT6*$A$18</f>
        <v>0</v>
      </c>
      <c r="BY6" s="90"/>
      <c r="BZ6" s="130"/>
      <c r="CA6" s="131"/>
      <c r="CB6" s="131"/>
      <c r="CC6" s="131"/>
      <c r="CD6" s="66" t="e">
        <f t="shared" ref="CD6:CD16" si="15">(BZ6-CB6)/BZ6</f>
        <v>#DIV/0!</v>
      </c>
      <c r="CE6" s="131"/>
      <c r="CF6" s="67" t="e">
        <f t="shared" ref="CF6:CF30" si="16">CE6/BZ6</f>
        <v>#DIV/0!</v>
      </c>
      <c r="CG6" s="294">
        <f>CC6*$A$18</f>
        <v>0</v>
      </c>
      <c r="CH6" s="90"/>
      <c r="CI6" s="133"/>
      <c r="CJ6" s="134"/>
      <c r="CK6" s="134"/>
      <c r="CL6" s="134"/>
      <c r="CM6" s="121" t="e">
        <f t="shared" ref="CM6:CM16" si="17">(CI6-CK6)/CI6</f>
        <v>#DIV/0!</v>
      </c>
      <c r="CN6" s="134"/>
      <c r="CO6" s="122" t="e">
        <f t="shared" ref="CO6:CO30" si="18">CN6/CI6</f>
        <v>#DIV/0!</v>
      </c>
      <c r="CP6" s="90"/>
      <c r="CQ6" s="133"/>
      <c r="CR6" s="134"/>
      <c r="CS6" s="134"/>
      <c r="CT6" s="134"/>
      <c r="CU6" s="121" t="e">
        <f t="shared" ref="CU6:CU16" si="19">(CQ6-CS6)/CQ6</f>
        <v>#DIV/0!</v>
      </c>
      <c r="CV6" s="134"/>
      <c r="CW6" s="122" t="e">
        <f t="shared" ref="CW6:CW29" si="20">CV6/CQ6</f>
        <v>#DIV/0!</v>
      </c>
      <c r="CX6" s="90"/>
      <c r="CY6" s="133"/>
      <c r="CZ6" s="134"/>
      <c r="DA6" s="134"/>
      <c r="DB6" s="134"/>
      <c r="DC6" s="121" t="e">
        <f t="shared" ref="DC6:DC16" si="21">(CY6-DA6)/CY6</f>
        <v>#DIV/0!</v>
      </c>
      <c r="DD6" s="134"/>
      <c r="DE6" s="122" t="e">
        <f t="shared" ref="DE6:DE30" si="22">DD6/CY6</f>
        <v>#DIV/0!</v>
      </c>
      <c r="DF6" s="6"/>
      <c r="DG6" s="289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</row>
    <row r="7" spans="1:135" s="7" customFormat="1" ht="13" customHeight="1">
      <c r="A7" s="329"/>
      <c r="B7" s="49" t="s">
        <v>13</v>
      </c>
      <c r="C7" s="45">
        <f t="shared" si="0"/>
        <v>511100</v>
      </c>
      <c r="D7" s="45">
        <f t="shared" si="1"/>
        <v>0</v>
      </c>
      <c r="E7" s="45">
        <f t="shared" si="2"/>
        <v>511100</v>
      </c>
      <c r="F7" s="45">
        <f t="shared" si="3"/>
        <v>511100</v>
      </c>
      <c r="G7" s="14">
        <f t="shared" si="4"/>
        <v>0</v>
      </c>
      <c r="H7" s="198">
        <f t="shared" ref="H7:H16" si="23">SUM(Q7,Y7,AG7,AO7,AW7,BE7,BM7,BV7,CE7,CN7,CV7,DD7)</f>
        <v>0</v>
      </c>
      <c r="I7" s="14">
        <f t="shared" si="5"/>
        <v>0</v>
      </c>
      <c r="J7" s="190">
        <f>F7*$A$18</f>
        <v>674652</v>
      </c>
      <c r="K7" s="90"/>
      <c r="L7" s="51">
        <v>25000</v>
      </c>
      <c r="M7" s="45">
        <v>0</v>
      </c>
      <c r="N7" s="45">
        <v>25000</v>
      </c>
      <c r="O7" s="45">
        <v>25000</v>
      </c>
      <c r="P7" s="52">
        <f t="shared" ref="P7:P16" si="24">M7/L7</f>
        <v>0</v>
      </c>
      <c r="Q7" s="45">
        <v>0</v>
      </c>
      <c r="R7" s="53">
        <f>Q7/L7</f>
        <v>0</v>
      </c>
      <c r="S7" s="90"/>
      <c r="T7" s="130">
        <v>25000</v>
      </c>
      <c r="U7" s="131">
        <v>0</v>
      </c>
      <c r="V7" s="131">
        <v>25000</v>
      </c>
      <c r="W7" s="131">
        <v>25000</v>
      </c>
      <c r="X7" s="66">
        <f t="shared" ref="X7:X16" si="25">(T7-V7)/T7</f>
        <v>0</v>
      </c>
      <c r="Y7" s="131">
        <v>0</v>
      </c>
      <c r="Z7" s="67">
        <f t="shared" si="6"/>
        <v>0</v>
      </c>
      <c r="AA7" s="90"/>
      <c r="AB7" s="51">
        <v>25000</v>
      </c>
      <c r="AC7" s="45">
        <v>0</v>
      </c>
      <c r="AD7" s="45">
        <v>25000</v>
      </c>
      <c r="AE7" s="45">
        <v>25000</v>
      </c>
      <c r="AF7" s="52">
        <f>(AB7-AD7)/AB7</f>
        <v>0</v>
      </c>
      <c r="AG7" s="131">
        <v>0</v>
      </c>
      <c r="AH7" s="53">
        <f>AG7/AB7</f>
        <v>0</v>
      </c>
      <c r="AI7" s="90"/>
      <c r="AJ7" s="130">
        <v>25000</v>
      </c>
      <c r="AK7" s="131">
        <v>0</v>
      </c>
      <c r="AL7" s="131">
        <v>25000</v>
      </c>
      <c r="AM7" s="131">
        <v>25000</v>
      </c>
      <c r="AN7" s="66">
        <f t="shared" ref="AN7:AN16" si="26">(AJ7-AL7)/AJ7</f>
        <v>0</v>
      </c>
      <c r="AO7" s="131">
        <v>0</v>
      </c>
      <c r="AP7" s="67">
        <f t="shared" si="7"/>
        <v>0</v>
      </c>
      <c r="AQ7" s="90"/>
      <c r="AR7" s="130">
        <v>75000</v>
      </c>
      <c r="AS7" s="131">
        <v>0</v>
      </c>
      <c r="AT7" s="131">
        <v>75000</v>
      </c>
      <c r="AU7" s="131">
        <v>75000</v>
      </c>
      <c r="AV7" s="66">
        <f t="shared" si="8"/>
        <v>0</v>
      </c>
      <c r="AW7" s="131">
        <v>0</v>
      </c>
      <c r="AX7" s="67">
        <f t="shared" si="9"/>
        <v>0</v>
      </c>
      <c r="AY7" s="90"/>
      <c r="AZ7" s="130">
        <v>110000</v>
      </c>
      <c r="BA7" s="131">
        <v>0</v>
      </c>
      <c r="BB7" s="131">
        <v>110000</v>
      </c>
      <c r="BC7" s="131">
        <v>110000</v>
      </c>
      <c r="BD7" s="66">
        <f t="shared" si="10"/>
        <v>0</v>
      </c>
      <c r="BE7" s="131">
        <v>0</v>
      </c>
      <c r="BF7" s="67">
        <f t="shared" si="11"/>
        <v>0</v>
      </c>
      <c r="BG7" s="90"/>
      <c r="BH7" s="130">
        <v>96300</v>
      </c>
      <c r="BI7" s="131">
        <v>0</v>
      </c>
      <c r="BJ7" s="131">
        <v>96300</v>
      </c>
      <c r="BK7" s="131">
        <v>96300</v>
      </c>
      <c r="BL7" s="66"/>
      <c r="BM7" s="131">
        <v>0</v>
      </c>
      <c r="BN7" s="67">
        <f t="shared" si="12"/>
        <v>0</v>
      </c>
      <c r="BO7" s="190">
        <f>BK7*$A$18</f>
        <v>127116</v>
      </c>
      <c r="BP7" s="90"/>
      <c r="BQ7" s="130">
        <v>129800</v>
      </c>
      <c r="BR7" s="131">
        <v>0</v>
      </c>
      <c r="BS7" s="131">
        <v>129800</v>
      </c>
      <c r="BT7" s="131">
        <v>129800</v>
      </c>
      <c r="BU7" s="66">
        <f t="shared" si="13"/>
        <v>0</v>
      </c>
      <c r="BV7" s="131">
        <v>0</v>
      </c>
      <c r="BW7" s="67">
        <f t="shared" si="14"/>
        <v>0</v>
      </c>
      <c r="BX7" s="294">
        <f>BT7*$A$18</f>
        <v>171336</v>
      </c>
      <c r="BY7" s="90"/>
      <c r="BZ7" s="130"/>
      <c r="CA7" s="131"/>
      <c r="CB7" s="131"/>
      <c r="CC7" s="131"/>
      <c r="CD7" s="66" t="e">
        <f t="shared" si="15"/>
        <v>#DIV/0!</v>
      </c>
      <c r="CE7" s="131"/>
      <c r="CF7" s="67" t="e">
        <f t="shared" si="16"/>
        <v>#DIV/0!</v>
      </c>
      <c r="CG7" s="294">
        <f>CC7*$A$18</f>
        <v>0</v>
      </c>
      <c r="CH7" s="90"/>
      <c r="CI7" s="133"/>
      <c r="CJ7" s="134"/>
      <c r="CK7" s="134"/>
      <c r="CL7" s="134"/>
      <c r="CM7" s="121" t="e">
        <f t="shared" si="17"/>
        <v>#DIV/0!</v>
      </c>
      <c r="CN7" s="134"/>
      <c r="CO7" s="122" t="e">
        <f t="shared" si="18"/>
        <v>#DIV/0!</v>
      </c>
      <c r="CP7" s="90"/>
      <c r="CQ7" s="133"/>
      <c r="CR7" s="134"/>
      <c r="CS7" s="134"/>
      <c r="CT7" s="134"/>
      <c r="CU7" s="121" t="e">
        <f t="shared" si="19"/>
        <v>#DIV/0!</v>
      </c>
      <c r="CV7" s="134"/>
      <c r="CW7" s="122" t="e">
        <f t="shared" si="20"/>
        <v>#DIV/0!</v>
      </c>
      <c r="CX7" s="90"/>
      <c r="CY7" s="133"/>
      <c r="CZ7" s="134"/>
      <c r="DA7" s="134"/>
      <c r="DB7" s="134"/>
      <c r="DC7" s="121" t="e">
        <f t="shared" si="21"/>
        <v>#DIV/0!</v>
      </c>
      <c r="DD7" s="134"/>
      <c r="DE7" s="122" t="e">
        <f t="shared" si="22"/>
        <v>#DIV/0!</v>
      </c>
      <c r="DF7" s="6"/>
      <c r="DG7" s="289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</row>
    <row r="8" spans="1:135" s="7" customFormat="1" ht="13" customHeight="1">
      <c r="A8" s="329"/>
      <c r="B8" s="49" t="s">
        <v>62</v>
      </c>
      <c r="C8" s="45"/>
      <c r="D8" s="45"/>
      <c r="E8" s="45"/>
      <c r="F8" s="45"/>
      <c r="G8" s="14"/>
      <c r="H8" s="198"/>
      <c r="I8" s="14"/>
      <c r="J8" s="190"/>
      <c r="K8" s="90"/>
      <c r="L8" s="51"/>
      <c r="M8" s="45"/>
      <c r="N8" s="45"/>
      <c r="O8" s="45"/>
      <c r="P8" s="52"/>
      <c r="Q8" s="45"/>
      <c r="R8" s="53"/>
      <c r="S8" s="90"/>
      <c r="T8" s="130"/>
      <c r="U8" s="131"/>
      <c r="V8" s="131"/>
      <c r="W8" s="131"/>
      <c r="X8" s="66"/>
      <c r="Y8" s="131"/>
      <c r="Z8" s="67"/>
      <c r="AA8" s="90"/>
      <c r="AB8" s="51"/>
      <c r="AC8" s="45"/>
      <c r="AD8" s="45"/>
      <c r="AE8" s="45"/>
      <c r="AF8" s="52"/>
      <c r="AG8" s="131"/>
      <c r="AH8" s="53"/>
      <c r="AI8" s="90"/>
      <c r="AJ8" s="130"/>
      <c r="AK8" s="131"/>
      <c r="AL8" s="131"/>
      <c r="AM8" s="131"/>
      <c r="AN8" s="66"/>
      <c r="AO8" s="131"/>
      <c r="AP8" s="67"/>
      <c r="AQ8" s="90"/>
      <c r="AR8" s="130"/>
      <c r="AS8" s="131"/>
      <c r="AT8" s="131"/>
      <c r="AU8" s="131"/>
      <c r="AV8" s="66"/>
      <c r="AW8" s="131"/>
      <c r="AX8" s="67"/>
      <c r="AY8" s="90"/>
      <c r="AZ8" s="130"/>
      <c r="BA8" s="131"/>
      <c r="BB8" s="131"/>
      <c r="BC8" s="131"/>
      <c r="BD8" s="66"/>
      <c r="BE8" s="131"/>
      <c r="BF8" s="67"/>
      <c r="BG8" s="90"/>
      <c r="BH8" s="130"/>
      <c r="BI8" s="131"/>
      <c r="BJ8" s="131"/>
      <c r="BK8" s="131"/>
      <c r="BL8" s="66"/>
      <c r="BM8" s="131"/>
      <c r="BN8" s="67"/>
      <c r="BO8" s="190"/>
      <c r="BP8" s="90"/>
      <c r="BQ8" s="130"/>
      <c r="BR8" s="131"/>
      <c r="BS8" s="131"/>
      <c r="BT8" s="131"/>
      <c r="BU8" s="66"/>
      <c r="BV8" s="131"/>
      <c r="BW8" s="67"/>
      <c r="BX8" s="294"/>
      <c r="BY8" s="90"/>
      <c r="BZ8" s="130"/>
      <c r="CA8" s="131"/>
      <c r="CB8" s="131"/>
      <c r="CC8" s="131"/>
      <c r="CD8" s="66"/>
      <c r="CE8" s="131"/>
      <c r="CF8" s="67"/>
      <c r="CG8" s="294"/>
      <c r="CH8" s="90"/>
      <c r="CI8" s="133"/>
      <c r="CJ8" s="134"/>
      <c r="CK8" s="134"/>
      <c r="CL8" s="134"/>
      <c r="CM8" s="121"/>
      <c r="CN8" s="134"/>
      <c r="CO8" s="122"/>
      <c r="CP8" s="90"/>
      <c r="CQ8" s="133"/>
      <c r="CR8" s="134"/>
      <c r="CS8" s="134"/>
      <c r="CT8" s="134"/>
      <c r="CU8" s="121"/>
      <c r="CV8" s="134"/>
      <c r="CW8" s="122"/>
      <c r="CX8" s="90"/>
      <c r="CY8" s="133"/>
      <c r="CZ8" s="134"/>
      <c r="DA8" s="134"/>
      <c r="DB8" s="134"/>
      <c r="DC8" s="121"/>
      <c r="DD8" s="134"/>
      <c r="DE8" s="122"/>
      <c r="DF8" s="6"/>
      <c r="DG8" s="289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</row>
    <row r="9" spans="1:135" s="7" customFormat="1" ht="13" customHeight="1">
      <c r="A9" s="329"/>
      <c r="B9" s="49" t="s">
        <v>40</v>
      </c>
      <c r="C9" s="45">
        <f t="shared" si="0"/>
        <v>0</v>
      </c>
      <c r="D9" s="45">
        <f t="shared" si="1"/>
        <v>0</v>
      </c>
      <c r="E9" s="45">
        <f t="shared" si="2"/>
        <v>0</v>
      </c>
      <c r="F9" s="45">
        <f t="shared" si="3"/>
        <v>0</v>
      </c>
      <c r="G9" s="14"/>
      <c r="H9" s="198">
        <f t="shared" si="23"/>
        <v>0</v>
      </c>
      <c r="I9" s="14" t="e">
        <f t="shared" si="5"/>
        <v>#DIV/0!</v>
      </c>
      <c r="J9" s="190">
        <f t="shared" ref="J9:J16" si="27">F9*$A$18</f>
        <v>0</v>
      </c>
      <c r="K9" s="90"/>
      <c r="L9" s="51"/>
      <c r="M9" s="45"/>
      <c r="N9" s="45"/>
      <c r="O9" s="45"/>
      <c r="P9" s="52"/>
      <c r="Q9" s="45"/>
      <c r="R9" s="53"/>
      <c r="S9" s="90"/>
      <c r="T9" s="130"/>
      <c r="U9" s="131"/>
      <c r="V9" s="131"/>
      <c r="W9" s="131"/>
      <c r="X9" s="66"/>
      <c r="Y9" s="131"/>
      <c r="Z9" s="67"/>
      <c r="AA9" s="90"/>
      <c r="AB9" s="51"/>
      <c r="AC9" s="45"/>
      <c r="AD9" s="45"/>
      <c r="AE9" s="45"/>
      <c r="AF9" s="52"/>
      <c r="AG9" s="131"/>
      <c r="AH9" s="53"/>
      <c r="AI9" s="90"/>
      <c r="AJ9" s="130"/>
      <c r="AK9" s="131"/>
      <c r="AL9" s="131"/>
      <c r="AM9" s="131"/>
      <c r="AN9" s="66"/>
      <c r="AO9" s="131"/>
      <c r="AP9" s="67"/>
      <c r="AQ9" s="90"/>
      <c r="AR9" s="130"/>
      <c r="AS9" s="131"/>
      <c r="AT9" s="131"/>
      <c r="AU9" s="131"/>
      <c r="AV9" s="66"/>
      <c r="AW9" s="131"/>
      <c r="AX9" s="67"/>
      <c r="AY9" s="90"/>
      <c r="AZ9" s="130"/>
      <c r="BA9" s="131"/>
      <c r="BB9" s="131"/>
      <c r="BC9" s="131"/>
      <c r="BD9" s="66"/>
      <c r="BE9" s="131"/>
      <c r="BF9" s="67"/>
      <c r="BG9" s="90"/>
      <c r="BH9" s="130"/>
      <c r="BI9" s="131"/>
      <c r="BJ9" s="131"/>
      <c r="BK9" s="131"/>
      <c r="BL9" s="66"/>
      <c r="BM9" s="131"/>
      <c r="BN9" s="67"/>
      <c r="BO9" s="190">
        <f t="shared" ref="BO9:BO16" si="28">BK9*$A$18</f>
        <v>0</v>
      </c>
      <c r="BP9" s="90"/>
      <c r="BQ9" s="130"/>
      <c r="BR9" s="131"/>
      <c r="BS9" s="131"/>
      <c r="BT9" s="131"/>
      <c r="BU9" s="66"/>
      <c r="BV9" s="131"/>
      <c r="BW9" s="67"/>
      <c r="BX9" s="294">
        <f t="shared" ref="BX9:BX16" si="29">BT9*$A$18</f>
        <v>0</v>
      </c>
      <c r="BY9" s="90"/>
      <c r="BZ9" s="130"/>
      <c r="CA9" s="131"/>
      <c r="CB9" s="131"/>
      <c r="CC9" s="131"/>
      <c r="CD9" s="66"/>
      <c r="CE9" s="131"/>
      <c r="CF9" s="67"/>
      <c r="CG9" s="294">
        <f t="shared" ref="CG9:CG16" si="30">CC9*$A$18</f>
        <v>0</v>
      </c>
      <c r="CH9" s="90"/>
      <c r="CI9" s="133"/>
      <c r="CJ9" s="134"/>
      <c r="CK9" s="134"/>
      <c r="CL9" s="134"/>
      <c r="CM9" s="121"/>
      <c r="CN9" s="134"/>
      <c r="CO9" s="122"/>
      <c r="CP9" s="90"/>
      <c r="CQ9" s="133"/>
      <c r="CR9" s="134"/>
      <c r="CS9" s="134"/>
      <c r="CT9" s="134"/>
      <c r="CU9" s="121"/>
      <c r="CV9" s="134"/>
      <c r="CW9" s="122"/>
      <c r="CX9" s="90"/>
      <c r="CY9" s="133"/>
      <c r="CZ9" s="134"/>
      <c r="DA9" s="134"/>
      <c r="DB9" s="134"/>
      <c r="DC9" s="121"/>
      <c r="DD9" s="134"/>
      <c r="DE9" s="122"/>
      <c r="DF9" s="6"/>
      <c r="DG9" s="289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</row>
    <row r="10" spans="1:135" s="7" customFormat="1" ht="13" customHeight="1">
      <c r="A10" s="329"/>
      <c r="B10" s="49" t="s">
        <v>41</v>
      </c>
      <c r="C10" s="45">
        <f t="shared" si="0"/>
        <v>0</v>
      </c>
      <c r="D10" s="45">
        <f t="shared" si="1"/>
        <v>0</v>
      </c>
      <c r="E10" s="45">
        <f t="shared" si="2"/>
        <v>0</v>
      </c>
      <c r="F10" s="45">
        <f t="shared" si="3"/>
        <v>0</v>
      </c>
      <c r="G10" s="14"/>
      <c r="H10" s="198">
        <f t="shared" si="23"/>
        <v>0</v>
      </c>
      <c r="I10" s="14" t="e">
        <f t="shared" si="5"/>
        <v>#DIV/0!</v>
      </c>
      <c r="J10" s="190">
        <f t="shared" si="27"/>
        <v>0</v>
      </c>
      <c r="K10" s="90"/>
      <c r="L10" s="51"/>
      <c r="M10" s="45"/>
      <c r="N10" s="45"/>
      <c r="O10" s="45"/>
      <c r="P10" s="52"/>
      <c r="Q10" s="45"/>
      <c r="R10" s="53"/>
      <c r="S10" s="90"/>
      <c r="T10" s="130"/>
      <c r="U10" s="131"/>
      <c r="V10" s="131"/>
      <c r="W10" s="131"/>
      <c r="X10" s="66"/>
      <c r="Y10" s="131"/>
      <c r="Z10" s="67"/>
      <c r="AA10" s="90"/>
      <c r="AB10" s="51"/>
      <c r="AC10" s="45"/>
      <c r="AD10" s="45"/>
      <c r="AE10" s="45"/>
      <c r="AF10" s="52"/>
      <c r="AG10" s="131"/>
      <c r="AH10" s="53"/>
      <c r="AI10" s="90"/>
      <c r="AJ10" s="130"/>
      <c r="AK10" s="131"/>
      <c r="AL10" s="131"/>
      <c r="AM10" s="131"/>
      <c r="AN10" s="66"/>
      <c r="AO10" s="131"/>
      <c r="AP10" s="67"/>
      <c r="AQ10" s="90"/>
      <c r="AR10" s="130"/>
      <c r="AS10" s="131"/>
      <c r="AT10" s="131"/>
      <c r="AU10" s="131"/>
      <c r="AV10" s="66"/>
      <c r="AW10" s="131"/>
      <c r="AX10" s="67"/>
      <c r="AY10" s="90"/>
      <c r="AZ10" s="130"/>
      <c r="BA10" s="131"/>
      <c r="BB10" s="131"/>
      <c r="BC10" s="131"/>
      <c r="BD10" s="66"/>
      <c r="BE10" s="131"/>
      <c r="BF10" s="67"/>
      <c r="BG10" s="90"/>
      <c r="BH10" s="130"/>
      <c r="BI10" s="131"/>
      <c r="BJ10" s="131"/>
      <c r="BK10" s="131"/>
      <c r="BL10" s="66"/>
      <c r="BM10" s="131"/>
      <c r="BN10" s="67"/>
      <c r="BO10" s="190">
        <f t="shared" si="28"/>
        <v>0</v>
      </c>
      <c r="BP10" s="90"/>
      <c r="BQ10" s="130"/>
      <c r="BR10" s="131"/>
      <c r="BS10" s="131"/>
      <c r="BT10" s="131"/>
      <c r="BU10" s="66"/>
      <c r="BV10" s="131"/>
      <c r="BW10" s="67"/>
      <c r="BX10" s="294">
        <f t="shared" si="29"/>
        <v>0</v>
      </c>
      <c r="BY10" s="90"/>
      <c r="BZ10" s="130"/>
      <c r="CA10" s="131"/>
      <c r="CB10" s="131"/>
      <c r="CC10" s="131"/>
      <c r="CD10" s="66"/>
      <c r="CE10" s="131"/>
      <c r="CF10" s="67"/>
      <c r="CG10" s="294">
        <f t="shared" si="30"/>
        <v>0</v>
      </c>
      <c r="CH10" s="90"/>
      <c r="CI10" s="133"/>
      <c r="CJ10" s="134"/>
      <c r="CK10" s="134"/>
      <c r="CL10" s="134"/>
      <c r="CM10" s="121"/>
      <c r="CN10" s="134"/>
      <c r="CO10" s="122"/>
      <c r="CP10" s="90"/>
      <c r="CQ10" s="133"/>
      <c r="CR10" s="134"/>
      <c r="CS10" s="134"/>
      <c r="CT10" s="134"/>
      <c r="CU10" s="121"/>
      <c r="CV10" s="134"/>
      <c r="CW10" s="122"/>
      <c r="CX10" s="90"/>
      <c r="CY10" s="133"/>
      <c r="CZ10" s="134"/>
      <c r="DA10" s="134"/>
      <c r="DB10" s="134"/>
      <c r="DC10" s="121"/>
      <c r="DD10" s="134"/>
      <c r="DE10" s="122"/>
      <c r="DF10" s="6"/>
      <c r="DG10" s="289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</row>
    <row r="11" spans="1:135" s="7" customFormat="1" ht="13" customHeight="1">
      <c r="A11" s="329"/>
      <c r="B11" s="49" t="s">
        <v>42</v>
      </c>
      <c r="C11" s="45">
        <f t="shared" si="0"/>
        <v>0</v>
      </c>
      <c r="D11" s="45">
        <f t="shared" si="1"/>
        <v>0</v>
      </c>
      <c r="E11" s="45">
        <f t="shared" si="2"/>
        <v>0</v>
      </c>
      <c r="F11" s="45">
        <f t="shared" si="3"/>
        <v>0</v>
      </c>
      <c r="G11" s="14"/>
      <c r="H11" s="198">
        <f t="shared" si="23"/>
        <v>0</v>
      </c>
      <c r="I11" s="14" t="e">
        <f t="shared" si="5"/>
        <v>#DIV/0!</v>
      </c>
      <c r="J11" s="190">
        <f t="shared" si="27"/>
        <v>0</v>
      </c>
      <c r="K11" s="90"/>
      <c r="L11" s="51"/>
      <c r="M11" s="45"/>
      <c r="N11" s="45"/>
      <c r="O11" s="45"/>
      <c r="P11" s="52"/>
      <c r="Q11" s="45"/>
      <c r="R11" s="53"/>
      <c r="S11" s="90"/>
      <c r="T11" s="130"/>
      <c r="U11" s="131"/>
      <c r="V11" s="131"/>
      <c r="W11" s="131"/>
      <c r="X11" s="66"/>
      <c r="Y11" s="131"/>
      <c r="Z11" s="67"/>
      <c r="AA11" s="90"/>
      <c r="AB11" s="51"/>
      <c r="AC11" s="45"/>
      <c r="AD11" s="45"/>
      <c r="AE11" s="45"/>
      <c r="AF11" s="52"/>
      <c r="AG11" s="131"/>
      <c r="AH11" s="53"/>
      <c r="AI11" s="90"/>
      <c r="AJ11" s="130"/>
      <c r="AK11" s="131"/>
      <c r="AL11" s="131"/>
      <c r="AM11" s="131"/>
      <c r="AN11" s="66"/>
      <c r="AO11" s="131"/>
      <c r="AP11" s="67"/>
      <c r="AQ11" s="90"/>
      <c r="AR11" s="130"/>
      <c r="AS11" s="131"/>
      <c r="AT11" s="131"/>
      <c r="AU11" s="131"/>
      <c r="AV11" s="66"/>
      <c r="AW11" s="131"/>
      <c r="AX11" s="67"/>
      <c r="AY11" s="90"/>
      <c r="AZ11" s="130"/>
      <c r="BA11" s="131"/>
      <c r="BB11" s="131"/>
      <c r="BC11" s="131"/>
      <c r="BD11" s="66"/>
      <c r="BE11" s="131"/>
      <c r="BF11" s="67"/>
      <c r="BG11" s="90"/>
      <c r="BH11" s="130"/>
      <c r="BI11" s="131"/>
      <c r="BJ11" s="131"/>
      <c r="BK11" s="131"/>
      <c r="BL11" s="66"/>
      <c r="BM11" s="131"/>
      <c r="BN11" s="67"/>
      <c r="BO11" s="190">
        <f t="shared" si="28"/>
        <v>0</v>
      </c>
      <c r="BP11" s="90"/>
      <c r="BQ11" s="130"/>
      <c r="BR11" s="131"/>
      <c r="BS11" s="131"/>
      <c r="BT11" s="131"/>
      <c r="BU11" s="66"/>
      <c r="BV11" s="131"/>
      <c r="BW11" s="67"/>
      <c r="BX11" s="294">
        <f t="shared" si="29"/>
        <v>0</v>
      </c>
      <c r="BY11" s="90"/>
      <c r="BZ11" s="130"/>
      <c r="CA11" s="131"/>
      <c r="CB11" s="131"/>
      <c r="CC11" s="131"/>
      <c r="CD11" s="66"/>
      <c r="CE11" s="131"/>
      <c r="CF11" s="67"/>
      <c r="CG11" s="294">
        <f t="shared" si="30"/>
        <v>0</v>
      </c>
      <c r="CH11" s="90"/>
      <c r="CI11" s="133"/>
      <c r="CJ11" s="134"/>
      <c r="CK11" s="134"/>
      <c r="CL11" s="134"/>
      <c r="CM11" s="121"/>
      <c r="CN11" s="134"/>
      <c r="CO11" s="122"/>
      <c r="CP11" s="90"/>
      <c r="CQ11" s="133"/>
      <c r="CR11" s="134"/>
      <c r="CS11" s="134"/>
      <c r="CT11" s="134"/>
      <c r="CU11" s="121"/>
      <c r="CV11" s="134"/>
      <c r="CW11" s="122"/>
      <c r="CX11" s="90"/>
      <c r="CY11" s="133"/>
      <c r="CZ11" s="134"/>
      <c r="DA11" s="134"/>
      <c r="DB11" s="134"/>
      <c r="DC11" s="121"/>
      <c r="DD11" s="134"/>
      <c r="DE11" s="122"/>
      <c r="DF11" s="6"/>
      <c r="DG11" s="289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</row>
    <row r="12" spans="1:135" s="7" customFormat="1" ht="13" customHeight="1">
      <c r="A12" s="329"/>
      <c r="B12" s="49" t="s">
        <v>43</v>
      </c>
      <c r="C12" s="45">
        <f t="shared" si="0"/>
        <v>0</v>
      </c>
      <c r="D12" s="45">
        <f t="shared" si="1"/>
        <v>0</v>
      </c>
      <c r="E12" s="45">
        <f t="shared" si="2"/>
        <v>0</v>
      </c>
      <c r="F12" s="45">
        <f t="shared" si="3"/>
        <v>0</v>
      </c>
      <c r="G12" s="14"/>
      <c r="H12" s="198">
        <f t="shared" si="23"/>
        <v>0</v>
      </c>
      <c r="I12" s="14" t="e">
        <f t="shared" si="5"/>
        <v>#DIV/0!</v>
      </c>
      <c r="J12" s="190">
        <f t="shared" si="27"/>
        <v>0</v>
      </c>
      <c r="K12" s="90"/>
      <c r="L12" s="51"/>
      <c r="M12" s="45"/>
      <c r="N12" s="45"/>
      <c r="O12" s="45"/>
      <c r="P12" s="52"/>
      <c r="Q12" s="45"/>
      <c r="R12" s="53"/>
      <c r="S12" s="90"/>
      <c r="T12" s="130"/>
      <c r="U12" s="131"/>
      <c r="V12" s="131"/>
      <c r="W12" s="131"/>
      <c r="X12" s="66"/>
      <c r="Y12" s="131"/>
      <c r="Z12" s="67"/>
      <c r="AA12" s="90"/>
      <c r="AB12" s="51"/>
      <c r="AC12" s="45"/>
      <c r="AD12" s="45"/>
      <c r="AE12" s="45"/>
      <c r="AF12" s="52"/>
      <c r="AG12" s="131"/>
      <c r="AH12" s="53"/>
      <c r="AI12" s="90"/>
      <c r="AJ12" s="130"/>
      <c r="AK12" s="131"/>
      <c r="AL12" s="131"/>
      <c r="AM12" s="131"/>
      <c r="AN12" s="66"/>
      <c r="AO12" s="131"/>
      <c r="AP12" s="67"/>
      <c r="AQ12" s="90"/>
      <c r="AR12" s="130"/>
      <c r="AS12" s="131"/>
      <c r="AT12" s="131"/>
      <c r="AU12" s="131"/>
      <c r="AV12" s="66"/>
      <c r="AW12" s="131"/>
      <c r="AX12" s="67"/>
      <c r="AY12" s="90"/>
      <c r="AZ12" s="130"/>
      <c r="BA12" s="131"/>
      <c r="BB12" s="131"/>
      <c r="BC12" s="131"/>
      <c r="BD12" s="66"/>
      <c r="BE12" s="131"/>
      <c r="BF12" s="67"/>
      <c r="BG12" s="90"/>
      <c r="BH12" s="130"/>
      <c r="BI12" s="131"/>
      <c r="BJ12" s="131"/>
      <c r="BK12" s="131"/>
      <c r="BL12" s="66"/>
      <c r="BM12" s="131"/>
      <c r="BN12" s="67"/>
      <c r="BO12" s="190">
        <f t="shared" si="28"/>
        <v>0</v>
      </c>
      <c r="BP12" s="90"/>
      <c r="BQ12" s="130"/>
      <c r="BR12" s="131"/>
      <c r="BS12" s="131"/>
      <c r="BT12" s="131"/>
      <c r="BU12" s="66"/>
      <c r="BV12" s="131"/>
      <c r="BW12" s="67"/>
      <c r="BX12" s="294">
        <f t="shared" si="29"/>
        <v>0</v>
      </c>
      <c r="BY12" s="90"/>
      <c r="BZ12" s="130"/>
      <c r="CA12" s="131"/>
      <c r="CB12" s="131"/>
      <c r="CC12" s="131"/>
      <c r="CD12" s="66"/>
      <c r="CE12" s="131"/>
      <c r="CF12" s="67"/>
      <c r="CG12" s="294">
        <f t="shared" si="30"/>
        <v>0</v>
      </c>
      <c r="CH12" s="90"/>
      <c r="CI12" s="133"/>
      <c r="CJ12" s="134"/>
      <c r="CK12" s="134"/>
      <c r="CL12" s="134"/>
      <c r="CM12" s="121"/>
      <c r="CN12" s="134"/>
      <c r="CO12" s="122"/>
      <c r="CP12" s="90"/>
      <c r="CQ12" s="133"/>
      <c r="CR12" s="134"/>
      <c r="CS12" s="134"/>
      <c r="CT12" s="134"/>
      <c r="CU12" s="121"/>
      <c r="CV12" s="134"/>
      <c r="CW12" s="122"/>
      <c r="CX12" s="90"/>
      <c r="CY12" s="133"/>
      <c r="CZ12" s="134"/>
      <c r="DA12" s="134"/>
      <c r="DB12" s="134"/>
      <c r="DC12" s="121"/>
      <c r="DD12" s="134"/>
      <c r="DE12" s="122"/>
      <c r="DF12" s="6"/>
      <c r="DG12" s="289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</row>
    <row r="13" spans="1:135" s="7" customFormat="1" ht="13" customHeight="1">
      <c r="A13" s="329"/>
      <c r="B13" s="49" t="s">
        <v>14</v>
      </c>
      <c r="C13" s="45">
        <f t="shared" si="0"/>
        <v>393580.27999999997</v>
      </c>
      <c r="D13" s="45">
        <f t="shared" si="1"/>
        <v>71324.2</v>
      </c>
      <c r="E13" s="45">
        <f t="shared" si="2"/>
        <v>322292.08</v>
      </c>
      <c r="F13" s="45">
        <f t="shared" si="3"/>
        <v>322292.08</v>
      </c>
      <c r="G13" s="14">
        <f>D13/C13</f>
        <v>0.18121893708699024</v>
      </c>
      <c r="H13" s="198">
        <f t="shared" si="23"/>
        <v>0</v>
      </c>
      <c r="I13" s="14">
        <f t="shared" si="5"/>
        <v>0</v>
      </c>
      <c r="J13" s="190">
        <f t="shared" si="27"/>
        <v>425425.54560000007</v>
      </c>
      <c r="K13" s="90"/>
      <c r="L13" s="51">
        <v>0</v>
      </c>
      <c r="M13" s="45">
        <v>0</v>
      </c>
      <c r="N13" s="45">
        <v>0</v>
      </c>
      <c r="O13" s="45">
        <v>0</v>
      </c>
      <c r="P13" s="52" t="e">
        <f t="shared" si="24"/>
        <v>#DIV/0!</v>
      </c>
      <c r="Q13" s="45">
        <v>0</v>
      </c>
      <c r="R13" s="53" t="e">
        <f t="shared" ref="R13" si="31">Q13/L13</f>
        <v>#DIV/0!</v>
      </c>
      <c r="S13" s="90"/>
      <c r="T13" s="130">
        <v>0</v>
      </c>
      <c r="U13" s="131">
        <v>0</v>
      </c>
      <c r="V13" s="131">
        <v>0</v>
      </c>
      <c r="W13" s="131">
        <v>0</v>
      </c>
      <c r="X13" s="66" t="e">
        <f t="shared" si="25"/>
        <v>#DIV/0!</v>
      </c>
      <c r="Y13" s="131">
        <v>0</v>
      </c>
      <c r="Z13" s="67" t="e">
        <f t="shared" si="6"/>
        <v>#DIV/0!</v>
      </c>
      <c r="AA13" s="90"/>
      <c r="AB13" s="51">
        <v>0</v>
      </c>
      <c r="AC13" s="45">
        <v>0</v>
      </c>
      <c r="AD13" s="45">
        <v>0</v>
      </c>
      <c r="AE13" s="45">
        <v>0</v>
      </c>
      <c r="AF13" s="52" t="e">
        <f t="shared" ref="AF13:AF16" si="32">(AB13-AD13)/AB13</f>
        <v>#DIV/0!</v>
      </c>
      <c r="AG13" s="131">
        <v>0</v>
      </c>
      <c r="AH13" s="53" t="e">
        <f>AG14/AB13</f>
        <v>#DIV/0!</v>
      </c>
      <c r="AI13" s="90"/>
      <c r="AJ13" s="130">
        <v>0</v>
      </c>
      <c r="AK13" s="131">
        <v>0</v>
      </c>
      <c r="AL13" s="131">
        <v>0</v>
      </c>
      <c r="AM13" s="131">
        <v>0</v>
      </c>
      <c r="AN13" s="66" t="e">
        <f t="shared" si="26"/>
        <v>#DIV/0!</v>
      </c>
      <c r="AO13" s="131">
        <v>0</v>
      </c>
      <c r="AP13" s="67" t="e">
        <f t="shared" si="7"/>
        <v>#DIV/0!</v>
      </c>
      <c r="AQ13" s="90"/>
      <c r="AR13" s="130">
        <v>0</v>
      </c>
      <c r="AS13" s="131">
        <v>0</v>
      </c>
      <c r="AT13" s="131">
        <v>0</v>
      </c>
      <c r="AU13" s="131">
        <v>0</v>
      </c>
      <c r="AV13" s="66" t="e">
        <f t="shared" si="8"/>
        <v>#DIV/0!</v>
      </c>
      <c r="AW13" s="131">
        <v>0</v>
      </c>
      <c r="AX13" s="67" t="e">
        <f t="shared" si="9"/>
        <v>#DIV/0!</v>
      </c>
      <c r="AY13" s="90"/>
      <c r="AZ13" s="130">
        <v>0</v>
      </c>
      <c r="BA13" s="131">
        <v>0</v>
      </c>
      <c r="BB13" s="131">
        <v>0</v>
      </c>
      <c r="BC13" s="131">
        <v>0</v>
      </c>
      <c r="BD13" s="66" t="e">
        <f t="shared" si="10"/>
        <v>#DIV/0!</v>
      </c>
      <c r="BE13" s="131">
        <v>0</v>
      </c>
      <c r="BF13" s="67" t="e">
        <f t="shared" si="11"/>
        <v>#DIV/0!</v>
      </c>
      <c r="BG13" s="90"/>
      <c r="BH13" s="130">
        <v>158748.54999999999</v>
      </c>
      <c r="BI13" s="131">
        <v>48331.199999999997</v>
      </c>
      <c r="BJ13" s="131">
        <v>110453.35</v>
      </c>
      <c r="BK13" s="131">
        <f>BJ13</f>
        <v>110453.35</v>
      </c>
      <c r="BL13" s="66">
        <f>(BH13-BJ13)/BH13</f>
        <v>0.30422451102702974</v>
      </c>
      <c r="BM13" s="131">
        <v>0</v>
      </c>
      <c r="BN13" s="67">
        <f t="shared" si="12"/>
        <v>0</v>
      </c>
      <c r="BO13" s="190">
        <f t="shared" si="28"/>
        <v>145798.42200000002</v>
      </c>
      <c r="BP13" s="90"/>
      <c r="BQ13" s="130">
        <v>101160.05</v>
      </c>
      <c r="BR13" s="131">
        <v>18900</v>
      </c>
      <c r="BS13" s="131">
        <v>82260.05</v>
      </c>
      <c r="BT13" s="131">
        <v>82260.05</v>
      </c>
      <c r="BU13" s="66">
        <f t="shared" si="13"/>
        <v>0.18683264786840259</v>
      </c>
      <c r="BV13" s="131"/>
      <c r="BW13" s="67">
        <f t="shared" si="14"/>
        <v>0</v>
      </c>
      <c r="BX13" s="294">
        <f t="shared" si="29"/>
        <v>108583.266</v>
      </c>
      <c r="BY13" s="90"/>
      <c r="BZ13" s="130">
        <v>133671.67999999999</v>
      </c>
      <c r="CA13" s="131">
        <v>4093</v>
      </c>
      <c r="CB13" s="131">
        <v>129578.68</v>
      </c>
      <c r="CC13" s="131">
        <v>129578.68</v>
      </c>
      <c r="CD13" s="66">
        <f>(BZ13-CB13)/BZ13</f>
        <v>3.0619799197556283E-2</v>
      </c>
      <c r="CE13" s="131"/>
      <c r="CF13" s="67">
        <f t="shared" si="16"/>
        <v>0</v>
      </c>
      <c r="CG13" s="294">
        <f t="shared" si="30"/>
        <v>171043.85759999999</v>
      </c>
      <c r="CH13" s="90"/>
      <c r="CI13" s="133"/>
      <c r="CJ13" s="134"/>
      <c r="CK13" s="134"/>
      <c r="CL13" s="134"/>
      <c r="CM13" s="121" t="e">
        <f t="shared" si="17"/>
        <v>#DIV/0!</v>
      </c>
      <c r="CN13" s="134"/>
      <c r="CO13" s="122" t="e">
        <f t="shared" si="18"/>
        <v>#DIV/0!</v>
      </c>
      <c r="CP13" s="90"/>
      <c r="CQ13" s="133"/>
      <c r="CR13" s="134"/>
      <c r="CS13" s="134"/>
      <c r="CT13" s="134"/>
      <c r="CU13" s="121" t="e">
        <f t="shared" si="19"/>
        <v>#DIV/0!</v>
      </c>
      <c r="CV13" s="134"/>
      <c r="CW13" s="122" t="e">
        <f t="shared" si="20"/>
        <v>#DIV/0!</v>
      </c>
      <c r="CX13" s="90"/>
      <c r="CY13" s="133"/>
      <c r="CZ13" s="134"/>
      <c r="DA13" s="134"/>
      <c r="DB13" s="134"/>
      <c r="DC13" s="121" t="e">
        <f t="shared" si="21"/>
        <v>#DIV/0!</v>
      </c>
      <c r="DD13" s="134"/>
      <c r="DE13" s="122" t="e">
        <f t="shared" si="22"/>
        <v>#DIV/0!</v>
      </c>
      <c r="DF13" s="6"/>
      <c r="DG13" s="289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</row>
    <row r="14" spans="1:135" s="7" customFormat="1" ht="13" customHeight="1">
      <c r="A14" s="329"/>
      <c r="B14" s="49" t="s">
        <v>15</v>
      </c>
      <c r="C14" s="45">
        <f t="shared" ref="C14:C16" si="33">SUM(L14,T14,AB14,AJ14,AR14,AZ14,BH14,BQ14,BZ14,CI14,CQ14,CY14)</f>
        <v>980819.61</v>
      </c>
      <c r="D14" s="45">
        <f t="shared" si="1"/>
        <v>137065.04999999999</v>
      </c>
      <c r="E14" s="45">
        <f t="shared" si="2"/>
        <v>843754.55999999994</v>
      </c>
      <c r="F14" s="45">
        <f t="shared" si="3"/>
        <v>744848.70000000007</v>
      </c>
      <c r="G14" s="14">
        <f t="shared" si="4"/>
        <v>0.1397454216887038</v>
      </c>
      <c r="H14" s="198">
        <f t="shared" si="23"/>
        <v>0</v>
      </c>
      <c r="I14" s="14">
        <f>H14/C14</f>
        <v>0</v>
      </c>
      <c r="J14" s="190">
        <f t="shared" si="27"/>
        <v>983200.2840000001</v>
      </c>
      <c r="K14" s="90"/>
      <c r="L14" s="51">
        <v>130246.41</v>
      </c>
      <c r="M14" s="45">
        <v>31340.55</v>
      </c>
      <c r="N14" s="45">
        <v>98905.86</v>
      </c>
      <c r="O14" s="45">
        <v>0</v>
      </c>
      <c r="P14" s="52">
        <f t="shared" si="24"/>
        <v>0.24062505830295053</v>
      </c>
      <c r="Q14" s="45">
        <v>0</v>
      </c>
      <c r="R14" s="53">
        <f>Q14/L14</f>
        <v>0</v>
      </c>
      <c r="S14" s="90"/>
      <c r="T14" s="130">
        <v>160112.99</v>
      </c>
      <c r="U14" s="131">
        <v>27797.75</v>
      </c>
      <c r="V14" s="131">
        <v>132315.24</v>
      </c>
      <c r="W14" s="131">
        <v>132315.24</v>
      </c>
      <c r="X14" s="66">
        <f t="shared" si="25"/>
        <v>0.17361333393374268</v>
      </c>
      <c r="Y14" s="131">
        <v>0</v>
      </c>
      <c r="Z14" s="67">
        <f t="shared" si="6"/>
        <v>0</v>
      </c>
      <c r="AA14" s="90"/>
      <c r="AB14" s="51">
        <v>0</v>
      </c>
      <c r="AC14" s="45">
        <v>0</v>
      </c>
      <c r="AD14" s="45">
        <v>0</v>
      </c>
      <c r="AE14" s="45">
        <v>0</v>
      </c>
      <c r="AF14" s="52" t="e">
        <f t="shared" si="32"/>
        <v>#DIV/0!</v>
      </c>
      <c r="AG14" s="131">
        <v>0</v>
      </c>
      <c r="AH14" s="53" t="e">
        <f t="shared" ref="AH14:AH16" si="34">AG15/AB14</f>
        <v>#DIV/0!</v>
      </c>
      <c r="AI14" s="90"/>
      <c r="AJ14" s="130">
        <v>95890.75</v>
      </c>
      <c r="AK14" s="131">
        <v>9081</v>
      </c>
      <c r="AL14" s="131">
        <v>86809.75</v>
      </c>
      <c r="AM14" s="131">
        <v>86809.75</v>
      </c>
      <c r="AN14" s="66">
        <f t="shared" si="26"/>
        <v>9.4701522305331853E-2</v>
      </c>
      <c r="AO14" s="131">
        <v>0</v>
      </c>
      <c r="AP14" s="67">
        <f t="shared" si="7"/>
        <v>0</v>
      </c>
      <c r="AQ14" s="90"/>
      <c r="AR14" s="130">
        <v>117693.71</v>
      </c>
      <c r="AS14" s="131">
        <v>20987</v>
      </c>
      <c r="AT14" s="131">
        <v>96706.71</v>
      </c>
      <c r="AU14" s="131">
        <v>96706.71</v>
      </c>
      <c r="AV14" s="66">
        <f t="shared" si="8"/>
        <v>0.17831879035846521</v>
      </c>
      <c r="AW14" s="131">
        <v>0</v>
      </c>
      <c r="AX14" s="67">
        <f t="shared" si="9"/>
        <v>0</v>
      </c>
      <c r="AY14" s="90"/>
      <c r="AZ14" s="130">
        <v>94589.2</v>
      </c>
      <c r="BA14" s="131">
        <v>11820</v>
      </c>
      <c r="BB14" s="131">
        <v>82769.2</v>
      </c>
      <c r="BC14" s="131">
        <v>82769.2</v>
      </c>
      <c r="BD14" s="66">
        <f t="shared" si="10"/>
        <v>0.12496141208510063</v>
      </c>
      <c r="BE14" s="131">
        <v>0</v>
      </c>
      <c r="BF14" s="67">
        <f t="shared" si="11"/>
        <v>0</v>
      </c>
      <c r="BG14" s="90"/>
      <c r="BH14" s="130">
        <v>175690.7</v>
      </c>
      <c r="BI14" s="131">
        <v>11430</v>
      </c>
      <c r="BJ14" s="131">
        <v>164260.70000000001</v>
      </c>
      <c r="BK14" s="131">
        <f t="shared" ref="BK14:BK16" si="35">BJ14</f>
        <v>164260.70000000001</v>
      </c>
      <c r="BL14" s="66">
        <f>(BH14-BJ14)/BH14</f>
        <v>6.5057513004387821E-2</v>
      </c>
      <c r="BM14" s="131">
        <v>0</v>
      </c>
      <c r="BN14" s="67">
        <f t="shared" si="12"/>
        <v>0</v>
      </c>
      <c r="BO14" s="190">
        <f t="shared" si="28"/>
        <v>216824.12400000004</v>
      </c>
      <c r="BP14" s="90"/>
      <c r="BQ14" s="130">
        <v>102480.75</v>
      </c>
      <c r="BR14" s="131">
        <v>15562.75</v>
      </c>
      <c r="BS14" s="131">
        <v>86918</v>
      </c>
      <c r="BT14" s="131">
        <v>86918</v>
      </c>
      <c r="BU14" s="66">
        <f t="shared" si="13"/>
        <v>0.15186022740856209</v>
      </c>
      <c r="BV14" s="131"/>
      <c r="BW14" s="67">
        <f t="shared" si="14"/>
        <v>0</v>
      </c>
      <c r="BX14" s="294">
        <f t="shared" si="29"/>
        <v>114731.76000000001</v>
      </c>
      <c r="BY14" s="90"/>
      <c r="BZ14" s="130">
        <v>104115.1</v>
      </c>
      <c r="CA14" s="131">
        <v>9046</v>
      </c>
      <c r="CB14" s="131">
        <v>95069.1</v>
      </c>
      <c r="CC14" s="131">
        <v>95069.1</v>
      </c>
      <c r="CD14" s="66">
        <f t="shared" si="15"/>
        <v>8.6884611358006666E-2</v>
      </c>
      <c r="CE14" s="131"/>
      <c r="CF14" s="67">
        <f t="shared" si="16"/>
        <v>0</v>
      </c>
      <c r="CG14" s="294">
        <f t="shared" si="30"/>
        <v>125491.21200000001</v>
      </c>
      <c r="CH14" s="90"/>
      <c r="CI14" s="133"/>
      <c r="CJ14" s="134"/>
      <c r="CK14" s="134"/>
      <c r="CL14" s="134"/>
      <c r="CM14" s="121" t="e">
        <f t="shared" si="17"/>
        <v>#DIV/0!</v>
      </c>
      <c r="CN14" s="134"/>
      <c r="CO14" s="122" t="e">
        <f t="shared" si="18"/>
        <v>#DIV/0!</v>
      </c>
      <c r="CP14" s="90"/>
      <c r="CQ14" s="133"/>
      <c r="CR14" s="134"/>
      <c r="CS14" s="134"/>
      <c r="CT14" s="134"/>
      <c r="CU14" s="121" t="e">
        <f t="shared" si="19"/>
        <v>#DIV/0!</v>
      </c>
      <c r="CV14" s="134"/>
      <c r="CW14" s="122" t="e">
        <f t="shared" si="20"/>
        <v>#DIV/0!</v>
      </c>
      <c r="CX14" s="90"/>
      <c r="CY14" s="133"/>
      <c r="CZ14" s="134"/>
      <c r="DA14" s="134"/>
      <c r="DB14" s="134"/>
      <c r="DC14" s="121" t="e">
        <f t="shared" si="21"/>
        <v>#DIV/0!</v>
      </c>
      <c r="DD14" s="134"/>
      <c r="DE14" s="122" t="e">
        <f t="shared" si="22"/>
        <v>#DIV/0!</v>
      </c>
      <c r="DF14" s="6"/>
      <c r="DG14" s="289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</row>
    <row r="15" spans="1:135" s="7" customFormat="1" ht="13" customHeight="1">
      <c r="A15" s="329"/>
      <c r="B15" s="49" t="s">
        <v>16</v>
      </c>
      <c r="C15" s="45">
        <f t="shared" si="33"/>
        <v>1415952.22</v>
      </c>
      <c r="D15" s="45">
        <f t="shared" si="1"/>
        <v>282685.60000000003</v>
      </c>
      <c r="E15" s="45">
        <f t="shared" si="2"/>
        <v>1133266.9099999999</v>
      </c>
      <c r="F15" s="45">
        <f t="shared" si="3"/>
        <v>1004391.4299999999</v>
      </c>
      <c r="G15" s="14">
        <f t="shared" si="4"/>
        <v>0.19964345972069597</v>
      </c>
      <c r="H15" s="198">
        <f t="shared" si="23"/>
        <v>0</v>
      </c>
      <c r="I15" s="14">
        <f t="shared" si="5"/>
        <v>0</v>
      </c>
      <c r="J15" s="190">
        <f t="shared" si="27"/>
        <v>1325796.6876000001</v>
      </c>
      <c r="K15" s="90"/>
      <c r="L15" s="51">
        <v>202464.48</v>
      </c>
      <c r="M15" s="45">
        <v>73589</v>
      </c>
      <c r="N15" s="45">
        <v>128875.48</v>
      </c>
      <c r="O15" s="45">
        <v>0</v>
      </c>
      <c r="P15" s="52">
        <f t="shared" si="24"/>
        <v>0.36346622380380006</v>
      </c>
      <c r="Q15" s="45">
        <v>0</v>
      </c>
      <c r="R15" s="53">
        <f>Q15/L15</f>
        <v>0</v>
      </c>
      <c r="S15" s="90"/>
      <c r="T15" s="130">
        <v>101890.8</v>
      </c>
      <c r="U15" s="131">
        <v>7810</v>
      </c>
      <c r="V15" s="131">
        <v>94080.8</v>
      </c>
      <c r="W15" s="131">
        <v>94080.8</v>
      </c>
      <c r="X15" s="66">
        <f t="shared" si="25"/>
        <v>7.6650688776611825E-2</v>
      </c>
      <c r="Y15" s="131">
        <v>0</v>
      </c>
      <c r="Z15" s="67">
        <f t="shared" si="6"/>
        <v>0</v>
      </c>
      <c r="AA15" s="90"/>
      <c r="AB15" s="51">
        <v>95890.8</v>
      </c>
      <c r="AC15" s="45">
        <v>11810</v>
      </c>
      <c r="AD15" s="45">
        <v>84080.8</v>
      </c>
      <c r="AE15" s="45">
        <v>84080.8</v>
      </c>
      <c r="AF15" s="52">
        <f t="shared" si="32"/>
        <v>0.12316092888994565</v>
      </c>
      <c r="AG15" s="131">
        <v>0</v>
      </c>
      <c r="AH15" s="53">
        <f t="shared" si="34"/>
        <v>0</v>
      </c>
      <c r="AI15" s="90"/>
      <c r="AJ15" s="130">
        <v>72205.63</v>
      </c>
      <c r="AK15" s="131">
        <v>11910.33</v>
      </c>
      <c r="AL15" s="131">
        <v>60295.3</v>
      </c>
      <c r="AM15" s="131">
        <v>60295.3</v>
      </c>
      <c r="AN15" s="66">
        <f t="shared" si="26"/>
        <v>0.16495015693374604</v>
      </c>
      <c r="AO15" s="131">
        <v>0</v>
      </c>
      <c r="AP15" s="67">
        <f t="shared" si="7"/>
        <v>0</v>
      </c>
      <c r="AQ15" s="90"/>
      <c r="AR15" s="130">
        <v>0</v>
      </c>
      <c r="AS15" s="131">
        <v>0</v>
      </c>
      <c r="AT15" s="131">
        <v>0</v>
      </c>
      <c r="AU15" s="131">
        <v>0</v>
      </c>
      <c r="AV15" s="66" t="e">
        <f t="shared" si="8"/>
        <v>#DIV/0!</v>
      </c>
      <c r="AW15" s="131">
        <v>0</v>
      </c>
      <c r="AX15" s="67" t="e">
        <f t="shared" si="9"/>
        <v>#DIV/0!</v>
      </c>
      <c r="AY15" s="90"/>
      <c r="AZ15" s="130">
        <v>403465</v>
      </c>
      <c r="BA15" s="131">
        <v>63281</v>
      </c>
      <c r="BB15" s="131">
        <v>340184</v>
      </c>
      <c r="BC15" s="131">
        <v>340184</v>
      </c>
      <c r="BD15" s="66">
        <f t="shared" si="10"/>
        <v>0.15684384023397321</v>
      </c>
      <c r="BE15" s="131">
        <v>0</v>
      </c>
      <c r="BF15" s="67">
        <f t="shared" si="11"/>
        <v>0</v>
      </c>
      <c r="BG15" s="90"/>
      <c r="BH15" s="130">
        <v>101701.26</v>
      </c>
      <c r="BI15" s="131">
        <v>8693.2000000000007</v>
      </c>
      <c r="BJ15" s="131">
        <v>93008.08</v>
      </c>
      <c r="BK15" s="131">
        <f t="shared" si="35"/>
        <v>93008.08</v>
      </c>
      <c r="BL15" s="66">
        <f t="shared" ref="BL15:BL16" si="36">(BH15-BJ15)/BH15</f>
        <v>8.5477603718970577E-2</v>
      </c>
      <c r="BM15" s="131">
        <v>0</v>
      </c>
      <c r="BN15" s="67">
        <f t="shared" si="12"/>
        <v>0</v>
      </c>
      <c r="BO15" s="190">
        <f t="shared" si="28"/>
        <v>122770.66560000001</v>
      </c>
      <c r="BP15" s="90"/>
      <c r="BQ15" s="130">
        <v>120688.07</v>
      </c>
      <c r="BR15" s="131">
        <v>29569.07</v>
      </c>
      <c r="BS15" s="131">
        <v>91119</v>
      </c>
      <c r="BT15" s="131">
        <v>91119</v>
      </c>
      <c r="BU15" s="66">
        <f t="shared" si="13"/>
        <v>0.24500408366792181</v>
      </c>
      <c r="BV15" s="131"/>
      <c r="BW15" s="67">
        <f t="shared" si="14"/>
        <v>0</v>
      </c>
      <c r="BX15" s="294">
        <f t="shared" si="29"/>
        <v>120277.08</v>
      </c>
      <c r="BY15" s="90"/>
      <c r="BZ15" s="130">
        <v>317646.18</v>
      </c>
      <c r="CA15" s="131">
        <v>76023</v>
      </c>
      <c r="CB15" s="131">
        <v>241623.45</v>
      </c>
      <c r="CC15" s="131">
        <v>241623.45</v>
      </c>
      <c r="CD15" s="66">
        <f t="shared" si="15"/>
        <v>0.23933147881709135</v>
      </c>
      <c r="CE15" s="131"/>
      <c r="CF15" s="67">
        <f t="shared" si="16"/>
        <v>0</v>
      </c>
      <c r="CG15" s="294">
        <f t="shared" si="30"/>
        <v>318942.95400000003</v>
      </c>
      <c r="CH15" s="90"/>
      <c r="CI15" s="133"/>
      <c r="CJ15" s="134"/>
      <c r="CK15" s="134"/>
      <c r="CL15" s="134"/>
      <c r="CM15" s="121" t="e">
        <f t="shared" si="17"/>
        <v>#DIV/0!</v>
      </c>
      <c r="CN15" s="134"/>
      <c r="CO15" s="122" t="e">
        <f t="shared" si="18"/>
        <v>#DIV/0!</v>
      </c>
      <c r="CP15" s="90"/>
      <c r="CQ15" s="133"/>
      <c r="CR15" s="134"/>
      <c r="CS15" s="134"/>
      <c r="CT15" s="134"/>
      <c r="CU15" s="121" t="e">
        <f t="shared" si="19"/>
        <v>#DIV/0!</v>
      </c>
      <c r="CV15" s="134"/>
      <c r="CW15" s="122" t="e">
        <f t="shared" si="20"/>
        <v>#DIV/0!</v>
      </c>
      <c r="CX15" s="90"/>
      <c r="CY15" s="133"/>
      <c r="CZ15" s="134"/>
      <c r="DA15" s="134"/>
      <c r="DB15" s="134"/>
      <c r="DC15" s="121" t="e">
        <f t="shared" si="21"/>
        <v>#DIV/0!</v>
      </c>
      <c r="DD15" s="134"/>
      <c r="DE15" s="122" t="e">
        <f t="shared" si="22"/>
        <v>#DIV/0!</v>
      </c>
      <c r="DF15" s="6"/>
      <c r="DG15" s="289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</row>
    <row r="16" spans="1:135" s="7" customFormat="1" ht="13" customHeight="1">
      <c r="A16" s="329"/>
      <c r="B16" s="49" t="s">
        <v>17</v>
      </c>
      <c r="C16" s="45">
        <f t="shared" si="33"/>
        <v>881432.75999999989</v>
      </c>
      <c r="D16" s="45">
        <f t="shared" si="1"/>
        <v>124909.6</v>
      </c>
      <c r="E16" s="45">
        <f t="shared" si="2"/>
        <v>756523.16</v>
      </c>
      <c r="F16" s="45">
        <f t="shared" si="3"/>
        <v>756523.16</v>
      </c>
      <c r="G16" s="14">
        <f t="shared" si="4"/>
        <v>0.14171200081104318</v>
      </c>
      <c r="H16" s="198">
        <f t="shared" si="23"/>
        <v>0</v>
      </c>
      <c r="I16" s="14">
        <f>H16/C16</f>
        <v>0</v>
      </c>
      <c r="J16" s="190">
        <f t="shared" si="27"/>
        <v>998610.57120000012</v>
      </c>
      <c r="K16" s="90"/>
      <c r="L16" s="51">
        <v>0</v>
      </c>
      <c r="M16" s="45">
        <v>0</v>
      </c>
      <c r="N16" s="45">
        <v>0</v>
      </c>
      <c r="O16" s="45">
        <v>0</v>
      </c>
      <c r="P16" s="52" t="e">
        <f t="shared" si="24"/>
        <v>#DIV/0!</v>
      </c>
      <c r="Q16" s="45">
        <v>0</v>
      </c>
      <c r="R16" s="53" t="e">
        <f>Q16/L16</f>
        <v>#DIV/0!</v>
      </c>
      <c r="S16" s="90"/>
      <c r="T16" s="130">
        <v>0</v>
      </c>
      <c r="U16" s="131">
        <v>0</v>
      </c>
      <c r="V16" s="131">
        <v>0</v>
      </c>
      <c r="W16" s="131">
        <v>0</v>
      </c>
      <c r="X16" s="66" t="e">
        <f t="shared" si="25"/>
        <v>#DIV/0!</v>
      </c>
      <c r="Y16" s="131">
        <v>0</v>
      </c>
      <c r="Z16" s="67" t="e">
        <f t="shared" si="6"/>
        <v>#DIV/0!</v>
      </c>
      <c r="AA16" s="90"/>
      <c r="AB16" s="51">
        <v>0</v>
      </c>
      <c r="AC16" s="45">
        <v>0</v>
      </c>
      <c r="AD16" s="45">
        <v>0</v>
      </c>
      <c r="AE16" s="45">
        <v>0</v>
      </c>
      <c r="AF16" s="52" t="e">
        <f t="shared" si="32"/>
        <v>#DIV/0!</v>
      </c>
      <c r="AG16" s="131">
        <v>0</v>
      </c>
      <c r="AH16" s="53" t="e">
        <f t="shared" si="34"/>
        <v>#DIV/0!</v>
      </c>
      <c r="AI16" s="90"/>
      <c r="AJ16" s="130">
        <v>71340.08</v>
      </c>
      <c r="AK16" s="131">
        <v>6000</v>
      </c>
      <c r="AL16" s="131">
        <v>65340.08</v>
      </c>
      <c r="AM16" s="131">
        <v>65340.08</v>
      </c>
      <c r="AN16" s="66">
        <f t="shared" si="26"/>
        <v>8.4104195005107921E-2</v>
      </c>
      <c r="AO16" s="131">
        <v>0</v>
      </c>
      <c r="AP16" s="67">
        <f t="shared" si="7"/>
        <v>0</v>
      </c>
      <c r="AQ16" s="90"/>
      <c r="AR16" s="130">
        <v>117020.58</v>
      </c>
      <c r="AS16" s="131">
        <v>21856.5</v>
      </c>
      <c r="AT16" s="131">
        <v>95164.08</v>
      </c>
      <c r="AU16" s="131">
        <v>95164.08</v>
      </c>
      <c r="AV16" s="66">
        <f t="shared" si="8"/>
        <v>0.1867748390924058</v>
      </c>
      <c r="AW16" s="131">
        <v>0</v>
      </c>
      <c r="AX16" s="67">
        <f t="shared" si="9"/>
        <v>0</v>
      </c>
      <c r="AY16" s="90"/>
      <c r="AZ16" s="130">
        <v>115164.08</v>
      </c>
      <c r="BA16" s="131">
        <v>10000</v>
      </c>
      <c r="BB16" s="131">
        <v>105164.08</v>
      </c>
      <c r="BC16" s="131">
        <v>105164.08</v>
      </c>
      <c r="BD16" s="66">
        <f t="shared" si="10"/>
        <v>8.6832630452134033E-2</v>
      </c>
      <c r="BE16" s="131">
        <v>0</v>
      </c>
      <c r="BF16" s="67">
        <f t="shared" si="11"/>
        <v>0</v>
      </c>
      <c r="BG16" s="90"/>
      <c r="BH16" s="130">
        <v>169871.64</v>
      </c>
      <c r="BI16" s="131">
        <v>23889</v>
      </c>
      <c r="BJ16" s="131">
        <v>145982.64000000001</v>
      </c>
      <c r="BK16" s="131">
        <f t="shared" si="35"/>
        <v>145982.64000000001</v>
      </c>
      <c r="BL16" s="66">
        <f t="shared" si="36"/>
        <v>0.14062971311750447</v>
      </c>
      <c r="BM16" s="131">
        <v>0</v>
      </c>
      <c r="BN16" s="67">
        <f t="shared" si="12"/>
        <v>0</v>
      </c>
      <c r="BO16" s="190">
        <f t="shared" si="28"/>
        <v>192697.08480000004</v>
      </c>
      <c r="BP16" s="90"/>
      <c r="BQ16" s="130">
        <v>206233.8</v>
      </c>
      <c r="BR16" s="131">
        <v>39670.800000000003</v>
      </c>
      <c r="BS16" s="131">
        <v>166563</v>
      </c>
      <c r="BT16" s="131">
        <v>166563</v>
      </c>
      <c r="BU16" s="66">
        <f t="shared" si="13"/>
        <v>0.19235838160379137</v>
      </c>
      <c r="BV16" s="131"/>
      <c r="BW16" s="67">
        <f t="shared" si="14"/>
        <v>0</v>
      </c>
      <c r="BX16" s="294">
        <f t="shared" si="29"/>
        <v>219863.16</v>
      </c>
      <c r="BY16" s="90"/>
      <c r="BZ16" s="130">
        <v>201802.58</v>
      </c>
      <c r="CA16" s="131">
        <v>23493.3</v>
      </c>
      <c r="CB16" s="131">
        <v>178309.28</v>
      </c>
      <c r="CC16" s="131">
        <v>178309.28</v>
      </c>
      <c r="CD16" s="66">
        <f t="shared" si="15"/>
        <v>0.11641724303029223</v>
      </c>
      <c r="CE16" s="131"/>
      <c r="CF16" s="67">
        <f t="shared" si="16"/>
        <v>0</v>
      </c>
      <c r="CG16" s="294">
        <f t="shared" si="30"/>
        <v>235368.24960000001</v>
      </c>
      <c r="CH16" s="90"/>
      <c r="CI16" s="133"/>
      <c r="CJ16" s="134"/>
      <c r="CK16" s="134"/>
      <c r="CL16" s="134"/>
      <c r="CM16" s="121" t="e">
        <f t="shared" si="17"/>
        <v>#DIV/0!</v>
      </c>
      <c r="CN16" s="134"/>
      <c r="CO16" s="122" t="e">
        <f t="shared" si="18"/>
        <v>#DIV/0!</v>
      </c>
      <c r="CP16" s="90"/>
      <c r="CQ16" s="133"/>
      <c r="CR16" s="134"/>
      <c r="CS16" s="134"/>
      <c r="CT16" s="134"/>
      <c r="CU16" s="121" t="e">
        <f t="shared" si="19"/>
        <v>#DIV/0!</v>
      </c>
      <c r="CV16" s="134"/>
      <c r="CW16" s="122" t="e">
        <f t="shared" si="20"/>
        <v>#DIV/0!</v>
      </c>
      <c r="CX16" s="90"/>
      <c r="CY16" s="133"/>
      <c r="CZ16" s="134"/>
      <c r="DA16" s="134"/>
      <c r="DB16" s="134"/>
      <c r="DC16" s="121" t="e">
        <f t="shared" si="21"/>
        <v>#DIV/0!</v>
      </c>
      <c r="DD16" s="134"/>
      <c r="DE16" s="122" t="e">
        <f t="shared" si="22"/>
        <v>#DIV/0!</v>
      </c>
      <c r="DF16" s="6"/>
      <c r="DG16" s="289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</row>
    <row r="17" spans="1:135" s="21" customFormat="1" ht="13" customHeight="1">
      <c r="A17" s="329"/>
      <c r="B17" s="164" t="s">
        <v>18</v>
      </c>
      <c r="C17" s="38">
        <f>SUM(C6:C16)</f>
        <v>4182884.87</v>
      </c>
      <c r="D17" s="38">
        <f>SUM(D6:D16)</f>
        <v>615984.45000000007</v>
      </c>
      <c r="E17" s="38">
        <f>SUM(E6:E16)</f>
        <v>3566936.71</v>
      </c>
      <c r="F17" s="38">
        <f>SUM(F6:F16)</f>
        <v>3339155.37</v>
      </c>
      <c r="G17" s="15">
        <f>D17/C17</f>
        <v>0.14726306583714316</v>
      </c>
      <c r="H17" s="199">
        <f>SUM(H6:H16)</f>
        <v>0</v>
      </c>
      <c r="I17" s="15">
        <f>H17/C17</f>
        <v>0</v>
      </c>
      <c r="J17" s="192" t="b">
        <f>J18=F18</f>
        <v>1</v>
      </c>
      <c r="K17" s="91"/>
      <c r="L17" s="175">
        <f>SUM(L6:L16)</f>
        <v>357710.89</v>
      </c>
      <c r="M17" s="38">
        <f>SUM(M6:M16)</f>
        <v>104929.55</v>
      </c>
      <c r="N17" s="38">
        <f>SUM(N6:N16)</f>
        <v>252781.34</v>
      </c>
      <c r="O17" s="38">
        <f>SUM(O6:O16)</f>
        <v>25000</v>
      </c>
      <c r="P17" s="15">
        <f>M17/L17</f>
        <v>0.29333619113468978</v>
      </c>
      <c r="Q17" s="38">
        <f>SUM(Q6:Q16)</f>
        <v>0</v>
      </c>
      <c r="R17" s="62" t="e">
        <f>SUM(R6:R16)</f>
        <v>#DIV/0!</v>
      </c>
      <c r="S17" s="91"/>
      <c r="T17" s="68">
        <f>SUM(T6:T16)</f>
        <v>287003.78999999998</v>
      </c>
      <c r="U17" s="69">
        <f>SUM(U6:U16)</f>
        <v>35607.75</v>
      </c>
      <c r="V17" s="69">
        <f>SUM(V6:V16)</f>
        <v>251396.03999999998</v>
      </c>
      <c r="W17" s="69">
        <f>SUM(W6:W16)</f>
        <v>251396.03999999998</v>
      </c>
      <c r="X17" s="15">
        <f>(T17-W17)/T17</f>
        <v>0.12406717695261098</v>
      </c>
      <c r="Y17" s="69">
        <f>SUM(Y6:Y16)</f>
        <v>0</v>
      </c>
      <c r="Z17" s="62">
        <f t="shared" si="6"/>
        <v>0</v>
      </c>
      <c r="AA17" s="91"/>
      <c r="AB17" s="68">
        <f>SUM(AB6:AB16)</f>
        <v>120890.8</v>
      </c>
      <c r="AC17" s="69">
        <f>SUM(AC6:AC16)</f>
        <v>11810</v>
      </c>
      <c r="AD17" s="69">
        <f>SUM(AD6:AD16)</f>
        <v>109080.8</v>
      </c>
      <c r="AE17" s="69">
        <f>SUM(AE6:AE16)</f>
        <v>109080.8</v>
      </c>
      <c r="AF17" s="15">
        <f>(AB17-AE17)/AB17</f>
        <v>9.7691470318667747E-2</v>
      </c>
      <c r="AG17" s="69">
        <f>SUM(AG6:AG16)</f>
        <v>0</v>
      </c>
      <c r="AH17" s="62">
        <f t="shared" ref="AH17" si="37">AG17/AB17</f>
        <v>0</v>
      </c>
      <c r="AI17" s="91"/>
      <c r="AJ17" s="68">
        <f>SUM(AJ6:AJ16)</f>
        <v>264436.46000000002</v>
      </c>
      <c r="AK17" s="69">
        <f>SUM(AK6:AK16)</f>
        <v>26991.33</v>
      </c>
      <c r="AL17" s="69">
        <f>SUM(AL6:AL16)</f>
        <v>237445.13</v>
      </c>
      <c r="AM17" s="69">
        <f>SUM(AM6:AM16)</f>
        <v>237445.13</v>
      </c>
      <c r="AN17" s="15">
        <f>(AJ17-AM17)/AJ17</f>
        <v>0.1020711364839781</v>
      </c>
      <c r="AO17" s="69">
        <f>SUM(AO6:AO16)</f>
        <v>0</v>
      </c>
      <c r="AP17" s="62">
        <f t="shared" si="7"/>
        <v>0</v>
      </c>
      <c r="AQ17" s="91"/>
      <c r="AR17" s="68">
        <f>SUM(AR6:AR16)</f>
        <v>309714.29000000004</v>
      </c>
      <c r="AS17" s="69">
        <f>SUM(AS6:AS16)</f>
        <v>42843.5</v>
      </c>
      <c r="AT17" s="69">
        <f>SUM(AT6:AT16)</f>
        <v>266870.79000000004</v>
      </c>
      <c r="AU17" s="69">
        <f>SUM(AU6:AU16)</f>
        <v>266870.79000000004</v>
      </c>
      <c r="AV17" s="15">
        <f>(AR17-AU17)/AR17</f>
        <v>0.13833233203414669</v>
      </c>
      <c r="AW17" s="69">
        <f>SUM(AW6:AW16)</f>
        <v>0</v>
      </c>
      <c r="AX17" s="62">
        <f t="shared" si="9"/>
        <v>0</v>
      </c>
      <c r="AY17" s="91"/>
      <c r="AZ17" s="68">
        <f>SUM(AZ6:AZ16)</f>
        <v>723218.27999999991</v>
      </c>
      <c r="BA17" s="69">
        <f>SUM(BA6:BA16)</f>
        <v>85101</v>
      </c>
      <c r="BB17" s="69">
        <f>SUM(BB6:BB16)</f>
        <v>638117.27999999991</v>
      </c>
      <c r="BC17" s="69">
        <f>SUM(BC6:BC16)</f>
        <v>638117.27999999991</v>
      </c>
      <c r="BD17" s="15">
        <f>(AZ17-BC17)/AZ17</f>
        <v>0.11766986863219223</v>
      </c>
      <c r="BE17" s="69">
        <f>SUM(BE6:BE16)</f>
        <v>0</v>
      </c>
      <c r="BF17" s="62">
        <f t="shared" si="11"/>
        <v>0</v>
      </c>
      <c r="BG17" s="91"/>
      <c r="BH17" s="68">
        <f>SUM(BH6:BH16)</f>
        <v>702312.15</v>
      </c>
      <c r="BI17" s="69">
        <f>SUM(BI6:BI16)</f>
        <v>92343.4</v>
      </c>
      <c r="BJ17" s="69">
        <f>SUM(BJ6:BJ16)</f>
        <v>610004.77</v>
      </c>
      <c r="BK17" s="69">
        <f>SUM(BK6:BK16)</f>
        <v>610004.77</v>
      </c>
      <c r="BL17" s="15">
        <f>(BH17-BK17)/BH17</f>
        <v>0.13143355130621048</v>
      </c>
      <c r="BM17" s="69">
        <f>SUM(BM6:BM16)</f>
        <v>0</v>
      </c>
      <c r="BN17" s="62">
        <f t="shared" si="12"/>
        <v>0</v>
      </c>
      <c r="BO17" s="192" t="b">
        <f>BO18=BK18</f>
        <v>1</v>
      </c>
      <c r="BP17" s="91"/>
      <c r="BQ17" s="68">
        <f>SUM(BQ6:BQ16)</f>
        <v>660362.66999999993</v>
      </c>
      <c r="BR17" s="69">
        <f>SUM(BR6:BR16)</f>
        <v>103702.62</v>
      </c>
      <c r="BS17" s="69">
        <f>SUM(BS6:BS16)</f>
        <v>556660.05000000005</v>
      </c>
      <c r="BT17" s="69">
        <f>SUM(BT6:BT16)</f>
        <v>556660.05000000005</v>
      </c>
      <c r="BU17" s="15">
        <f>(BQ17-BT17)/BQ17</f>
        <v>0.15703888894870435</v>
      </c>
      <c r="BV17" s="69">
        <f>SUM(BV6:BV16)</f>
        <v>0</v>
      </c>
      <c r="BW17" s="62">
        <f t="shared" si="14"/>
        <v>0</v>
      </c>
      <c r="BX17" s="192" t="b">
        <f>BX18=BT18</f>
        <v>1</v>
      </c>
      <c r="BY17" s="91"/>
      <c r="BZ17" s="68">
        <f>SUM(BZ6:BZ16)</f>
        <v>757235.53999999992</v>
      </c>
      <c r="CA17" s="69">
        <f>SUM(CA6:CA16)</f>
        <v>112655.3</v>
      </c>
      <c r="CB17" s="69">
        <f>SUM(CB6:CB16)</f>
        <v>644580.51</v>
      </c>
      <c r="CC17" s="69">
        <f>SUM(CC6:CC16)</f>
        <v>644580.51</v>
      </c>
      <c r="CD17" s="15">
        <f>(BZ17-CC17)/BZ17</f>
        <v>0.14877145095434893</v>
      </c>
      <c r="CE17" s="69">
        <f>SUM(CE6:CE16)</f>
        <v>0</v>
      </c>
      <c r="CF17" s="62">
        <f t="shared" si="16"/>
        <v>0</v>
      </c>
      <c r="CG17" s="192" t="b">
        <f>CG18=CC18</f>
        <v>1</v>
      </c>
      <c r="CH17" s="91"/>
      <c r="CI17" s="68">
        <f>SUM(CI6:CI16)</f>
        <v>0</v>
      </c>
      <c r="CJ17" s="69">
        <f>SUM(CJ6:CJ16)</f>
        <v>0</v>
      </c>
      <c r="CK17" s="69">
        <f>SUM(CK6:CK16)</f>
        <v>0</v>
      </c>
      <c r="CL17" s="69">
        <f>SUM(CL6:CL16)</f>
        <v>0</v>
      </c>
      <c r="CM17" s="15" t="e">
        <f>(CI17-CL17)/CI17</f>
        <v>#DIV/0!</v>
      </c>
      <c r="CN17" s="69">
        <f>SUM(CN6:CN16)</f>
        <v>0</v>
      </c>
      <c r="CO17" s="62" t="e">
        <f t="shared" si="18"/>
        <v>#DIV/0!</v>
      </c>
      <c r="CP17" s="91"/>
      <c r="CQ17" s="68">
        <f>SUM(CQ6:CQ16)</f>
        <v>0</v>
      </c>
      <c r="CR17" s="69">
        <f>SUM(CR6:CR16)</f>
        <v>0</v>
      </c>
      <c r="CS17" s="69">
        <f>SUM(CS6:CS16)</f>
        <v>0</v>
      </c>
      <c r="CT17" s="69">
        <f>SUM(CT6:CT16)</f>
        <v>0</v>
      </c>
      <c r="CU17" s="15" t="e">
        <f>(CQ17-CT17)/CQ17</f>
        <v>#DIV/0!</v>
      </c>
      <c r="CV17" s="69">
        <f>SUM(CV6:CV16)</f>
        <v>0</v>
      </c>
      <c r="CW17" s="62" t="e">
        <f t="shared" si="20"/>
        <v>#DIV/0!</v>
      </c>
      <c r="CX17" s="91"/>
      <c r="CY17" s="68">
        <f>SUM(CY6:CY16)</f>
        <v>0</v>
      </c>
      <c r="CZ17" s="69">
        <f>SUM(CZ6:CZ16)</f>
        <v>0</v>
      </c>
      <c r="DA17" s="69">
        <f>SUM(DA6:DA16)</f>
        <v>0</v>
      </c>
      <c r="DB17" s="69">
        <f>SUM(DB6:DB16)</f>
        <v>0</v>
      </c>
      <c r="DC17" s="15" t="e">
        <f>(CY17-DB17)/CY17</f>
        <v>#DIV/0!</v>
      </c>
      <c r="DD17" s="69">
        <f>SUM(DD6:DD16)</f>
        <v>0</v>
      </c>
      <c r="DE17" s="62" t="e">
        <f t="shared" si="22"/>
        <v>#DIV/0!</v>
      </c>
      <c r="DF17" s="288"/>
      <c r="DG17" s="289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</row>
    <row r="18" spans="1:135" s="21" customFormat="1" ht="13" customHeight="1">
      <c r="A18" s="188">
        <v>1.32</v>
      </c>
      <c r="B18" s="165" t="s">
        <v>19</v>
      </c>
      <c r="C18" s="187">
        <f>C17*$A$18</f>
        <v>5521408.0284000002</v>
      </c>
      <c r="D18" s="187">
        <f t="shared" ref="D18:E18" si="38">D17*$A$18</f>
        <v>813099.47400000016</v>
      </c>
      <c r="E18" s="187">
        <f t="shared" si="38"/>
        <v>4708356.4572000001</v>
      </c>
      <c r="F18" s="187">
        <f>F17*$A$18</f>
        <v>4407685.0884000007</v>
      </c>
      <c r="G18" s="217"/>
      <c r="H18" s="187">
        <f>H17*$A$18</f>
        <v>0</v>
      </c>
      <c r="I18" s="217"/>
      <c r="J18" s="191">
        <f>SUM(J6:J16)</f>
        <v>4407685.0884000007</v>
      </c>
      <c r="K18" s="218"/>
      <c r="L18" s="219">
        <f>L17*$A$18</f>
        <v>472178.37480000005</v>
      </c>
      <c r="M18" s="187">
        <f t="shared" ref="M18" si="39">M17*$A$18</f>
        <v>138507.00600000002</v>
      </c>
      <c r="N18" s="187">
        <f t="shared" ref="N18" si="40">N17*$A$18</f>
        <v>333671.3688</v>
      </c>
      <c r="O18" s="187">
        <f t="shared" ref="O18" si="41">O17*$A$18</f>
        <v>33000</v>
      </c>
      <c r="P18" s="217"/>
      <c r="Q18" s="187">
        <f>Q17*$A$18</f>
        <v>0</v>
      </c>
      <c r="R18" s="220"/>
      <c r="S18" s="218"/>
      <c r="T18" s="219">
        <f>T17*$A$18</f>
        <v>378845.00280000002</v>
      </c>
      <c r="U18" s="187">
        <f t="shared" ref="U18" si="42">U17*$A$18</f>
        <v>47002.23</v>
      </c>
      <c r="V18" s="187">
        <f t="shared" ref="V18" si="43">V17*$A$18</f>
        <v>331842.77279999998</v>
      </c>
      <c r="W18" s="187">
        <f t="shared" ref="W18" si="44">W17*$A$18</f>
        <v>331842.77279999998</v>
      </c>
      <c r="X18" s="217"/>
      <c r="Y18" s="187">
        <f>Y17*$A$18</f>
        <v>0</v>
      </c>
      <c r="Z18" s="220"/>
      <c r="AA18" s="218"/>
      <c r="AB18" s="219">
        <f>AB17*$A$18</f>
        <v>159575.856</v>
      </c>
      <c r="AC18" s="187">
        <f t="shared" ref="AC18" si="45">AC17*$A$18</f>
        <v>15589.2</v>
      </c>
      <c r="AD18" s="187">
        <f t="shared" ref="AD18" si="46">AD17*$A$18</f>
        <v>143986.65600000002</v>
      </c>
      <c r="AE18" s="187">
        <f t="shared" ref="AE18" si="47">AE17*$A$18</f>
        <v>143986.65600000002</v>
      </c>
      <c r="AF18" s="217"/>
      <c r="AG18" s="187">
        <f>AG17*$A$18</f>
        <v>0</v>
      </c>
      <c r="AH18" s="220"/>
      <c r="AI18" s="218"/>
      <c r="AJ18" s="219">
        <f>AJ17*$A$18</f>
        <v>349056.12720000005</v>
      </c>
      <c r="AK18" s="187">
        <f t="shared" ref="AK18" si="48">AK17*$A$18</f>
        <v>35628.555600000007</v>
      </c>
      <c r="AL18" s="187">
        <f t="shared" ref="AL18" si="49">AL17*$A$18</f>
        <v>313427.57160000002</v>
      </c>
      <c r="AM18" s="187">
        <f t="shared" ref="AM18" si="50">AM17*$A$18</f>
        <v>313427.57160000002</v>
      </c>
      <c r="AN18" s="217"/>
      <c r="AO18" s="187">
        <f>AO17*$A$18</f>
        <v>0</v>
      </c>
      <c r="AP18" s="220"/>
      <c r="AQ18" s="218"/>
      <c r="AR18" s="219">
        <f>AR17*$A$18</f>
        <v>408822.86280000006</v>
      </c>
      <c r="AS18" s="187">
        <f t="shared" ref="AS18" si="51">AS17*$A$18</f>
        <v>56553.420000000006</v>
      </c>
      <c r="AT18" s="187">
        <f t="shared" ref="AT18" si="52">AT17*$A$18</f>
        <v>352269.44280000008</v>
      </c>
      <c r="AU18" s="187">
        <f t="shared" ref="AU18" si="53">AU17*$A$18</f>
        <v>352269.44280000008</v>
      </c>
      <c r="AV18" s="217"/>
      <c r="AW18" s="187">
        <f>AW17*$A$18</f>
        <v>0</v>
      </c>
      <c r="AX18" s="220"/>
      <c r="AY18" s="218"/>
      <c r="AZ18" s="219">
        <f>AZ17*$A$18</f>
        <v>954648.12959999999</v>
      </c>
      <c r="BA18" s="187">
        <f t="shared" ref="BA18" si="54">BA17*$A$18</f>
        <v>112333.32</v>
      </c>
      <c r="BB18" s="187">
        <f t="shared" ref="BB18" si="55">BB17*$A$18</f>
        <v>842314.80959999992</v>
      </c>
      <c r="BC18" s="187">
        <f t="shared" ref="BC18" si="56">BC17*$A$18</f>
        <v>842314.80959999992</v>
      </c>
      <c r="BD18" s="217"/>
      <c r="BE18" s="187">
        <f>BE17*$A$18</f>
        <v>0</v>
      </c>
      <c r="BF18" s="220"/>
      <c r="BG18" s="218"/>
      <c r="BH18" s="219">
        <f>BH17*$A$18</f>
        <v>927052.03800000006</v>
      </c>
      <c r="BI18" s="187">
        <f t="shared" ref="BI18" si="57">BI17*$A$18</f>
        <v>121893.288</v>
      </c>
      <c r="BJ18" s="187">
        <f t="shared" ref="BJ18" si="58">BJ17*$A$18</f>
        <v>805206.29640000011</v>
      </c>
      <c r="BK18" s="187">
        <f t="shared" ref="BK18" si="59">BK17*$A$18</f>
        <v>805206.29640000011</v>
      </c>
      <c r="BL18" s="217"/>
      <c r="BM18" s="187">
        <f>BM17*$A$18</f>
        <v>0</v>
      </c>
      <c r="BN18" s="220"/>
      <c r="BO18" s="191">
        <f>SUM(BO6:BO16)</f>
        <v>805206.29640000011</v>
      </c>
      <c r="BP18" s="218"/>
      <c r="BQ18" s="219">
        <f>BQ17*$A$18</f>
        <v>871678.72439999995</v>
      </c>
      <c r="BR18" s="187">
        <f t="shared" ref="BR18" si="60">BR17*$A$18</f>
        <v>136887.4584</v>
      </c>
      <c r="BS18" s="187">
        <f t="shared" ref="BS18" si="61">BS17*$A$18</f>
        <v>734791.26600000006</v>
      </c>
      <c r="BT18" s="187">
        <f t="shared" ref="BT18" si="62">BT17*$A$18</f>
        <v>734791.26600000006</v>
      </c>
      <c r="BU18" s="217"/>
      <c r="BV18" s="187">
        <f>BV17*$A$18</f>
        <v>0</v>
      </c>
      <c r="BW18" s="220"/>
      <c r="BX18" s="191">
        <f>SUM(BX6:BX16)</f>
        <v>734791.26600000006</v>
      </c>
      <c r="BY18" s="218"/>
      <c r="BZ18" s="219">
        <f>BZ17*$A$18</f>
        <v>999550.91279999993</v>
      </c>
      <c r="CA18" s="187">
        <f t="shared" ref="CA18" si="63">CA17*$A$18</f>
        <v>148704.99600000001</v>
      </c>
      <c r="CB18" s="187">
        <f>CB17*$A$18</f>
        <v>850846.27320000005</v>
      </c>
      <c r="CC18" s="187">
        <f>CC17*$A$18</f>
        <v>850846.27320000005</v>
      </c>
      <c r="CD18" s="217"/>
      <c r="CE18" s="187">
        <f>CE17*$A$18</f>
        <v>0</v>
      </c>
      <c r="CF18" s="220"/>
      <c r="CG18" s="191">
        <f>SUM(CG6:CG16)</f>
        <v>850846.27319999994</v>
      </c>
      <c r="CH18" s="218"/>
      <c r="CI18" s="219">
        <f>CI17*$A$18</f>
        <v>0</v>
      </c>
      <c r="CJ18" s="187">
        <f t="shared" ref="CJ18" si="64">CJ17*$A$18</f>
        <v>0</v>
      </c>
      <c r="CK18" s="187">
        <f t="shared" ref="CK18" si="65">CK17*$A$18</f>
        <v>0</v>
      </c>
      <c r="CL18" s="187">
        <f t="shared" ref="CL18" si="66">CL17*$A$18</f>
        <v>0</v>
      </c>
      <c r="CM18" s="217"/>
      <c r="CN18" s="187">
        <f>CN17*$A$18</f>
        <v>0</v>
      </c>
      <c r="CO18" s="220"/>
      <c r="CP18" s="218"/>
      <c r="CQ18" s="219">
        <f>CQ17*$A$18</f>
        <v>0</v>
      </c>
      <c r="CR18" s="187">
        <f t="shared" ref="CR18" si="67">CR17*$A$18</f>
        <v>0</v>
      </c>
      <c r="CS18" s="187">
        <f t="shared" ref="CS18" si="68">CS17*$A$18</f>
        <v>0</v>
      </c>
      <c r="CT18" s="187">
        <f t="shared" ref="CT18" si="69">CT17*$A$18</f>
        <v>0</v>
      </c>
      <c r="CU18" s="217"/>
      <c r="CV18" s="187">
        <f>CV17*$A$18</f>
        <v>0</v>
      </c>
      <c r="CW18" s="220"/>
      <c r="CX18" s="218"/>
      <c r="CY18" s="219">
        <f>CY17*$A$18</f>
        <v>0</v>
      </c>
      <c r="CZ18" s="187">
        <f t="shared" ref="CZ18" si="70">CZ17*$A$18</f>
        <v>0</v>
      </c>
      <c r="DA18" s="187">
        <f t="shared" ref="DA18" si="71">DA17*$A$18</f>
        <v>0</v>
      </c>
      <c r="DB18" s="187">
        <f t="shared" ref="DB18" si="72">DB17*$A$18</f>
        <v>0</v>
      </c>
      <c r="DC18" s="217"/>
      <c r="DD18" s="187">
        <f>DD17*$A$18</f>
        <v>0</v>
      </c>
      <c r="DE18" s="220"/>
      <c r="DF18" s="8"/>
      <c r="DG18" s="287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</row>
    <row r="19" spans="1:135" s="7" customFormat="1" ht="13" customHeight="1">
      <c r="A19" s="329" t="s">
        <v>20</v>
      </c>
      <c r="B19" s="48" t="s">
        <v>12</v>
      </c>
      <c r="C19" s="46">
        <f>SUM(L19,T19,AB19,AJ19,AR19,AZ19,BH19,BQ19,BZ19,CI19,CQ19,CY19)</f>
        <v>1228341.25</v>
      </c>
      <c r="D19" s="46">
        <f t="shared" ref="D19:D28" si="73">SUM(M19,U19,AC19,AK19,AS19,BA19,BI19,BR19,CA19,CJ19,CR19,CZ19)</f>
        <v>437436.60450000002</v>
      </c>
      <c r="E19" s="46">
        <f t="shared" ref="E19:E28" si="74">SUM(N19,V19,AD19,AL19,AT19,BB19,BJ19,BS19,CB19,CK19,CS19,DA19)</f>
        <v>790904.65549999999</v>
      </c>
      <c r="F19" s="46">
        <f t="shared" ref="F19:F28" si="75">SUM(O19,W19,AE19,AM19,AU19,BC19,BK19,BT19,CC19,CL19,CT19,DB19)</f>
        <v>790904.65549999999</v>
      </c>
      <c r="G19" s="128">
        <f>D19/C19</f>
        <v>0.35611977086986213</v>
      </c>
      <c r="H19" s="198">
        <f>SUM(Q19,Y19,AG19,AO19,AW19,BE19,BM19,BV19,CE19,CN19,CV19,DD19)</f>
        <v>0</v>
      </c>
      <c r="I19" s="14">
        <f>H19/C19</f>
        <v>0</v>
      </c>
      <c r="J19" s="190">
        <f>F19*$A$31</f>
        <v>1328719.82124</v>
      </c>
      <c r="K19" s="92"/>
      <c r="L19" s="54">
        <v>0</v>
      </c>
      <c r="M19" s="46">
        <v>0</v>
      </c>
      <c r="N19" s="46">
        <v>0</v>
      </c>
      <c r="O19" s="46">
        <v>0</v>
      </c>
      <c r="P19" s="52" t="e">
        <v>#DIV/0!</v>
      </c>
      <c r="Q19" s="55">
        <v>0</v>
      </c>
      <c r="R19" s="53" t="e">
        <v>#DIV/0!</v>
      </c>
      <c r="S19" s="92"/>
      <c r="T19" s="137">
        <v>2500</v>
      </c>
      <c r="U19" s="55">
        <v>1225</v>
      </c>
      <c r="V19" s="55">
        <v>1275</v>
      </c>
      <c r="W19" s="55">
        <v>1275</v>
      </c>
      <c r="X19" s="66">
        <f>(T19-V19)/T19</f>
        <v>0.49</v>
      </c>
      <c r="Y19" s="55">
        <v>0</v>
      </c>
      <c r="Z19" s="67">
        <f t="shared" si="6"/>
        <v>0</v>
      </c>
      <c r="AA19" s="92"/>
      <c r="AB19" s="137">
        <v>0</v>
      </c>
      <c r="AC19" s="55">
        <v>0</v>
      </c>
      <c r="AD19" s="55">
        <v>0</v>
      </c>
      <c r="AE19" s="55">
        <v>0</v>
      </c>
      <c r="AF19" s="66" t="e">
        <f>(AB19-AD19)/AB19</f>
        <v>#DIV/0!</v>
      </c>
      <c r="AG19" s="55">
        <v>0</v>
      </c>
      <c r="AH19" s="67" t="e">
        <f>AG19/AB19</f>
        <v>#DIV/0!</v>
      </c>
      <c r="AI19" s="92"/>
      <c r="AJ19" s="54">
        <v>87344</v>
      </c>
      <c r="AK19" s="46">
        <v>47213.97</v>
      </c>
      <c r="AL19" s="46">
        <v>40130.03</v>
      </c>
      <c r="AM19" s="46">
        <v>40130.03</v>
      </c>
      <c r="AN19" s="52">
        <f>(AJ19-AL19)/AJ19</f>
        <v>0.54055195548635282</v>
      </c>
      <c r="AO19" s="55">
        <v>0</v>
      </c>
      <c r="AP19" s="53">
        <f t="shared" ref="AP19:AP29" si="76">AO19/AJ19</f>
        <v>0</v>
      </c>
      <c r="AQ19" s="92"/>
      <c r="AR19" s="137">
        <v>37758</v>
      </c>
      <c r="AS19" s="55">
        <v>26740.47</v>
      </c>
      <c r="AT19" s="55">
        <v>11017.53</v>
      </c>
      <c r="AU19" s="55">
        <v>11017.53</v>
      </c>
      <c r="AV19" s="66">
        <f>(AR19-AT19)/AR19</f>
        <v>0.70820673764500242</v>
      </c>
      <c r="AW19" s="55">
        <v>0</v>
      </c>
      <c r="AX19" s="67">
        <f t="shared" si="9"/>
        <v>0</v>
      </c>
      <c r="AY19" s="92"/>
      <c r="AZ19" s="137">
        <v>382860.75</v>
      </c>
      <c r="BA19" s="55">
        <v>95931.664500000014</v>
      </c>
      <c r="BB19" s="55">
        <v>286929.08549999999</v>
      </c>
      <c r="BC19" s="55">
        <v>286929.08549999999</v>
      </c>
      <c r="BD19" s="66">
        <f t="shared" si="10"/>
        <v>0.25056541967281842</v>
      </c>
      <c r="BE19" s="55">
        <v>0</v>
      </c>
      <c r="BF19" s="67">
        <f t="shared" si="11"/>
        <v>0</v>
      </c>
      <c r="BG19" s="92"/>
      <c r="BH19" s="229">
        <v>511709</v>
      </c>
      <c r="BI19" s="230">
        <v>188925.11</v>
      </c>
      <c r="BJ19" s="230">
        <v>322783.90000000002</v>
      </c>
      <c r="BK19" s="230">
        <v>322783.90000000002</v>
      </c>
      <c r="BL19" s="66">
        <f>(BH19-BJ19)/BH19</f>
        <v>0.3692041765925555</v>
      </c>
      <c r="BM19" s="230">
        <v>0</v>
      </c>
      <c r="BN19" s="67">
        <f t="shared" ref="BN19:BN30" si="77">BM19/BH19</f>
        <v>0</v>
      </c>
      <c r="BO19" s="190">
        <f>BK19*$A$31</f>
        <v>542276.95200000005</v>
      </c>
      <c r="BP19" s="92"/>
      <c r="BQ19" s="137">
        <v>206169.5</v>
      </c>
      <c r="BR19" s="55">
        <v>77400.39</v>
      </c>
      <c r="BS19" s="55">
        <v>128769.11</v>
      </c>
      <c r="BT19" s="55">
        <v>128769.11</v>
      </c>
      <c r="BU19" s="66">
        <f>(BQ19-BS19)/BQ19</f>
        <v>0.37542114619281708</v>
      </c>
      <c r="BV19" s="55">
        <v>0</v>
      </c>
      <c r="BW19" s="67">
        <f t="shared" si="14"/>
        <v>0</v>
      </c>
      <c r="BX19" s="294">
        <f>BT19*$A$31</f>
        <v>216332.1048</v>
      </c>
      <c r="BY19" s="92"/>
      <c r="BZ19" s="137">
        <v>0</v>
      </c>
      <c r="CA19" s="55">
        <v>0</v>
      </c>
      <c r="CB19" s="55">
        <v>0</v>
      </c>
      <c r="CC19" s="55">
        <v>0</v>
      </c>
      <c r="CD19" s="66" t="e">
        <f>(BZ19-CB19)/BZ19</f>
        <v>#DIV/0!</v>
      </c>
      <c r="CE19" s="55">
        <v>0</v>
      </c>
      <c r="CF19" s="67" t="e">
        <f t="shared" si="16"/>
        <v>#DIV/0!</v>
      </c>
      <c r="CG19" s="294">
        <f>CC19*$A$31</f>
        <v>0</v>
      </c>
      <c r="CH19" s="92"/>
      <c r="CI19" s="135">
        <v>0</v>
      </c>
      <c r="CJ19" s="136">
        <v>0</v>
      </c>
      <c r="CK19" s="136">
        <v>0</v>
      </c>
      <c r="CL19" s="136">
        <v>0</v>
      </c>
      <c r="CM19" s="121" t="e">
        <f>(CI19-CK19)/CI19</f>
        <v>#DIV/0!</v>
      </c>
      <c r="CN19" s="136"/>
      <c r="CO19" s="122" t="e">
        <f t="shared" si="18"/>
        <v>#DIV/0!</v>
      </c>
      <c r="CP19" s="92"/>
      <c r="CQ19" s="135">
        <v>0</v>
      </c>
      <c r="CR19" s="136">
        <v>0</v>
      </c>
      <c r="CS19" s="136">
        <v>0</v>
      </c>
      <c r="CT19" s="136">
        <v>0</v>
      </c>
      <c r="CU19" s="121" t="e">
        <f>(CQ19-CS19)/CQ19</f>
        <v>#DIV/0!</v>
      </c>
      <c r="CV19" s="136"/>
      <c r="CW19" s="122" t="e">
        <f t="shared" si="20"/>
        <v>#DIV/0!</v>
      </c>
      <c r="CX19" s="92"/>
      <c r="CY19" s="135">
        <v>0</v>
      </c>
      <c r="CZ19" s="136">
        <v>0</v>
      </c>
      <c r="DA19" s="136">
        <v>0</v>
      </c>
      <c r="DB19" s="136">
        <v>0</v>
      </c>
      <c r="DC19" s="121" t="e">
        <f>(CY19-DA19)/CY19</f>
        <v>#DIV/0!</v>
      </c>
      <c r="DD19" s="136"/>
      <c r="DE19" s="122" t="e">
        <f t="shared" si="22"/>
        <v>#DIV/0!</v>
      </c>
      <c r="DF19" s="6"/>
      <c r="DG19" s="289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</row>
    <row r="20" spans="1:135" s="7" customFormat="1" ht="13" customHeight="1">
      <c r="A20" s="330"/>
      <c r="B20" s="49" t="s">
        <v>13</v>
      </c>
      <c r="C20" s="46">
        <f t="shared" ref="C20:C28" si="78">SUM(L20,T20,AB20,AJ20,AR20,AZ20,BH20,BQ20,BZ20,CI20,CQ20,CY20)</f>
        <v>739667.47487346944</v>
      </c>
      <c r="D20" s="46">
        <f t="shared" si="73"/>
        <v>40952.090462040826</v>
      </c>
      <c r="E20" s="46">
        <f t="shared" si="74"/>
        <v>698715.44441142841</v>
      </c>
      <c r="F20" s="46">
        <f t="shared" si="75"/>
        <v>698715.44441142841</v>
      </c>
      <c r="G20" s="128">
        <f t="shared" ref="G20:G28" si="79">D20/C20</f>
        <v>5.5365541751104114E-2</v>
      </c>
      <c r="H20" s="198">
        <f t="shared" ref="H20:H28" si="80">SUM(Q20,Y20,AG20,AO20,AW20,BE20,BM20,BV20,CE20,CN20,CV20,DD20)</f>
        <v>0</v>
      </c>
      <c r="I20" s="14">
        <f t="shared" ref="I20" si="81">H20/C20</f>
        <v>0</v>
      </c>
      <c r="J20" s="190">
        <f>F20*$A$31</f>
        <v>1173841.9466111998</v>
      </c>
      <c r="K20" s="92"/>
      <c r="L20" s="54">
        <v>29421.200000000001</v>
      </c>
      <c r="M20" s="46">
        <v>11802.05</v>
      </c>
      <c r="N20" s="46">
        <v>17619.150000000001</v>
      </c>
      <c r="O20" s="46">
        <v>17619.150000000001</v>
      </c>
      <c r="P20" s="52">
        <v>0.40114101396272073</v>
      </c>
      <c r="Q20" s="55">
        <v>0</v>
      </c>
      <c r="R20" s="53">
        <v>1</v>
      </c>
      <c r="S20" s="92"/>
      <c r="T20" s="137">
        <v>61523.384873469389</v>
      </c>
      <c r="U20" s="55">
        <v>12319.980462040818</v>
      </c>
      <c r="V20" s="55">
        <v>49203.404411428572</v>
      </c>
      <c r="W20" s="55">
        <v>49203.404411428572</v>
      </c>
      <c r="X20" s="66">
        <f t="shared" ref="X20:X27" si="82">(T20-V20)/T20</f>
        <v>0.20024874261028411</v>
      </c>
      <c r="Y20" s="55">
        <v>0</v>
      </c>
      <c r="Z20" s="67">
        <f t="shared" si="6"/>
        <v>0</v>
      </c>
      <c r="AA20" s="92"/>
      <c r="AB20" s="137">
        <v>126226.26999999999</v>
      </c>
      <c r="AC20" s="55">
        <v>43593.75</v>
      </c>
      <c r="AD20" s="55">
        <v>82632.51999999999</v>
      </c>
      <c r="AE20" s="55">
        <v>82632.51999999999</v>
      </c>
      <c r="AF20" s="66">
        <f>(AB20-AD20)/AB20</f>
        <v>0.34536194407075488</v>
      </c>
      <c r="AG20" s="55">
        <v>0</v>
      </c>
      <c r="AH20" s="67">
        <f>AG20/AB20</f>
        <v>0</v>
      </c>
      <c r="AI20" s="92"/>
      <c r="AJ20" s="54">
        <v>85310.650000000009</v>
      </c>
      <c r="AK20" s="46">
        <v>0</v>
      </c>
      <c r="AL20" s="46">
        <v>85310.650000000009</v>
      </c>
      <c r="AM20" s="46">
        <v>85310.650000000009</v>
      </c>
      <c r="AN20" s="52">
        <f>(AJ20-AL20)/AJ20</f>
        <v>0</v>
      </c>
      <c r="AO20" s="55">
        <v>0</v>
      </c>
      <c r="AP20" s="53">
        <f t="shared" si="76"/>
        <v>0</v>
      </c>
      <c r="AQ20" s="92"/>
      <c r="AR20" s="137">
        <v>35843.175000000003</v>
      </c>
      <c r="AS20" s="55">
        <v>0</v>
      </c>
      <c r="AT20" s="55">
        <v>35843.175000000003</v>
      </c>
      <c r="AU20" s="55">
        <v>35843.175000000003</v>
      </c>
      <c r="AV20" s="66">
        <f t="shared" ref="AV20:AV29" si="83">(AR20-AT20)/AR20</f>
        <v>0</v>
      </c>
      <c r="AW20" s="55">
        <v>0</v>
      </c>
      <c r="AX20" s="67">
        <f t="shared" si="9"/>
        <v>0</v>
      </c>
      <c r="AY20" s="92"/>
      <c r="AZ20" s="137">
        <v>76988.165000000008</v>
      </c>
      <c r="BA20" s="55">
        <v>0</v>
      </c>
      <c r="BB20" s="55">
        <v>76988.165000000008</v>
      </c>
      <c r="BC20" s="55">
        <v>76988.165000000008</v>
      </c>
      <c r="BD20" s="66">
        <f t="shared" si="10"/>
        <v>0</v>
      </c>
      <c r="BE20" s="55">
        <v>0</v>
      </c>
      <c r="BF20" s="67">
        <f t="shared" si="11"/>
        <v>0</v>
      </c>
      <c r="BG20" s="92"/>
      <c r="BH20" s="229">
        <v>134398</v>
      </c>
      <c r="BI20" s="230" t="s">
        <v>44</v>
      </c>
      <c r="BJ20" s="230">
        <v>134398.06</v>
      </c>
      <c r="BK20" s="230">
        <v>134398.06</v>
      </c>
      <c r="BL20" s="52">
        <f>(BH20-BJ20)/BH20</f>
        <v>-4.464352147924202E-7</v>
      </c>
      <c r="BM20" s="230">
        <v>0</v>
      </c>
      <c r="BN20" s="67">
        <f t="shared" si="77"/>
        <v>0</v>
      </c>
      <c r="BO20" s="190">
        <f>BK20*$A$31</f>
        <v>225788.7408</v>
      </c>
      <c r="BP20" s="92"/>
      <c r="BQ20" s="137">
        <v>107634.06999999999</v>
      </c>
      <c r="BR20" s="55">
        <v>-26763.689999999988</v>
      </c>
      <c r="BS20" s="55">
        <v>134397.75999999998</v>
      </c>
      <c r="BT20" s="55">
        <v>134397.75999999998</v>
      </c>
      <c r="BU20" s="66">
        <f>(BQ20-BS20)/BQ20</f>
        <v>-0.24865444556728172</v>
      </c>
      <c r="BV20" s="55">
        <v>0</v>
      </c>
      <c r="BW20" s="67">
        <f t="shared" si="14"/>
        <v>0</v>
      </c>
      <c r="BX20" s="294">
        <f>BT20*$A$31</f>
        <v>225788.23679999996</v>
      </c>
      <c r="BY20" s="92"/>
      <c r="BZ20" s="137">
        <v>82322.559999999998</v>
      </c>
      <c r="CA20" s="55">
        <v>0</v>
      </c>
      <c r="CB20" s="55">
        <v>82322.559999999998</v>
      </c>
      <c r="CC20" s="55">
        <v>82322.559999999998</v>
      </c>
      <c r="CD20" s="66">
        <f t="shared" ref="CD20:CD29" si="84">(BZ20-CB20)/BZ20</f>
        <v>0</v>
      </c>
      <c r="CE20" s="55">
        <v>0</v>
      </c>
      <c r="CF20" s="67">
        <f t="shared" si="16"/>
        <v>0</v>
      </c>
      <c r="CG20" s="294">
        <f>CC20*$A$31</f>
        <v>138301.9008</v>
      </c>
      <c r="CH20" s="92"/>
      <c r="CI20" s="135">
        <v>0</v>
      </c>
      <c r="CJ20" s="136">
        <v>0</v>
      </c>
      <c r="CK20" s="136">
        <v>0</v>
      </c>
      <c r="CL20" s="136">
        <v>0</v>
      </c>
      <c r="CM20" s="121" t="e">
        <f t="shared" ref="CM20:CM29" si="85">(CI20-CK20)/CI20</f>
        <v>#DIV/0!</v>
      </c>
      <c r="CN20" s="136"/>
      <c r="CO20" s="122" t="e">
        <f t="shared" si="18"/>
        <v>#DIV/0!</v>
      </c>
      <c r="CP20" s="92"/>
      <c r="CQ20" s="135">
        <v>0</v>
      </c>
      <c r="CR20" s="136">
        <v>0</v>
      </c>
      <c r="CS20" s="136">
        <v>0</v>
      </c>
      <c r="CT20" s="136">
        <v>0</v>
      </c>
      <c r="CU20" s="121" t="e">
        <f t="shared" ref="CU20:CU29" si="86">(CQ20-CS20)/CQ20</f>
        <v>#DIV/0!</v>
      </c>
      <c r="CV20" s="136"/>
      <c r="CW20" s="122" t="e">
        <f t="shared" si="20"/>
        <v>#DIV/0!</v>
      </c>
      <c r="CX20" s="92"/>
      <c r="CY20" s="135">
        <v>0</v>
      </c>
      <c r="CZ20" s="136">
        <v>0</v>
      </c>
      <c r="DA20" s="136">
        <v>0</v>
      </c>
      <c r="DB20" s="136">
        <v>0</v>
      </c>
      <c r="DC20" s="121" t="e">
        <f t="shared" ref="DC20:DC29" si="87">(CY20-DA20)/CY20</f>
        <v>#DIV/0!</v>
      </c>
      <c r="DD20" s="136"/>
      <c r="DE20" s="122" t="e">
        <f t="shared" si="22"/>
        <v>#DIV/0!</v>
      </c>
      <c r="DF20" s="6"/>
      <c r="DG20" s="289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</row>
    <row r="21" spans="1:135" s="7" customFormat="1" ht="13" customHeight="1">
      <c r="A21" s="330"/>
      <c r="B21" s="49" t="s">
        <v>62</v>
      </c>
      <c r="C21" s="46"/>
      <c r="D21" s="46"/>
      <c r="E21" s="46"/>
      <c r="F21" s="46"/>
      <c r="G21" s="128"/>
      <c r="H21" s="198"/>
      <c r="I21" s="14"/>
      <c r="J21" s="190"/>
      <c r="K21" s="92"/>
      <c r="L21" s="54"/>
      <c r="M21" s="46"/>
      <c r="N21" s="46"/>
      <c r="O21" s="46"/>
      <c r="P21" s="52"/>
      <c r="Q21" s="55"/>
      <c r="R21" s="53"/>
      <c r="S21" s="92"/>
      <c r="T21" s="137"/>
      <c r="U21" s="55"/>
      <c r="V21" s="55"/>
      <c r="W21" s="55"/>
      <c r="X21" s="66"/>
      <c r="Y21" s="55"/>
      <c r="Z21" s="67"/>
      <c r="AA21" s="92"/>
      <c r="AB21" s="137"/>
      <c r="AC21" s="55"/>
      <c r="AD21" s="55"/>
      <c r="AE21" s="55"/>
      <c r="AF21" s="66"/>
      <c r="AG21" s="55"/>
      <c r="AH21" s="67"/>
      <c r="AI21" s="92"/>
      <c r="AJ21" s="54"/>
      <c r="AK21" s="46"/>
      <c r="AL21" s="46"/>
      <c r="AM21" s="46"/>
      <c r="AN21" s="52"/>
      <c r="AO21" s="55"/>
      <c r="AP21" s="53"/>
      <c r="AQ21" s="92"/>
      <c r="AR21" s="137"/>
      <c r="AS21" s="55"/>
      <c r="AT21" s="55"/>
      <c r="AU21" s="55"/>
      <c r="AV21" s="66"/>
      <c r="AW21" s="55"/>
      <c r="AX21" s="67"/>
      <c r="AY21" s="92"/>
      <c r="AZ21" s="137"/>
      <c r="BA21" s="55"/>
      <c r="BB21" s="55"/>
      <c r="BC21" s="55"/>
      <c r="BD21" s="66"/>
      <c r="BE21" s="55"/>
      <c r="BF21" s="67"/>
      <c r="BG21" s="92"/>
      <c r="BH21" s="229"/>
      <c r="BI21" s="230"/>
      <c r="BJ21" s="230"/>
      <c r="BK21" s="230"/>
      <c r="BL21" s="52"/>
      <c r="BM21" s="230"/>
      <c r="BN21" s="67"/>
      <c r="BO21" s="190"/>
      <c r="BP21" s="92"/>
      <c r="BQ21" s="137"/>
      <c r="BR21" s="55"/>
      <c r="BS21" s="55"/>
      <c r="BT21" s="55"/>
      <c r="BU21" s="66"/>
      <c r="BV21" s="55"/>
      <c r="BW21" s="67"/>
      <c r="BX21" s="294"/>
      <c r="BY21" s="92"/>
      <c r="BZ21" s="137"/>
      <c r="CA21" s="55"/>
      <c r="CB21" s="55"/>
      <c r="CC21" s="55"/>
      <c r="CD21" s="66"/>
      <c r="CE21" s="55"/>
      <c r="CF21" s="67"/>
      <c r="CG21" s="294"/>
      <c r="CH21" s="92"/>
      <c r="CI21" s="135"/>
      <c r="CJ21" s="136"/>
      <c r="CK21" s="136"/>
      <c r="CL21" s="136"/>
      <c r="CM21" s="121"/>
      <c r="CN21" s="136"/>
      <c r="CO21" s="122"/>
      <c r="CP21" s="92"/>
      <c r="CQ21" s="135"/>
      <c r="CR21" s="136"/>
      <c r="CS21" s="136"/>
      <c r="CT21" s="136"/>
      <c r="CU21" s="121"/>
      <c r="CV21" s="136"/>
      <c r="CW21" s="122"/>
      <c r="CX21" s="92"/>
      <c r="CY21" s="135"/>
      <c r="CZ21" s="136"/>
      <c r="DA21" s="136"/>
      <c r="DB21" s="136"/>
      <c r="DC21" s="121"/>
      <c r="DD21" s="136"/>
      <c r="DE21" s="122"/>
      <c r="DF21" s="6"/>
      <c r="DG21" s="289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</row>
    <row r="22" spans="1:135" s="7" customFormat="1" ht="13" customHeight="1">
      <c r="A22" s="330"/>
      <c r="B22" s="49" t="s">
        <v>40</v>
      </c>
      <c r="C22" s="45"/>
      <c r="D22" s="45"/>
      <c r="E22" s="45"/>
      <c r="F22" s="45"/>
      <c r="G22" s="14"/>
      <c r="H22" s="198"/>
      <c r="I22" s="14"/>
      <c r="J22" s="190"/>
      <c r="K22" s="90"/>
      <c r="L22" s="51"/>
      <c r="M22" s="45"/>
      <c r="N22" s="45"/>
      <c r="O22" s="45"/>
      <c r="P22" s="52"/>
      <c r="Q22" s="45"/>
      <c r="R22" s="53"/>
      <c r="S22" s="90"/>
      <c r="T22" s="130"/>
      <c r="U22" s="131"/>
      <c r="V22" s="131"/>
      <c r="W22" s="131"/>
      <c r="X22" s="66"/>
      <c r="Y22" s="131"/>
      <c r="Z22" s="67"/>
      <c r="AA22" s="90"/>
      <c r="AB22" s="51"/>
      <c r="AC22" s="45"/>
      <c r="AD22" s="45"/>
      <c r="AE22" s="45"/>
      <c r="AF22" s="52"/>
      <c r="AG22" s="131"/>
      <c r="AH22" s="53"/>
      <c r="AI22" s="90"/>
      <c r="AJ22" s="130"/>
      <c r="AK22" s="131"/>
      <c r="AL22" s="131"/>
      <c r="AM22" s="131"/>
      <c r="AN22" s="66"/>
      <c r="AO22" s="131"/>
      <c r="AP22" s="67"/>
      <c r="AQ22" s="90"/>
      <c r="AR22" s="130"/>
      <c r="AS22" s="131"/>
      <c r="AT22" s="131"/>
      <c r="AU22" s="131"/>
      <c r="AV22" s="66"/>
      <c r="AW22" s="131"/>
      <c r="AX22" s="67"/>
      <c r="AY22" s="90"/>
      <c r="AZ22" s="130"/>
      <c r="BA22" s="131"/>
      <c r="BB22" s="131"/>
      <c r="BC22" s="131"/>
      <c r="BD22" s="66"/>
      <c r="BE22" s="131"/>
      <c r="BF22" s="67"/>
      <c r="BG22" s="90"/>
      <c r="BH22" s="229"/>
      <c r="BI22" s="230"/>
      <c r="BJ22" s="230"/>
      <c r="BK22" s="230"/>
      <c r="BL22" s="66"/>
      <c r="BM22" s="230"/>
      <c r="BN22" s="67"/>
      <c r="BO22" s="190"/>
      <c r="BP22" s="90"/>
      <c r="BQ22" s="130"/>
      <c r="BR22" s="131"/>
      <c r="BS22" s="131"/>
      <c r="BT22" s="131"/>
      <c r="BU22" s="66"/>
      <c r="BV22" s="131"/>
      <c r="BW22" s="67"/>
      <c r="BX22" s="294"/>
      <c r="BY22" s="90"/>
      <c r="BZ22" s="130"/>
      <c r="CA22" s="131"/>
      <c r="CB22" s="131"/>
      <c r="CC22" s="131"/>
      <c r="CD22" s="66"/>
      <c r="CE22" s="131"/>
      <c r="CF22" s="67"/>
      <c r="CG22" s="294"/>
      <c r="CH22" s="90"/>
      <c r="CI22" s="133"/>
      <c r="CJ22" s="134"/>
      <c r="CK22" s="134"/>
      <c r="CL22" s="134"/>
      <c r="CM22" s="121"/>
      <c r="CN22" s="134"/>
      <c r="CO22" s="122"/>
      <c r="CP22" s="90"/>
      <c r="CQ22" s="133"/>
      <c r="CR22" s="134"/>
      <c r="CS22" s="134"/>
      <c r="CT22" s="134"/>
      <c r="CU22" s="121"/>
      <c r="CV22" s="134"/>
      <c r="CW22" s="122"/>
      <c r="CX22" s="90"/>
      <c r="CY22" s="133"/>
      <c r="CZ22" s="134"/>
      <c r="DA22" s="134"/>
      <c r="DB22" s="134"/>
      <c r="DC22" s="121"/>
      <c r="DD22" s="134"/>
      <c r="DE22" s="122"/>
      <c r="DF22" s="6"/>
      <c r="DG22" s="289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</row>
    <row r="23" spans="1:135" s="7" customFormat="1" ht="13" customHeight="1">
      <c r="A23" s="330"/>
      <c r="B23" s="49" t="s">
        <v>41</v>
      </c>
      <c r="C23" s="45"/>
      <c r="D23" s="45"/>
      <c r="E23" s="45"/>
      <c r="F23" s="45"/>
      <c r="G23" s="14"/>
      <c r="H23" s="198">
        <f>F30*9%</f>
        <v>616485.74342538242</v>
      </c>
      <c r="I23" s="14"/>
      <c r="J23" s="190"/>
      <c r="K23" s="90"/>
      <c r="L23" s="51"/>
      <c r="M23" s="45"/>
      <c r="N23" s="45"/>
      <c r="O23" s="45"/>
      <c r="P23" s="52"/>
      <c r="Q23" s="45"/>
      <c r="R23" s="53"/>
      <c r="S23" s="90"/>
      <c r="T23" s="130"/>
      <c r="U23" s="131"/>
      <c r="V23" s="131"/>
      <c r="W23" s="131"/>
      <c r="X23" s="66"/>
      <c r="Y23" s="131"/>
      <c r="Z23" s="67"/>
      <c r="AA23" s="90"/>
      <c r="AB23" s="51"/>
      <c r="AC23" s="45"/>
      <c r="AD23" s="45"/>
      <c r="AE23" s="45"/>
      <c r="AF23" s="52"/>
      <c r="AG23" s="131"/>
      <c r="AH23" s="53"/>
      <c r="AI23" s="90"/>
      <c r="AJ23" s="130"/>
      <c r="AK23" s="131"/>
      <c r="AL23" s="131"/>
      <c r="AM23" s="131"/>
      <c r="AN23" s="66"/>
      <c r="AO23" s="131"/>
      <c r="AP23" s="67"/>
      <c r="AQ23" s="90"/>
      <c r="AR23" s="130"/>
      <c r="AS23" s="131"/>
      <c r="AT23" s="131"/>
      <c r="AU23" s="131"/>
      <c r="AV23" s="66"/>
      <c r="AW23" s="131"/>
      <c r="AX23" s="67"/>
      <c r="AY23" s="90"/>
      <c r="AZ23" s="130"/>
      <c r="BA23" s="131"/>
      <c r="BB23" s="131"/>
      <c r="BC23" s="131"/>
      <c r="BD23" s="66"/>
      <c r="BE23" s="131"/>
      <c r="BF23" s="67"/>
      <c r="BG23" s="90"/>
      <c r="BH23" s="229"/>
      <c r="BI23" s="230"/>
      <c r="BJ23" s="230"/>
      <c r="BK23" s="230"/>
      <c r="BL23" s="66"/>
      <c r="BM23" s="230"/>
      <c r="BN23" s="67"/>
      <c r="BO23" s="190"/>
      <c r="BP23" s="90"/>
      <c r="BQ23" s="130"/>
      <c r="BR23" s="131"/>
      <c r="BS23" s="131"/>
      <c r="BT23" s="131"/>
      <c r="BU23" s="66"/>
      <c r="BV23" s="131"/>
      <c r="BW23" s="67"/>
      <c r="BX23" s="294"/>
      <c r="BY23" s="90"/>
      <c r="BZ23" s="130"/>
      <c r="CA23" s="131"/>
      <c r="CB23" s="131"/>
      <c r="CC23" s="131"/>
      <c r="CD23" s="66"/>
      <c r="CE23" s="131"/>
      <c r="CF23" s="67"/>
      <c r="CG23" s="294"/>
      <c r="CH23" s="90"/>
      <c r="CI23" s="133"/>
      <c r="CJ23" s="134"/>
      <c r="CK23" s="134"/>
      <c r="CL23" s="134"/>
      <c r="CM23" s="121"/>
      <c r="CN23" s="134"/>
      <c r="CO23" s="122"/>
      <c r="CP23" s="90"/>
      <c r="CQ23" s="133"/>
      <c r="CR23" s="134"/>
      <c r="CS23" s="134"/>
      <c r="CT23" s="134"/>
      <c r="CU23" s="121"/>
      <c r="CV23" s="134"/>
      <c r="CW23" s="122"/>
      <c r="CX23" s="90"/>
      <c r="CY23" s="133"/>
      <c r="CZ23" s="134"/>
      <c r="DA23" s="134"/>
      <c r="DB23" s="134"/>
      <c r="DC23" s="121"/>
      <c r="DD23" s="134"/>
      <c r="DE23" s="122"/>
      <c r="DF23" s="6"/>
      <c r="DG23" s="289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</row>
    <row r="24" spans="1:135" s="7" customFormat="1" ht="13" customHeight="1">
      <c r="A24" s="330"/>
      <c r="B24" s="49" t="s">
        <v>42</v>
      </c>
      <c r="C24" s="45"/>
      <c r="D24" s="45"/>
      <c r="E24" s="45"/>
      <c r="F24" s="45"/>
      <c r="G24" s="14"/>
      <c r="H24" s="198">
        <f>H23+F30</f>
        <v>7466327.3370407429</v>
      </c>
      <c r="I24" s="14"/>
      <c r="J24" s="190">
        <f>(J25-F30)/F30</f>
        <v>0.12270000000000002</v>
      </c>
      <c r="K24" s="90"/>
      <c r="L24" s="51"/>
      <c r="M24" s="45"/>
      <c r="N24" s="45"/>
      <c r="O24" s="45"/>
      <c r="P24" s="52"/>
      <c r="Q24" s="45"/>
      <c r="R24" s="53"/>
      <c r="S24" s="90"/>
      <c r="T24" s="130"/>
      <c r="U24" s="131"/>
      <c r="V24" s="131"/>
      <c r="W24" s="131"/>
      <c r="X24" s="66"/>
      <c r="Y24" s="131"/>
      <c r="Z24" s="67"/>
      <c r="AA24" s="90"/>
      <c r="AB24" s="51"/>
      <c r="AC24" s="45"/>
      <c r="AD24" s="45"/>
      <c r="AE24" s="45"/>
      <c r="AF24" s="52"/>
      <c r="AG24" s="131"/>
      <c r="AH24" s="53"/>
      <c r="AI24" s="90"/>
      <c r="AJ24" s="130"/>
      <c r="AK24" s="131"/>
      <c r="AL24" s="131"/>
      <c r="AM24" s="131"/>
      <c r="AN24" s="66"/>
      <c r="AO24" s="131"/>
      <c r="AP24" s="67"/>
      <c r="AQ24" s="90"/>
      <c r="AR24" s="130"/>
      <c r="AS24" s="131"/>
      <c r="AT24" s="131"/>
      <c r="AU24" s="131"/>
      <c r="AV24" s="66"/>
      <c r="AW24" s="131"/>
      <c r="AX24" s="67"/>
      <c r="AY24" s="90"/>
      <c r="AZ24" s="130"/>
      <c r="BA24" s="131"/>
      <c r="BB24" s="131"/>
      <c r="BC24" s="131"/>
      <c r="BD24" s="66"/>
      <c r="BE24" s="131"/>
      <c r="BF24" s="67"/>
      <c r="BG24" s="90"/>
      <c r="BH24" s="229"/>
      <c r="BI24" s="230"/>
      <c r="BJ24" s="230"/>
      <c r="BK24" s="230"/>
      <c r="BL24" s="66"/>
      <c r="BM24" s="230"/>
      <c r="BN24" s="67"/>
      <c r="BO24" s="190"/>
      <c r="BP24" s="90"/>
      <c r="BQ24" s="130"/>
      <c r="BR24" s="131"/>
      <c r="BS24" s="131"/>
      <c r="BT24" s="131"/>
      <c r="BU24" s="66"/>
      <c r="BV24" s="131"/>
      <c r="BW24" s="67"/>
      <c r="BX24" s="294"/>
      <c r="BY24" s="90"/>
      <c r="BZ24" s="130"/>
      <c r="CA24" s="131"/>
      <c r="CB24" s="131"/>
      <c r="CC24" s="131"/>
      <c r="CD24" s="66"/>
      <c r="CE24" s="131"/>
      <c r="CF24" s="67"/>
      <c r="CG24" s="294"/>
      <c r="CH24" s="90"/>
      <c r="CI24" s="133"/>
      <c r="CJ24" s="134"/>
      <c r="CK24" s="134"/>
      <c r="CL24" s="134"/>
      <c r="CM24" s="121"/>
      <c r="CN24" s="134"/>
      <c r="CO24" s="122"/>
      <c r="CP24" s="90"/>
      <c r="CQ24" s="133"/>
      <c r="CR24" s="134"/>
      <c r="CS24" s="134"/>
      <c r="CT24" s="134"/>
      <c r="CU24" s="121"/>
      <c r="CV24" s="134"/>
      <c r="CW24" s="122"/>
      <c r="CX24" s="90"/>
      <c r="CY24" s="133"/>
      <c r="CZ24" s="134"/>
      <c r="DA24" s="134"/>
      <c r="DB24" s="134"/>
      <c r="DC24" s="121"/>
      <c r="DD24" s="134"/>
      <c r="DE24" s="122"/>
      <c r="DF24" s="6"/>
      <c r="DG24" s="289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</row>
    <row r="25" spans="1:135" s="7" customFormat="1" ht="13" customHeight="1">
      <c r="A25" s="330"/>
      <c r="B25" s="49" t="s">
        <v>43</v>
      </c>
      <c r="C25" s="45"/>
      <c r="D25" s="45"/>
      <c r="E25" s="45"/>
      <c r="F25" s="45"/>
      <c r="G25" s="14"/>
      <c r="H25" s="198">
        <f>H24*3%</f>
        <v>223989.82011122227</v>
      </c>
      <c r="I25" s="14"/>
      <c r="J25" s="314">
        <f>H24+H25</f>
        <v>7690317.1571519654</v>
      </c>
      <c r="K25" s="90"/>
      <c r="L25" s="51"/>
      <c r="M25" s="45"/>
      <c r="N25" s="45"/>
      <c r="O25" s="45"/>
      <c r="P25" s="52"/>
      <c r="Q25" s="45"/>
      <c r="R25" s="53"/>
      <c r="S25" s="90"/>
      <c r="T25" s="130"/>
      <c r="U25" s="131"/>
      <c r="V25" s="131"/>
      <c r="W25" s="131"/>
      <c r="X25" s="66"/>
      <c r="Y25" s="131"/>
      <c r="Z25" s="67"/>
      <c r="AA25" s="90"/>
      <c r="AB25" s="51"/>
      <c r="AC25" s="45"/>
      <c r="AD25" s="45"/>
      <c r="AE25" s="45"/>
      <c r="AF25" s="52"/>
      <c r="AG25" s="131"/>
      <c r="AH25" s="53"/>
      <c r="AI25" s="90"/>
      <c r="AJ25" s="130"/>
      <c r="AK25" s="131"/>
      <c r="AL25" s="131"/>
      <c r="AM25" s="131"/>
      <c r="AN25" s="66"/>
      <c r="AO25" s="131"/>
      <c r="AP25" s="67"/>
      <c r="AQ25" s="90"/>
      <c r="AR25" s="130"/>
      <c r="AS25" s="131"/>
      <c r="AT25" s="131"/>
      <c r="AU25" s="131"/>
      <c r="AV25" s="66"/>
      <c r="AW25" s="131"/>
      <c r="AX25" s="67"/>
      <c r="AY25" s="90"/>
      <c r="AZ25" s="130"/>
      <c r="BA25" s="131"/>
      <c r="BB25" s="131"/>
      <c r="BC25" s="131"/>
      <c r="BD25" s="66"/>
      <c r="BE25" s="131"/>
      <c r="BF25" s="67"/>
      <c r="BG25" s="90"/>
      <c r="BH25" s="229"/>
      <c r="BI25" s="230"/>
      <c r="BJ25" s="230"/>
      <c r="BK25" s="230"/>
      <c r="BL25" s="66"/>
      <c r="BM25" s="230"/>
      <c r="BN25" s="67"/>
      <c r="BO25" s="190"/>
      <c r="BP25" s="90"/>
      <c r="BQ25" s="130"/>
      <c r="BR25" s="131"/>
      <c r="BS25" s="131"/>
      <c r="BT25" s="131"/>
      <c r="BU25" s="66"/>
      <c r="BV25" s="131"/>
      <c r="BW25" s="67"/>
      <c r="BX25" s="294"/>
      <c r="BY25" s="90"/>
      <c r="BZ25" s="130"/>
      <c r="CA25" s="131"/>
      <c r="CB25" s="131"/>
      <c r="CC25" s="131"/>
      <c r="CD25" s="66"/>
      <c r="CE25" s="131"/>
      <c r="CF25" s="67"/>
      <c r="CG25" s="294"/>
      <c r="CH25" s="90"/>
      <c r="CI25" s="133"/>
      <c r="CJ25" s="134"/>
      <c r="CK25" s="134"/>
      <c r="CL25" s="134"/>
      <c r="CM25" s="121"/>
      <c r="CN25" s="134"/>
      <c r="CO25" s="122"/>
      <c r="CP25" s="90"/>
      <c r="CQ25" s="133"/>
      <c r="CR25" s="134"/>
      <c r="CS25" s="134"/>
      <c r="CT25" s="134"/>
      <c r="CU25" s="121"/>
      <c r="CV25" s="134"/>
      <c r="CW25" s="122"/>
      <c r="CX25" s="90"/>
      <c r="CY25" s="133"/>
      <c r="CZ25" s="134"/>
      <c r="DA25" s="134"/>
      <c r="DB25" s="134"/>
      <c r="DC25" s="121"/>
      <c r="DD25" s="134"/>
      <c r="DE25" s="122"/>
      <c r="DF25" s="6"/>
      <c r="DG25" s="289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</row>
    <row r="26" spans="1:135" s="7" customFormat="1" ht="13" customHeight="1">
      <c r="A26" s="330"/>
      <c r="B26" s="49" t="s">
        <v>14</v>
      </c>
      <c r="C26" s="46">
        <f t="shared" si="78"/>
        <v>6832025.8400000008</v>
      </c>
      <c r="D26" s="46">
        <f t="shared" si="73"/>
        <v>4531787.169396068</v>
      </c>
      <c r="E26" s="46">
        <f t="shared" si="74"/>
        <v>2300238.6706039328</v>
      </c>
      <c r="F26" s="46">
        <f t="shared" si="75"/>
        <v>2300238.6706039328</v>
      </c>
      <c r="G26" s="128">
        <f t="shared" si="79"/>
        <v>0.66331528532334527</v>
      </c>
      <c r="H26" s="198">
        <f t="shared" si="80"/>
        <v>30000</v>
      </c>
      <c r="I26" s="14">
        <f>H26/C26</f>
        <v>4.3910840946116796E-3</v>
      </c>
      <c r="J26" s="190">
        <f>F26*$A$31</f>
        <v>3864400.9666146068</v>
      </c>
      <c r="K26" s="92"/>
      <c r="L26" s="54">
        <v>602354</v>
      </c>
      <c r="M26" s="46">
        <v>420796.6531460674</v>
      </c>
      <c r="N26" s="46">
        <v>181557.3468539326</v>
      </c>
      <c r="O26" s="46">
        <v>181557.3468539326</v>
      </c>
      <c r="P26" s="52">
        <v>0.69858696571462531</v>
      </c>
      <c r="Q26" s="55">
        <v>0</v>
      </c>
      <c r="R26" s="53">
        <v>1</v>
      </c>
      <c r="S26" s="92"/>
      <c r="T26" s="137">
        <v>626354</v>
      </c>
      <c r="U26" s="55">
        <v>412700.41499999998</v>
      </c>
      <c r="V26" s="55">
        <v>213653.58500000002</v>
      </c>
      <c r="W26" s="55">
        <v>213653.58500000002</v>
      </c>
      <c r="X26" s="66">
        <f t="shared" si="82"/>
        <v>0.65889323768986863</v>
      </c>
      <c r="Y26" s="55">
        <v>0</v>
      </c>
      <c r="Z26" s="67">
        <f t="shared" si="6"/>
        <v>0</v>
      </c>
      <c r="AA26" s="92"/>
      <c r="AB26" s="137">
        <v>836986.12</v>
      </c>
      <c r="AC26" s="55">
        <v>549524.42749999999</v>
      </c>
      <c r="AD26" s="55">
        <v>287461.6925</v>
      </c>
      <c r="AE26" s="55">
        <v>287461.6925</v>
      </c>
      <c r="AF26" s="66">
        <f t="shared" ref="AF26:AF29" si="88">(AB26-AD26)/AB26</f>
        <v>0.65655142226253405</v>
      </c>
      <c r="AG26" s="55">
        <v>0</v>
      </c>
      <c r="AH26" s="67">
        <f>AG27/AB26</f>
        <v>0</v>
      </c>
      <c r="AI26" s="92"/>
      <c r="AJ26" s="54">
        <v>962895.62</v>
      </c>
      <c r="AK26" s="46">
        <v>596247.25750000007</v>
      </c>
      <c r="AL26" s="46">
        <v>366648.36249999999</v>
      </c>
      <c r="AM26" s="46">
        <v>366648.36249999999</v>
      </c>
      <c r="AN26" s="52">
        <f t="shared" ref="AN26:AN29" si="89">(AJ26-AL26)/AJ26</f>
        <v>0.61922314850700022</v>
      </c>
      <c r="AO26" s="55">
        <v>0</v>
      </c>
      <c r="AP26" s="53">
        <f t="shared" si="76"/>
        <v>0</v>
      </c>
      <c r="AQ26" s="92"/>
      <c r="AR26" s="137">
        <v>824427.12</v>
      </c>
      <c r="AS26" s="55">
        <v>557293.17249999999</v>
      </c>
      <c r="AT26" s="55">
        <v>267133.94750000001</v>
      </c>
      <c r="AU26" s="55">
        <v>267133.94750000001</v>
      </c>
      <c r="AV26" s="66">
        <f t="shared" si="83"/>
        <v>0.67597627368202051</v>
      </c>
      <c r="AW26" s="55">
        <v>0</v>
      </c>
      <c r="AX26" s="67">
        <f t="shared" si="9"/>
        <v>0</v>
      </c>
      <c r="AY26" s="92"/>
      <c r="AZ26" s="137">
        <v>674183.12</v>
      </c>
      <c r="BA26" s="55">
        <v>494430.57999999996</v>
      </c>
      <c r="BB26" s="55">
        <v>179752.54</v>
      </c>
      <c r="BC26" s="55">
        <v>179752.54</v>
      </c>
      <c r="BD26" s="66">
        <f t="shared" si="10"/>
        <v>0.733377275895012</v>
      </c>
      <c r="BE26" s="55">
        <v>30000</v>
      </c>
      <c r="BF26" s="67">
        <f t="shared" si="11"/>
        <v>4.4498295952589265E-2</v>
      </c>
      <c r="BG26" s="92"/>
      <c r="BH26" s="229">
        <v>846329.62</v>
      </c>
      <c r="BI26" s="230">
        <v>559829.49</v>
      </c>
      <c r="BJ26" s="230">
        <v>286500.13</v>
      </c>
      <c r="BK26" s="230">
        <v>286500.13</v>
      </c>
      <c r="BL26" s="66">
        <f>(BH26-BJ26)/BH26</f>
        <v>0.66147925910947081</v>
      </c>
      <c r="BM26" s="230"/>
      <c r="BN26" s="67">
        <f t="shared" si="77"/>
        <v>0</v>
      </c>
      <c r="BO26" s="190">
        <f>BK26*$A$31</f>
        <v>481320.21840000001</v>
      </c>
      <c r="BP26" s="92"/>
      <c r="BQ26" s="137">
        <v>674183.12</v>
      </c>
      <c r="BR26" s="55">
        <v>389079.92249999999</v>
      </c>
      <c r="BS26" s="55">
        <v>285103.19750000001</v>
      </c>
      <c r="BT26" s="55">
        <v>285103.19750000001</v>
      </c>
      <c r="BU26" s="66">
        <f t="shared" ref="BU26:BU28" si="90">(BQ26-BS26)/BQ26</f>
        <v>0.57711311802051646</v>
      </c>
      <c r="BV26" s="55">
        <v>0</v>
      </c>
      <c r="BW26" s="67">
        <f t="shared" si="14"/>
        <v>0</v>
      </c>
      <c r="BX26" s="294">
        <f>BT26*$A$31</f>
        <v>478973.37180000002</v>
      </c>
      <c r="BY26" s="92"/>
      <c r="BZ26" s="137">
        <v>784313.12</v>
      </c>
      <c r="CA26" s="55">
        <v>551885.25124999997</v>
      </c>
      <c r="CB26" s="55">
        <v>232427.86875000002</v>
      </c>
      <c r="CC26" s="55">
        <v>232427.86875000002</v>
      </c>
      <c r="CD26" s="66">
        <f t="shared" si="84"/>
        <v>0.70365423856482212</v>
      </c>
      <c r="CE26" s="55">
        <v>0</v>
      </c>
      <c r="CF26" s="67">
        <f t="shared" si="16"/>
        <v>0</v>
      </c>
      <c r="CG26" s="294">
        <f>CC26*$A$31</f>
        <v>390478.81950000004</v>
      </c>
      <c r="CH26" s="92"/>
      <c r="CI26" s="135">
        <v>0</v>
      </c>
      <c r="CJ26" s="136">
        <v>0</v>
      </c>
      <c r="CK26" s="136">
        <v>0</v>
      </c>
      <c r="CL26" s="136">
        <v>0</v>
      </c>
      <c r="CM26" s="121" t="e">
        <f t="shared" si="85"/>
        <v>#DIV/0!</v>
      </c>
      <c r="CN26" s="136"/>
      <c r="CO26" s="122" t="e">
        <f t="shared" si="18"/>
        <v>#DIV/0!</v>
      </c>
      <c r="CP26" s="92"/>
      <c r="CQ26" s="135">
        <v>0</v>
      </c>
      <c r="CR26" s="136">
        <v>0</v>
      </c>
      <c r="CS26" s="136">
        <v>0</v>
      </c>
      <c r="CT26" s="136">
        <v>0</v>
      </c>
      <c r="CU26" s="121" t="e">
        <f t="shared" si="86"/>
        <v>#DIV/0!</v>
      </c>
      <c r="CV26" s="136"/>
      <c r="CW26" s="122" t="e">
        <f t="shared" si="20"/>
        <v>#DIV/0!</v>
      </c>
      <c r="CX26" s="92"/>
      <c r="CY26" s="135">
        <v>0</v>
      </c>
      <c r="CZ26" s="136">
        <v>0</v>
      </c>
      <c r="DA26" s="136">
        <v>0</v>
      </c>
      <c r="DB26" s="136">
        <v>0</v>
      </c>
      <c r="DC26" s="121" t="e">
        <f t="shared" si="87"/>
        <v>#DIV/0!</v>
      </c>
      <c r="DD26" s="136"/>
      <c r="DE26" s="122" t="e">
        <f t="shared" si="22"/>
        <v>#DIV/0!</v>
      </c>
      <c r="DF26" s="6"/>
      <c r="DG26" s="289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</row>
    <row r="27" spans="1:135" s="7" customFormat="1" ht="13" customHeight="1">
      <c r="A27" s="330"/>
      <c r="B27" s="49" t="s">
        <v>15</v>
      </c>
      <c r="C27" s="46">
        <f t="shared" si="78"/>
        <v>984614.12999999989</v>
      </c>
      <c r="D27" s="46">
        <f t="shared" si="73"/>
        <v>331498.08689999999</v>
      </c>
      <c r="E27" s="46">
        <f t="shared" si="74"/>
        <v>653116.04310000001</v>
      </c>
      <c r="F27" s="46">
        <f t="shared" si="75"/>
        <v>653116.04310000001</v>
      </c>
      <c r="G27" s="128">
        <f t="shared" si="79"/>
        <v>0.33667817350945395</v>
      </c>
      <c r="H27" s="198">
        <f t="shared" si="80"/>
        <v>0</v>
      </c>
      <c r="I27" s="14">
        <f>H27/C27</f>
        <v>0</v>
      </c>
      <c r="J27" s="190">
        <f>F27*$A$31</f>
        <v>1097234.9524079999</v>
      </c>
      <c r="K27" s="92"/>
      <c r="L27" s="54">
        <v>15148.3</v>
      </c>
      <c r="M27" s="46">
        <v>3559.8499999999985</v>
      </c>
      <c r="N27" s="46">
        <v>11588.45</v>
      </c>
      <c r="O27" s="46">
        <v>11588.45</v>
      </c>
      <c r="P27" s="52">
        <v>0.23499996699299583</v>
      </c>
      <c r="Q27" s="55">
        <v>0</v>
      </c>
      <c r="R27" s="53">
        <v>1</v>
      </c>
      <c r="S27" s="92"/>
      <c r="T27" s="137">
        <v>15148.3</v>
      </c>
      <c r="U27" s="55">
        <v>3559.8499999999985</v>
      </c>
      <c r="V27" s="55">
        <v>11588.45</v>
      </c>
      <c r="W27" s="55">
        <v>11588.45</v>
      </c>
      <c r="X27" s="66">
        <f t="shared" si="82"/>
        <v>0.23499996699299583</v>
      </c>
      <c r="Y27" s="55">
        <v>0</v>
      </c>
      <c r="Z27" s="67">
        <f t="shared" si="6"/>
        <v>0</v>
      </c>
      <c r="AA27" s="92"/>
      <c r="AB27" s="137">
        <v>173253.04</v>
      </c>
      <c r="AC27" s="55">
        <v>40714.880000000005</v>
      </c>
      <c r="AD27" s="55">
        <v>132538.16</v>
      </c>
      <c r="AE27" s="55">
        <v>132538.16</v>
      </c>
      <c r="AF27" s="66">
        <f t="shared" si="88"/>
        <v>0.23500239880350729</v>
      </c>
      <c r="AG27" s="55">
        <v>0</v>
      </c>
      <c r="AH27" s="67">
        <f t="shared" ref="AH27:AH29" si="91">AG28/AB27</f>
        <v>0</v>
      </c>
      <c r="AI27" s="92"/>
      <c r="AJ27" s="54">
        <v>142134.52999999997</v>
      </c>
      <c r="AK27" s="46">
        <v>33401.849999999977</v>
      </c>
      <c r="AL27" s="46">
        <v>108732.68</v>
      </c>
      <c r="AM27" s="46">
        <v>108732.68</v>
      </c>
      <c r="AN27" s="52">
        <f t="shared" si="89"/>
        <v>0.23500165652920499</v>
      </c>
      <c r="AO27" s="55">
        <v>0</v>
      </c>
      <c r="AP27" s="53">
        <f t="shared" si="76"/>
        <v>0</v>
      </c>
      <c r="AQ27" s="92"/>
      <c r="AR27" s="137">
        <v>96309.219999999987</v>
      </c>
      <c r="AS27" s="55">
        <v>22071.226799999989</v>
      </c>
      <c r="AT27" s="55">
        <v>74237.993199999997</v>
      </c>
      <c r="AU27" s="55">
        <v>74237.993199999997</v>
      </c>
      <c r="AV27" s="66">
        <f t="shared" si="83"/>
        <v>0.22917044494805369</v>
      </c>
      <c r="AW27" s="55">
        <v>0</v>
      </c>
      <c r="AX27" s="67">
        <f t="shared" si="9"/>
        <v>0</v>
      </c>
      <c r="AY27" s="92"/>
      <c r="AZ27" s="137">
        <v>63716.880000000005</v>
      </c>
      <c r="BA27" s="55">
        <v>14412.030100000004</v>
      </c>
      <c r="BB27" s="55">
        <v>49304.849900000001</v>
      </c>
      <c r="BC27" s="55">
        <v>49304.849900000001</v>
      </c>
      <c r="BD27" s="66">
        <f t="shared" si="10"/>
        <v>0.22618857200792009</v>
      </c>
      <c r="BE27" s="55">
        <v>0</v>
      </c>
      <c r="BF27" s="67">
        <f t="shared" si="11"/>
        <v>0</v>
      </c>
      <c r="BG27" s="92"/>
      <c r="BH27" s="229">
        <v>97333.26</v>
      </c>
      <c r="BI27" s="230">
        <v>21942.45</v>
      </c>
      <c r="BJ27" s="230">
        <v>75390.81</v>
      </c>
      <c r="BK27" s="230">
        <v>75390.81</v>
      </c>
      <c r="BL27" s="66">
        <f>(BH27-BJ27)/BH27</f>
        <v>0.22543629998625339</v>
      </c>
      <c r="BM27" s="230"/>
      <c r="BN27" s="67">
        <f t="shared" si="77"/>
        <v>0</v>
      </c>
      <c r="BO27" s="190">
        <f>BK27*$A$31</f>
        <v>126656.56079999999</v>
      </c>
      <c r="BP27" s="92"/>
      <c r="BQ27" s="137">
        <v>0</v>
      </c>
      <c r="BR27" s="55">
        <v>0</v>
      </c>
      <c r="BS27" s="55">
        <v>0</v>
      </c>
      <c r="BT27" s="55">
        <v>0</v>
      </c>
      <c r="BU27" s="66">
        <v>0</v>
      </c>
      <c r="BV27" s="55">
        <v>0</v>
      </c>
      <c r="BW27" s="67" t="e">
        <f t="shared" si="14"/>
        <v>#DIV/0!</v>
      </c>
      <c r="BX27" s="294">
        <f>BT27*$A$31</f>
        <v>0</v>
      </c>
      <c r="BY27" s="92"/>
      <c r="BZ27" s="137">
        <v>381570.6</v>
      </c>
      <c r="CA27" s="55">
        <v>191835.94999999998</v>
      </c>
      <c r="CB27" s="55">
        <v>189734.65</v>
      </c>
      <c r="CC27" s="55">
        <v>189734.65</v>
      </c>
      <c r="CD27" s="66">
        <f t="shared" si="84"/>
        <v>0.50275348782112661</v>
      </c>
      <c r="CE27" s="55">
        <v>0</v>
      </c>
      <c r="CF27" s="67">
        <f t="shared" si="16"/>
        <v>0</v>
      </c>
      <c r="CG27" s="294">
        <f>CC27*$A$31</f>
        <v>318754.212</v>
      </c>
      <c r="CH27" s="92"/>
      <c r="CI27" s="135">
        <v>0</v>
      </c>
      <c r="CJ27" s="136">
        <v>0</v>
      </c>
      <c r="CK27" s="136">
        <v>0</v>
      </c>
      <c r="CL27" s="136">
        <v>0</v>
      </c>
      <c r="CM27" s="121" t="e">
        <f t="shared" si="85"/>
        <v>#DIV/0!</v>
      </c>
      <c r="CN27" s="136"/>
      <c r="CO27" s="122" t="e">
        <f t="shared" si="18"/>
        <v>#DIV/0!</v>
      </c>
      <c r="CP27" s="92"/>
      <c r="CQ27" s="135">
        <v>0</v>
      </c>
      <c r="CR27" s="136">
        <v>0</v>
      </c>
      <c r="CS27" s="136">
        <v>0</v>
      </c>
      <c r="CT27" s="136">
        <v>0</v>
      </c>
      <c r="CU27" s="121" t="e">
        <f t="shared" si="86"/>
        <v>#DIV/0!</v>
      </c>
      <c r="CV27" s="136"/>
      <c r="CW27" s="122" t="e">
        <f t="shared" si="20"/>
        <v>#DIV/0!</v>
      </c>
      <c r="CX27" s="92"/>
      <c r="CY27" s="135">
        <v>0</v>
      </c>
      <c r="CZ27" s="136">
        <v>0</v>
      </c>
      <c r="DA27" s="136">
        <v>0</v>
      </c>
      <c r="DB27" s="136">
        <v>0</v>
      </c>
      <c r="DC27" s="121" t="e">
        <f t="shared" si="87"/>
        <v>#DIV/0!</v>
      </c>
      <c r="DD27" s="136"/>
      <c r="DE27" s="122" t="e">
        <f t="shared" si="22"/>
        <v>#DIV/0!</v>
      </c>
      <c r="DF27" s="6"/>
      <c r="DG27" s="289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</row>
    <row r="28" spans="1:135" s="7" customFormat="1" ht="13" customHeight="1">
      <c r="A28" s="330"/>
      <c r="B28" s="49" t="s">
        <v>16</v>
      </c>
      <c r="C28" s="46">
        <f t="shared" si="78"/>
        <v>3765635.969698525</v>
      </c>
      <c r="D28" s="46">
        <f t="shared" si="73"/>
        <v>1358769.1896985252</v>
      </c>
      <c r="E28" s="46">
        <f t="shared" si="74"/>
        <v>2406866.7799999998</v>
      </c>
      <c r="F28" s="46">
        <f t="shared" si="75"/>
        <v>2406866.7799999998</v>
      </c>
      <c r="G28" s="128">
        <f t="shared" si="79"/>
        <v>0.36083392038750567</v>
      </c>
      <c r="H28" s="198">
        <f t="shared" si="80"/>
        <v>20000</v>
      </c>
      <c r="I28" s="14">
        <f t="shared" ref="I28" si="92">H28/C28</f>
        <v>5.311187847401296E-3</v>
      </c>
      <c r="J28" s="190">
        <f>F28*$A$31</f>
        <v>4043536.1903999997</v>
      </c>
      <c r="K28" s="92"/>
      <c r="L28" s="54">
        <v>70255.179999999993</v>
      </c>
      <c r="M28" s="46">
        <v>11118.019999999997</v>
      </c>
      <c r="N28" s="46">
        <v>59137.159999999996</v>
      </c>
      <c r="O28" s="46">
        <v>59137.159999999996</v>
      </c>
      <c r="P28" s="52">
        <v>0.15825196092302374</v>
      </c>
      <c r="Q28" s="55">
        <v>0</v>
      </c>
      <c r="R28" s="53">
        <v>1</v>
      </c>
      <c r="S28" s="92"/>
      <c r="T28" s="137">
        <v>170205.97303185836</v>
      </c>
      <c r="U28" s="55">
        <v>21517.48303185837</v>
      </c>
      <c r="V28" s="55">
        <v>148688.49</v>
      </c>
      <c r="W28" s="55">
        <v>148688.49</v>
      </c>
      <c r="X28" s="66">
        <f>(T28-V28)/T28</f>
        <v>0.12642025804717691</v>
      </c>
      <c r="Y28" s="55">
        <v>0</v>
      </c>
      <c r="Z28" s="67">
        <f t="shared" si="6"/>
        <v>0</v>
      </c>
      <c r="AA28" s="92"/>
      <c r="AB28" s="137">
        <v>648378.66666666663</v>
      </c>
      <c r="AC28" s="55">
        <v>274914.01666666666</v>
      </c>
      <c r="AD28" s="55">
        <v>373464.64999999997</v>
      </c>
      <c r="AE28" s="55">
        <v>373464.64999999997</v>
      </c>
      <c r="AF28" s="66">
        <f t="shared" si="88"/>
        <v>0.4240022548551875</v>
      </c>
      <c r="AG28" s="55">
        <v>0</v>
      </c>
      <c r="AH28" s="67">
        <f t="shared" si="91"/>
        <v>0</v>
      </c>
      <c r="AI28" s="92"/>
      <c r="AJ28" s="54">
        <v>684372</v>
      </c>
      <c r="AK28" s="46">
        <v>294167.35000000003</v>
      </c>
      <c r="AL28" s="46">
        <v>390204.64999999997</v>
      </c>
      <c r="AM28" s="46">
        <v>390204.64999999997</v>
      </c>
      <c r="AN28" s="52">
        <f t="shared" si="89"/>
        <v>0.42983545498646941</v>
      </c>
      <c r="AO28" s="55">
        <v>0</v>
      </c>
      <c r="AP28" s="53">
        <f t="shared" si="76"/>
        <v>0</v>
      </c>
      <c r="AQ28" s="92"/>
      <c r="AR28" s="137">
        <v>634372</v>
      </c>
      <c r="AS28" s="55">
        <v>274167.35000000003</v>
      </c>
      <c r="AT28" s="55">
        <v>360204.64999999997</v>
      </c>
      <c r="AU28" s="55">
        <v>360204.64999999997</v>
      </c>
      <c r="AV28" s="66">
        <f t="shared" si="83"/>
        <v>0.43218702906181239</v>
      </c>
      <c r="AW28" s="55">
        <v>0</v>
      </c>
      <c r="AX28" s="67">
        <f t="shared" si="9"/>
        <v>0</v>
      </c>
      <c r="AY28" s="92"/>
      <c r="AZ28" s="137">
        <v>380881.98</v>
      </c>
      <c r="BA28" s="55">
        <v>20677.330000000016</v>
      </c>
      <c r="BB28" s="55">
        <v>360204.64999999997</v>
      </c>
      <c r="BC28" s="55">
        <v>360204.64999999997</v>
      </c>
      <c r="BD28" s="66">
        <f t="shared" si="10"/>
        <v>5.428802381252066E-2</v>
      </c>
      <c r="BE28" s="55">
        <v>20000</v>
      </c>
      <c r="BF28" s="67">
        <f t="shared" si="11"/>
        <v>5.2509703924559524E-2</v>
      </c>
      <c r="BG28" s="92"/>
      <c r="BH28" s="229">
        <v>642572</v>
      </c>
      <c r="BI28" s="230">
        <v>274167.34999999998</v>
      </c>
      <c r="BJ28" s="230">
        <v>368404.65</v>
      </c>
      <c r="BK28" s="230">
        <v>368404.65</v>
      </c>
      <c r="BL28" s="66">
        <f>(BH28-BJ28)/BH28</f>
        <v>0.42667179709044273</v>
      </c>
      <c r="BM28" s="230"/>
      <c r="BN28" s="67">
        <f t="shared" si="77"/>
        <v>0</v>
      </c>
      <c r="BO28" s="190">
        <f>BK28*$A$31</f>
        <v>618919.81200000003</v>
      </c>
      <c r="BP28" s="92"/>
      <c r="BQ28" s="137">
        <v>509372</v>
      </c>
      <c r="BR28" s="55">
        <v>184200.34999999998</v>
      </c>
      <c r="BS28" s="55">
        <v>325171.65000000002</v>
      </c>
      <c r="BT28" s="55">
        <v>325171.65000000002</v>
      </c>
      <c r="BU28" s="66">
        <f t="shared" si="90"/>
        <v>0.36162244881933042</v>
      </c>
      <c r="BV28" s="55">
        <v>0</v>
      </c>
      <c r="BW28" s="67">
        <f t="shared" si="14"/>
        <v>0</v>
      </c>
      <c r="BX28" s="294">
        <f>BT28*$A$31</f>
        <v>546288.37199999997</v>
      </c>
      <c r="BY28" s="92"/>
      <c r="BZ28" s="137">
        <v>25226.17</v>
      </c>
      <c r="CA28" s="55">
        <v>3839.9399999999987</v>
      </c>
      <c r="CB28" s="55">
        <v>21386.23</v>
      </c>
      <c r="CC28" s="55">
        <v>21386.23</v>
      </c>
      <c r="CD28" s="66">
        <f t="shared" si="84"/>
        <v>0.15222049165608567</v>
      </c>
      <c r="CE28" s="55">
        <v>0</v>
      </c>
      <c r="CF28" s="67">
        <f t="shared" si="16"/>
        <v>0</v>
      </c>
      <c r="CG28" s="294">
        <f>CC28*$A$31</f>
        <v>35928.866399999999</v>
      </c>
      <c r="CH28" s="92"/>
      <c r="CI28" s="135">
        <v>0</v>
      </c>
      <c r="CJ28" s="136">
        <v>0</v>
      </c>
      <c r="CK28" s="136">
        <v>0</v>
      </c>
      <c r="CL28" s="136">
        <v>0</v>
      </c>
      <c r="CM28" s="121" t="e">
        <f t="shared" si="85"/>
        <v>#DIV/0!</v>
      </c>
      <c r="CN28" s="136"/>
      <c r="CO28" s="122" t="e">
        <f t="shared" si="18"/>
        <v>#DIV/0!</v>
      </c>
      <c r="CP28" s="92"/>
      <c r="CQ28" s="135">
        <v>0</v>
      </c>
      <c r="CR28" s="136">
        <v>0</v>
      </c>
      <c r="CS28" s="136">
        <v>0</v>
      </c>
      <c r="CT28" s="136">
        <v>0</v>
      </c>
      <c r="CU28" s="121" t="e">
        <f t="shared" si="86"/>
        <v>#DIV/0!</v>
      </c>
      <c r="CV28" s="136"/>
      <c r="CW28" s="122" t="e">
        <f t="shared" si="20"/>
        <v>#DIV/0!</v>
      </c>
      <c r="CX28" s="92"/>
      <c r="CY28" s="135">
        <v>0</v>
      </c>
      <c r="CZ28" s="136">
        <v>0</v>
      </c>
      <c r="DA28" s="136">
        <v>0</v>
      </c>
      <c r="DB28" s="136">
        <v>0</v>
      </c>
      <c r="DC28" s="121" t="e">
        <f t="shared" si="87"/>
        <v>#DIV/0!</v>
      </c>
      <c r="DD28" s="136"/>
      <c r="DE28" s="122" t="e">
        <f t="shared" si="22"/>
        <v>#DIV/0!</v>
      </c>
      <c r="DF28" s="6"/>
      <c r="DG28" s="289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</row>
    <row r="29" spans="1:135" s="7" customFormat="1" ht="13" customHeight="1">
      <c r="A29" s="330"/>
      <c r="B29" s="49" t="s">
        <v>17</v>
      </c>
      <c r="C29" s="46">
        <f t="shared" ref="C29" si="93">SUM(L29,T29,AB29,AJ29,AR29,AZ29,BH29,BQ29,BZ29,CI29,CQ29,CY29)</f>
        <v>30300</v>
      </c>
      <c r="D29" s="46">
        <f t="shared" ref="D29" si="94">SUM(M29,U29,AC29,AK29,AS29,BA29,BI29,BR29,CA29,CJ29,CR29,CZ29)</f>
        <v>0</v>
      </c>
      <c r="E29" s="46">
        <f t="shared" ref="E29" si="95">SUM(N29,V29,AD29,AL29,AT29,BB29,BJ29,BS29,CB29,CK29,CS29,DA29)</f>
        <v>30300</v>
      </c>
      <c r="F29" s="46">
        <f t="shared" ref="F29" si="96">SUM(O29,W29,AE29,AM29,AU29,BC29,BK29,BT29,CC29,CL29,CT29,DB29)</f>
        <v>0</v>
      </c>
      <c r="G29" s="128">
        <f t="shared" ref="G29" si="97">D29/C29</f>
        <v>0</v>
      </c>
      <c r="H29" s="198">
        <f t="shared" ref="H29" si="98">SUM(Q29,Y29,AG29,AO29,AW29,BE29,BM29,BV29,CE29,CN29,CV29,DD29)</f>
        <v>0</v>
      </c>
      <c r="I29" s="14">
        <f t="shared" ref="I29" si="99">H29/C29</f>
        <v>0</v>
      </c>
      <c r="J29" s="190">
        <f>F29*$A$31</f>
        <v>0</v>
      </c>
      <c r="K29" s="92"/>
      <c r="L29" s="54">
        <v>0</v>
      </c>
      <c r="M29" s="46">
        <v>0</v>
      </c>
      <c r="N29" s="46">
        <v>0</v>
      </c>
      <c r="O29" s="46">
        <v>0</v>
      </c>
      <c r="P29" s="52" t="e">
        <v>#DIV/0!</v>
      </c>
      <c r="Q29" s="55">
        <v>0</v>
      </c>
      <c r="R29" s="53" t="e">
        <v>#DIV/0!</v>
      </c>
      <c r="S29" s="92"/>
      <c r="T29" s="137">
        <v>0</v>
      </c>
      <c r="U29" s="55">
        <v>0</v>
      </c>
      <c r="V29" s="55">
        <v>0</v>
      </c>
      <c r="W29" s="55">
        <v>0</v>
      </c>
      <c r="X29" s="66" t="e">
        <f>(T29-V29)/T29</f>
        <v>#DIV/0!</v>
      </c>
      <c r="Y29" s="55">
        <v>0</v>
      </c>
      <c r="Z29" s="67" t="e">
        <f t="shared" si="6"/>
        <v>#DIV/0!</v>
      </c>
      <c r="AA29" s="92"/>
      <c r="AB29" s="137">
        <v>0</v>
      </c>
      <c r="AC29" s="55">
        <v>0</v>
      </c>
      <c r="AD29" s="55">
        <v>0</v>
      </c>
      <c r="AE29" s="55">
        <v>0</v>
      </c>
      <c r="AF29" s="66" t="e">
        <f t="shared" si="88"/>
        <v>#DIV/0!</v>
      </c>
      <c r="AG29" s="55">
        <v>0</v>
      </c>
      <c r="AH29" s="67" t="e">
        <f t="shared" si="91"/>
        <v>#DIV/0!</v>
      </c>
      <c r="AI29" s="92"/>
      <c r="AJ29" s="54">
        <v>0</v>
      </c>
      <c r="AK29" s="46">
        <v>0</v>
      </c>
      <c r="AL29" s="46">
        <v>0</v>
      </c>
      <c r="AM29" s="46">
        <v>0</v>
      </c>
      <c r="AN29" s="52" t="e">
        <f t="shared" si="89"/>
        <v>#DIV/0!</v>
      </c>
      <c r="AO29" s="55">
        <v>0</v>
      </c>
      <c r="AP29" s="53" t="e">
        <f t="shared" si="76"/>
        <v>#DIV/0!</v>
      </c>
      <c r="AQ29" s="92"/>
      <c r="AR29" s="137">
        <v>0</v>
      </c>
      <c r="AS29" s="55">
        <v>0</v>
      </c>
      <c r="AT29" s="55">
        <v>0</v>
      </c>
      <c r="AU29" s="55">
        <v>0</v>
      </c>
      <c r="AV29" s="66" t="e">
        <f t="shared" si="83"/>
        <v>#DIV/0!</v>
      </c>
      <c r="AW29" s="55">
        <v>0</v>
      </c>
      <c r="AX29" s="67" t="e">
        <f t="shared" si="9"/>
        <v>#DIV/0!</v>
      </c>
      <c r="AY29" s="92"/>
      <c r="AZ29" s="137">
        <v>0</v>
      </c>
      <c r="BA29" s="55">
        <v>0</v>
      </c>
      <c r="BB29" s="55">
        <v>0</v>
      </c>
      <c r="BC29" s="55">
        <v>0</v>
      </c>
      <c r="BD29" s="66" t="e">
        <f t="shared" si="10"/>
        <v>#DIV/0!</v>
      </c>
      <c r="BE29" s="55">
        <v>0</v>
      </c>
      <c r="BF29" s="67" t="e">
        <f t="shared" si="11"/>
        <v>#DIV/0!</v>
      </c>
      <c r="BG29" s="92"/>
      <c r="BH29" s="229">
        <v>30300</v>
      </c>
      <c r="BI29" s="230">
        <v>0</v>
      </c>
      <c r="BJ29" s="230">
        <v>30300</v>
      </c>
      <c r="BK29" s="230">
        <v>0</v>
      </c>
      <c r="BL29" s="66">
        <f>(BH29-BJ29)/BH29</f>
        <v>0</v>
      </c>
      <c r="BM29" s="230"/>
      <c r="BN29" s="67">
        <f t="shared" si="77"/>
        <v>0</v>
      </c>
      <c r="BO29" s="190">
        <f>BK29*$A$31</f>
        <v>0</v>
      </c>
      <c r="BP29" s="92"/>
      <c r="BQ29" s="137">
        <v>0</v>
      </c>
      <c r="BR29" s="55">
        <v>0</v>
      </c>
      <c r="BS29" s="55">
        <v>0</v>
      </c>
      <c r="BT29" s="55">
        <v>0</v>
      </c>
      <c r="BU29" s="66">
        <v>0</v>
      </c>
      <c r="BV29" s="55">
        <v>0</v>
      </c>
      <c r="BW29" s="67" t="e">
        <f t="shared" si="14"/>
        <v>#DIV/0!</v>
      </c>
      <c r="BX29" s="294">
        <f>BT29*$A$31</f>
        <v>0</v>
      </c>
      <c r="BY29" s="92"/>
      <c r="BZ29" s="137">
        <v>0</v>
      </c>
      <c r="CA29" s="55">
        <v>0</v>
      </c>
      <c r="CB29" s="55">
        <v>0</v>
      </c>
      <c r="CC29" s="55">
        <v>0</v>
      </c>
      <c r="CD29" s="66" t="e">
        <f t="shared" si="84"/>
        <v>#DIV/0!</v>
      </c>
      <c r="CE29" s="55">
        <v>0</v>
      </c>
      <c r="CF29" s="67" t="e">
        <f t="shared" si="16"/>
        <v>#DIV/0!</v>
      </c>
      <c r="CG29" s="294">
        <f>CC29*$A$31</f>
        <v>0</v>
      </c>
      <c r="CH29" s="92"/>
      <c r="CI29" s="135">
        <v>0</v>
      </c>
      <c r="CJ29" s="136">
        <v>0</v>
      </c>
      <c r="CK29" s="136">
        <v>0</v>
      </c>
      <c r="CL29" s="136">
        <v>0</v>
      </c>
      <c r="CM29" s="121" t="e">
        <f t="shared" si="85"/>
        <v>#DIV/0!</v>
      </c>
      <c r="CN29" s="136"/>
      <c r="CO29" s="122" t="e">
        <f t="shared" si="18"/>
        <v>#DIV/0!</v>
      </c>
      <c r="CP29" s="92"/>
      <c r="CQ29" s="135">
        <v>0</v>
      </c>
      <c r="CR29" s="136">
        <v>0</v>
      </c>
      <c r="CS29" s="136">
        <v>0</v>
      </c>
      <c r="CT29" s="136">
        <v>0</v>
      </c>
      <c r="CU29" s="121" t="e">
        <f t="shared" si="86"/>
        <v>#DIV/0!</v>
      </c>
      <c r="CV29" s="136"/>
      <c r="CW29" s="122" t="e">
        <f t="shared" si="20"/>
        <v>#DIV/0!</v>
      </c>
      <c r="CX29" s="92"/>
      <c r="CY29" s="135">
        <v>0</v>
      </c>
      <c r="CZ29" s="136">
        <v>0</v>
      </c>
      <c r="DA29" s="136">
        <v>0</v>
      </c>
      <c r="DB29" s="136">
        <v>0</v>
      </c>
      <c r="DC29" s="121" t="e">
        <f t="shared" si="87"/>
        <v>#DIV/0!</v>
      </c>
      <c r="DD29" s="136"/>
      <c r="DE29" s="122" t="e">
        <f t="shared" si="22"/>
        <v>#DIV/0!</v>
      </c>
      <c r="DF29" s="6"/>
      <c r="DG29" s="289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</row>
    <row r="30" spans="1:135" s="23" customFormat="1" ht="13" customHeight="1">
      <c r="A30" s="330"/>
      <c r="B30" s="166" t="s">
        <v>18</v>
      </c>
      <c r="C30" s="37">
        <f>SUM(C19:C29)</f>
        <v>13580584.664571997</v>
      </c>
      <c r="D30" s="37">
        <f>SUM(D19:D29)</f>
        <v>6700443.1409566328</v>
      </c>
      <c r="E30" s="37">
        <f>SUM(E19:E29)</f>
        <v>6880141.5936153606</v>
      </c>
      <c r="F30" s="37">
        <f>SUM(F19:F29)</f>
        <v>6849841.5936153606</v>
      </c>
      <c r="G30" s="129">
        <f>D30/C30</f>
        <v>0.49338399681983081</v>
      </c>
      <c r="H30" s="199">
        <f>SUM(H19:H29)</f>
        <v>8356802.9005773477</v>
      </c>
      <c r="I30" s="15">
        <f>H30/C30</f>
        <v>0.61534927302341735</v>
      </c>
      <c r="J30" s="193" t="b">
        <f>J31=F31</f>
        <v>0</v>
      </c>
      <c r="K30" s="93"/>
      <c r="L30" s="176">
        <f>SUM(L19:L29)</f>
        <v>717178.67999999993</v>
      </c>
      <c r="M30" s="37">
        <f>SUM(M19:M29)</f>
        <v>447276.57314606739</v>
      </c>
      <c r="N30" s="37">
        <f>SUM(N19:N29)</f>
        <v>269902.10685393261</v>
      </c>
      <c r="O30" s="37">
        <f>SUM(O19:O29)</f>
        <v>269902.10685393261</v>
      </c>
      <c r="P30" s="15">
        <f>(L30-O30)/L30</f>
        <v>0.62366127942630334</v>
      </c>
      <c r="Q30" s="37">
        <f>SUM(Q19:Q29)</f>
        <v>0</v>
      </c>
      <c r="R30" s="62">
        <f>Q30/L30</f>
        <v>0</v>
      </c>
      <c r="S30" s="93"/>
      <c r="T30" s="70">
        <f>SUM(T19:T29)</f>
        <v>875731.65790532774</v>
      </c>
      <c r="U30" s="71">
        <f>SUM(U19:U29)</f>
        <v>451322.72849389911</v>
      </c>
      <c r="V30" s="71">
        <f>SUM(V19:V29)</f>
        <v>424408.92941142857</v>
      </c>
      <c r="W30" s="71">
        <f>SUM(W19:W29)</f>
        <v>424408.92941142857</v>
      </c>
      <c r="X30" s="15">
        <f>(T30-W30)/T30</f>
        <v>0.51536646462390434</v>
      </c>
      <c r="Y30" s="71">
        <f>SUM(Y19:Y29)</f>
        <v>0</v>
      </c>
      <c r="Z30" s="62">
        <f t="shared" si="6"/>
        <v>0</v>
      </c>
      <c r="AA30" s="93"/>
      <c r="AB30" s="70">
        <f>SUM(AB19:AB29)</f>
        <v>1784844.0966666667</v>
      </c>
      <c r="AC30" s="71">
        <f>SUM(AC19:AC29)</f>
        <v>908747.07416666672</v>
      </c>
      <c r="AD30" s="71">
        <f>SUM(AD19:AD29)</f>
        <v>876097.02249999996</v>
      </c>
      <c r="AE30" s="71">
        <f>SUM(AE19:AE29)</f>
        <v>876097.02249999996</v>
      </c>
      <c r="AF30" s="15">
        <f>(AB30-AE30)/AB30</f>
        <v>0.50914647159593474</v>
      </c>
      <c r="AG30" s="71">
        <f>SUM(AG19:AG29)</f>
        <v>0</v>
      </c>
      <c r="AH30" s="62">
        <f t="shared" ref="AH30" si="100">AG30/AB30</f>
        <v>0</v>
      </c>
      <c r="AI30" s="93"/>
      <c r="AJ30" s="70">
        <f>SUM(AJ19:AJ29)</f>
        <v>1962056.8</v>
      </c>
      <c r="AK30" s="71">
        <f>SUM(AK19:AK29)</f>
        <v>971030.42749999999</v>
      </c>
      <c r="AL30" s="71">
        <f>SUM(AL19:AL29)</f>
        <v>991026.37249999982</v>
      </c>
      <c r="AM30" s="71">
        <f>SUM(AM19:AM29)</f>
        <v>991026.37249999982</v>
      </c>
      <c r="AN30" s="15">
        <f>(AJ30-AM30)/AJ30</f>
        <v>0.4949043409446659</v>
      </c>
      <c r="AO30" s="71">
        <f>SUM(AO19:AO29)</f>
        <v>0</v>
      </c>
      <c r="AP30" s="62">
        <f>AO30/AJ30</f>
        <v>0</v>
      </c>
      <c r="AQ30" s="93"/>
      <c r="AR30" s="70">
        <f>SUM(AR19:AR29)</f>
        <v>1628709.5150000001</v>
      </c>
      <c r="AS30" s="71">
        <f>SUM(AS19:AS29)</f>
        <v>880272.2193</v>
      </c>
      <c r="AT30" s="71">
        <f>SUM(AT19:AT29)</f>
        <v>748437.2956999999</v>
      </c>
      <c r="AU30" s="71">
        <f>SUM(AU19:AU29)</f>
        <v>748437.2956999999</v>
      </c>
      <c r="AV30" s="15">
        <f>(AR30-AU30)/AR30</f>
        <v>0.54047220280407104</v>
      </c>
      <c r="AW30" s="71">
        <f>SUM(AW19:AW29)</f>
        <v>0</v>
      </c>
      <c r="AX30" s="62">
        <f t="shared" si="9"/>
        <v>0</v>
      </c>
      <c r="AY30" s="93"/>
      <c r="AZ30" s="70">
        <f>SUM(AZ19:AZ29)</f>
        <v>1578630.895</v>
      </c>
      <c r="BA30" s="71">
        <f>SUM(BA19:BA29)</f>
        <v>625451.60459999996</v>
      </c>
      <c r="BB30" s="71">
        <f>SUM(BB19:BB29)</f>
        <v>953179.29040000006</v>
      </c>
      <c r="BC30" s="71">
        <f>SUM(BC19:BC29)</f>
        <v>953179.29040000006</v>
      </c>
      <c r="BD30" s="15">
        <f>(AZ30-BC30)/AZ30</f>
        <v>0.39619876095228707</v>
      </c>
      <c r="BE30" s="71">
        <f>SUM(BE19:BE29)</f>
        <v>50000</v>
      </c>
      <c r="BF30" s="62">
        <f>BE30/AZ30</f>
        <v>3.1673014989358865E-2</v>
      </c>
      <c r="BG30" s="93"/>
      <c r="BH30" s="70">
        <f>SUM(BH19:BH29)</f>
        <v>2262641.88</v>
      </c>
      <c r="BI30" s="71">
        <f>SUM(BI19:BI29)</f>
        <v>1044864.3999999999</v>
      </c>
      <c r="BJ30" s="71">
        <f>SUM(BJ19:BJ29)</f>
        <v>1217777.5500000003</v>
      </c>
      <c r="BK30" s="71">
        <f>SUM(BK19:BK29)</f>
        <v>1187477.5500000003</v>
      </c>
      <c r="BL30" s="15">
        <f>(BH30-BK30)/BH30</f>
        <v>0.4751809552822383</v>
      </c>
      <c r="BM30" s="71">
        <f>SUM(BM19:BM29)</f>
        <v>0</v>
      </c>
      <c r="BN30" s="62">
        <f t="shared" si="77"/>
        <v>0</v>
      </c>
      <c r="BO30" s="193" t="b">
        <f>BO31=BK31</f>
        <v>1</v>
      </c>
      <c r="BP30" s="93"/>
      <c r="BQ30" s="70">
        <f>SUM(BQ19:BQ29)</f>
        <v>1497358.69</v>
      </c>
      <c r="BR30" s="71">
        <f>SUM(BR19:BR29)</f>
        <v>623916.97249999992</v>
      </c>
      <c r="BS30" s="71">
        <f>SUM(BS19:BS29)</f>
        <v>873441.71750000003</v>
      </c>
      <c r="BT30" s="71">
        <f>SUM(BT19:BT29)</f>
        <v>873441.71750000003</v>
      </c>
      <c r="BU30" s="15">
        <f>(BQ30-BT30)/BQ30</f>
        <v>0.41667836615687581</v>
      </c>
      <c r="BV30" s="71">
        <f>SUM(BV19:BV29)</f>
        <v>0</v>
      </c>
      <c r="BW30" s="62">
        <f t="shared" si="14"/>
        <v>0</v>
      </c>
      <c r="BX30" s="193" t="b">
        <f>BX31=BT31</f>
        <v>1</v>
      </c>
      <c r="BY30" s="93"/>
      <c r="BZ30" s="70">
        <f>SUM(BZ19:BZ29)</f>
        <v>1273432.4499999997</v>
      </c>
      <c r="CA30" s="71">
        <f>SUM(CA19:CA29)</f>
        <v>747561.14124999987</v>
      </c>
      <c r="CB30" s="71">
        <f>SUM(CB19:CB29)</f>
        <v>525871.30874999997</v>
      </c>
      <c r="CC30" s="71">
        <f>SUM(CC19:CC29)</f>
        <v>525871.30874999997</v>
      </c>
      <c r="CD30" s="15">
        <f>(BZ30-CC30)/BZ30</f>
        <v>0.58704420579984429</v>
      </c>
      <c r="CE30" s="71">
        <f>SUM(CE19:CE29)</f>
        <v>0</v>
      </c>
      <c r="CF30" s="62">
        <f t="shared" si="16"/>
        <v>0</v>
      </c>
      <c r="CG30" s="193" t="b">
        <f>CG31=CC31</f>
        <v>1</v>
      </c>
      <c r="CH30" s="93"/>
      <c r="CI30" s="70">
        <f>SUM(CI19:CI29)</f>
        <v>0</v>
      </c>
      <c r="CJ30" s="71">
        <f>SUM(CJ19:CJ29)</f>
        <v>0</v>
      </c>
      <c r="CK30" s="71">
        <f>SUM(CK19:CK29)</f>
        <v>0</v>
      </c>
      <c r="CL30" s="71">
        <f>SUM(CL19:CL29)</f>
        <v>0</v>
      </c>
      <c r="CM30" s="15" t="e">
        <f>(CI30-CL30)/CI30</f>
        <v>#DIV/0!</v>
      </c>
      <c r="CN30" s="71">
        <f>SUM(CN19:CN29)</f>
        <v>0</v>
      </c>
      <c r="CO30" s="62" t="e">
        <f t="shared" si="18"/>
        <v>#DIV/0!</v>
      </c>
      <c r="CP30" s="93"/>
      <c r="CQ30" s="70">
        <f>SUM(CQ19:CQ29)</f>
        <v>0</v>
      </c>
      <c r="CR30" s="71">
        <f>SUM(CR19:CR29)</f>
        <v>0</v>
      </c>
      <c r="CS30" s="71">
        <f>SUM(CS19:CS29)</f>
        <v>0</v>
      </c>
      <c r="CT30" s="71">
        <f>SUM(CT19:CT29)</f>
        <v>0</v>
      </c>
      <c r="CU30" s="15" t="e">
        <f>(CQ30-CT30)/CQ30</f>
        <v>#DIV/0!</v>
      </c>
      <c r="CV30" s="71">
        <f>SUM(CV19:CV29)</f>
        <v>0</v>
      </c>
      <c r="CW30" s="62" t="e">
        <f t="shared" ref="CW30" si="101">CV30/CQ30</f>
        <v>#DIV/0!</v>
      </c>
      <c r="CX30" s="93"/>
      <c r="CY30" s="70">
        <f>SUM(CY19:CY29)</f>
        <v>0</v>
      </c>
      <c r="CZ30" s="71">
        <f>SUM(CZ19:CZ29)</f>
        <v>0</v>
      </c>
      <c r="DA30" s="71">
        <f>SUM(DA19:DA29)</f>
        <v>0</v>
      </c>
      <c r="DB30" s="71">
        <f>SUM(DB19:DB29)</f>
        <v>0</v>
      </c>
      <c r="DC30" s="15" t="e">
        <f>(CY30-DB30)/CY30</f>
        <v>#DIV/0!</v>
      </c>
      <c r="DD30" s="71">
        <f>SUM(DD19:DD29)</f>
        <v>0</v>
      </c>
      <c r="DE30" s="62" t="e">
        <f t="shared" si="22"/>
        <v>#DIV/0!</v>
      </c>
      <c r="DF30" s="22"/>
      <c r="DG30" s="287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</row>
    <row r="31" spans="1:135" s="21" customFormat="1" ht="13" customHeight="1">
      <c r="A31" s="188">
        <v>1.68</v>
      </c>
      <c r="B31" s="165" t="s">
        <v>19</v>
      </c>
      <c r="C31" s="186">
        <f>C30*$A$31</f>
        <v>22815382.236480955</v>
      </c>
      <c r="D31" s="186">
        <f t="shared" ref="D31:E31" si="102">D30*$A$31</f>
        <v>11256744.476807144</v>
      </c>
      <c r="E31" s="186">
        <f t="shared" si="102"/>
        <v>11558637.877273805</v>
      </c>
      <c r="F31" s="186">
        <f>F30*$A$31</f>
        <v>11507733.877273805</v>
      </c>
      <c r="G31" s="155"/>
      <c r="H31" s="187">
        <f>H30*$A$31</f>
        <v>14039428.872969944</v>
      </c>
      <c r="I31" s="155"/>
      <c r="J31" s="191">
        <f>SUM(J19:J29)</f>
        <v>19198051.157125775</v>
      </c>
      <c r="K31" s="91"/>
      <c r="L31" s="219">
        <f>L30*$A$31</f>
        <v>1204860.1823999998</v>
      </c>
      <c r="M31" s="187">
        <f t="shared" ref="M31" si="103">M30*$A$31</f>
        <v>751424.64288539323</v>
      </c>
      <c r="N31" s="187">
        <f t="shared" ref="N31" si="104">N30*$A$31</f>
        <v>453435.53951460676</v>
      </c>
      <c r="O31" s="187">
        <f t="shared" ref="O31" si="105">O30*$A$31</f>
        <v>453435.53951460676</v>
      </c>
      <c r="P31" s="217"/>
      <c r="Q31" s="187">
        <f>Q30*$A$31</f>
        <v>0</v>
      </c>
      <c r="R31" s="220"/>
      <c r="S31" s="91"/>
      <c r="T31" s="219">
        <f>T30*$A$31</f>
        <v>1471229.1852809505</v>
      </c>
      <c r="U31" s="187">
        <f t="shared" ref="U31" si="106">U30*$A$31</f>
        <v>758222.18386975047</v>
      </c>
      <c r="V31" s="187">
        <f t="shared" ref="V31" si="107">V30*$A$31</f>
        <v>713007.00141119992</v>
      </c>
      <c r="W31" s="187">
        <f t="shared" ref="W31" si="108">W30*$A$31</f>
        <v>713007.00141119992</v>
      </c>
      <c r="X31" s="217"/>
      <c r="Y31" s="187">
        <f>Y30*$A$31</f>
        <v>0</v>
      </c>
      <c r="Z31" s="220"/>
      <c r="AA31" s="91"/>
      <c r="AB31" s="219">
        <f>AB30*$A$31</f>
        <v>2998538.0823999997</v>
      </c>
      <c r="AC31" s="187">
        <f t="shared" ref="AC31" si="109">AC30*$A$31</f>
        <v>1526695.0845999999</v>
      </c>
      <c r="AD31" s="187">
        <f t="shared" ref="AD31" si="110">AD30*$A$31</f>
        <v>1471842.9977999998</v>
      </c>
      <c r="AE31" s="187">
        <f t="shared" ref="AE31" si="111">AE30*$A$31</f>
        <v>1471842.9977999998</v>
      </c>
      <c r="AF31" s="217"/>
      <c r="AG31" s="187">
        <f>AG30*$A$31</f>
        <v>0</v>
      </c>
      <c r="AH31" s="220"/>
      <c r="AI31" s="91"/>
      <c r="AJ31" s="219">
        <f>AJ30*$A$31</f>
        <v>3296255.4240000001</v>
      </c>
      <c r="AK31" s="187">
        <f t="shared" ref="AK31" si="112">AK30*$A$31</f>
        <v>1631331.1181999999</v>
      </c>
      <c r="AL31" s="187">
        <f t="shared" ref="AL31" si="113">AL30*$A$31</f>
        <v>1664924.3057999997</v>
      </c>
      <c r="AM31" s="187">
        <f t="shared" ref="AM31" si="114">AM30*$A$31</f>
        <v>1664924.3057999997</v>
      </c>
      <c r="AN31" s="217"/>
      <c r="AO31" s="187">
        <f>AO30*$A$31</f>
        <v>0</v>
      </c>
      <c r="AP31" s="220"/>
      <c r="AQ31" s="91"/>
      <c r="AR31" s="219">
        <f>AR30*$A$31</f>
        <v>2736231.9852</v>
      </c>
      <c r="AS31" s="187">
        <f t="shared" ref="AS31" si="115">AS30*$A$31</f>
        <v>1478857.3284239999</v>
      </c>
      <c r="AT31" s="187">
        <f t="shared" ref="AT31" si="116">AT30*$A$31</f>
        <v>1257374.6567759998</v>
      </c>
      <c r="AU31" s="187">
        <f t="shared" ref="AU31" si="117">AU30*$A$31</f>
        <v>1257374.6567759998</v>
      </c>
      <c r="AV31" s="217"/>
      <c r="AW31" s="187">
        <f>AW30*$A$31</f>
        <v>0</v>
      </c>
      <c r="AX31" s="220"/>
      <c r="AY31" s="91"/>
      <c r="AZ31" s="219">
        <f>AZ30*$A$31</f>
        <v>2652099.9035999998</v>
      </c>
      <c r="BA31" s="187">
        <f t="shared" ref="BA31" si="118">BA30*$A$31</f>
        <v>1050758.6957279998</v>
      </c>
      <c r="BB31" s="187">
        <f t="shared" ref="BB31" si="119">BB30*$A$31</f>
        <v>1601341.2078720001</v>
      </c>
      <c r="BC31" s="187">
        <f t="shared" ref="BC31" si="120">BC30*$A$31</f>
        <v>1601341.2078720001</v>
      </c>
      <c r="BD31" s="217"/>
      <c r="BE31" s="187">
        <f>BE30*$A$31</f>
        <v>84000</v>
      </c>
      <c r="BF31" s="220"/>
      <c r="BG31" s="91"/>
      <c r="BH31" s="219">
        <f>BH30*$A$31</f>
        <v>3801238.3583999998</v>
      </c>
      <c r="BI31" s="187">
        <f t="shared" ref="BI31" si="121">BI30*$A$31</f>
        <v>1755372.1919999998</v>
      </c>
      <c r="BJ31" s="187">
        <f t="shared" ref="BJ31" si="122">BJ30*$A$31</f>
        <v>2045866.2840000005</v>
      </c>
      <c r="BK31" s="187">
        <f t="shared" ref="BK31" si="123">BK30*$A$31</f>
        <v>1994962.2840000005</v>
      </c>
      <c r="BL31" s="217"/>
      <c r="BM31" s="187">
        <f>BM30*$A$31</f>
        <v>0</v>
      </c>
      <c r="BN31" s="220"/>
      <c r="BO31" s="191">
        <f>SUM(BO19:BO29)</f>
        <v>1994962.284</v>
      </c>
      <c r="BP31" s="91"/>
      <c r="BQ31" s="219">
        <f>BQ30*$A$31</f>
        <v>2515562.5991999996</v>
      </c>
      <c r="BR31" s="187">
        <f t="shared" ref="BR31" si="124">BR30*$A$31</f>
        <v>1048180.5137999998</v>
      </c>
      <c r="BS31" s="187">
        <f t="shared" ref="BS31" si="125">BS30*$A$31</f>
        <v>1467382.0854</v>
      </c>
      <c r="BT31" s="187">
        <f>BT30*$A$31</f>
        <v>1467382.0854</v>
      </c>
      <c r="BU31" s="217"/>
      <c r="BV31" s="187">
        <f>BV30*$A$31</f>
        <v>0</v>
      </c>
      <c r="BW31" s="220"/>
      <c r="BX31" s="191">
        <f>SUM(BX19:BX29)</f>
        <v>1467382.0854</v>
      </c>
      <c r="BY31" s="91"/>
      <c r="BZ31" s="219">
        <f>BZ30*$A$31</f>
        <v>2139366.5159999994</v>
      </c>
      <c r="CA31" s="187">
        <f t="shared" ref="CA31" si="126">CA30*$A$31</f>
        <v>1255902.7172999997</v>
      </c>
      <c r="CB31" s="187">
        <f t="shared" ref="CB31" si="127">CB30*$A$31</f>
        <v>883463.79869999993</v>
      </c>
      <c r="CC31" s="187">
        <f t="shared" ref="CC31" si="128">CC30*$A$31</f>
        <v>883463.79869999993</v>
      </c>
      <c r="CD31" s="217"/>
      <c r="CE31" s="187">
        <f>CE30*$A$31</f>
        <v>0</v>
      </c>
      <c r="CF31" s="220"/>
      <c r="CG31" s="191">
        <f>SUM(CG19:CG29)</f>
        <v>883463.79869999993</v>
      </c>
      <c r="CH31" s="91"/>
      <c r="CI31" s="219">
        <f>CI30*$A$31</f>
        <v>0</v>
      </c>
      <c r="CJ31" s="187">
        <f t="shared" ref="CJ31" si="129">CJ30*$A$31</f>
        <v>0</v>
      </c>
      <c r="CK31" s="187">
        <f t="shared" ref="CK31" si="130">CK30*$A$31</f>
        <v>0</v>
      </c>
      <c r="CL31" s="187">
        <f t="shared" ref="CL31" si="131">CL30*$A$31</f>
        <v>0</v>
      </c>
      <c r="CM31" s="217"/>
      <c r="CN31" s="187">
        <f>CN30*$A$31</f>
        <v>0</v>
      </c>
      <c r="CO31" s="220"/>
      <c r="CP31" s="91"/>
      <c r="CQ31" s="219">
        <f>CQ30*$A$31</f>
        <v>0</v>
      </c>
      <c r="CR31" s="187">
        <f t="shared" ref="CR31" si="132">CR30*$A$31</f>
        <v>0</v>
      </c>
      <c r="CS31" s="187">
        <f t="shared" ref="CS31" si="133">CS30*$A$31</f>
        <v>0</v>
      </c>
      <c r="CT31" s="187">
        <f t="shared" ref="CT31" si="134">CT30*$A$31</f>
        <v>0</v>
      </c>
      <c r="CU31" s="217"/>
      <c r="CV31" s="187">
        <f>CV30*$A$31</f>
        <v>0</v>
      </c>
      <c r="CW31" s="220"/>
      <c r="CX31" s="91"/>
      <c r="CY31" s="219">
        <f>CY30*$A$31</f>
        <v>0</v>
      </c>
      <c r="CZ31" s="187">
        <f t="shared" ref="CZ31" si="135">CZ30*$A$31</f>
        <v>0</v>
      </c>
      <c r="DA31" s="187">
        <f t="shared" ref="DA31" si="136">DA30*$A$31</f>
        <v>0</v>
      </c>
      <c r="DB31" s="187">
        <f t="shared" ref="DB31" si="137">DB30*$A$31</f>
        <v>0</v>
      </c>
      <c r="DC31" s="217"/>
      <c r="DD31" s="187">
        <f>DD30*$A$31</f>
        <v>0</v>
      </c>
      <c r="DE31" s="220"/>
      <c r="DF31" s="8"/>
      <c r="DG31" s="287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</row>
    <row r="32" spans="1:135" s="7" customFormat="1" ht="13" customHeight="1">
      <c r="A32" s="329" t="s">
        <v>21</v>
      </c>
      <c r="B32" s="48" t="s">
        <v>12</v>
      </c>
      <c r="C32" s="232">
        <f t="shared" ref="C32:F33" si="138">SUM(L32,T32,AB32,AJ32,AR32,AZ32,BH32,BQ32,BZ32,CI32,CQ32,CY32)</f>
        <v>7750000</v>
      </c>
      <c r="D32" s="232">
        <f t="shared" si="138"/>
        <v>2218920</v>
      </c>
      <c r="E32" s="232">
        <f t="shared" si="138"/>
        <v>5531080</v>
      </c>
      <c r="F32" s="232">
        <f t="shared" si="138"/>
        <v>5531080</v>
      </c>
      <c r="G32" s="14">
        <f>D32/C32</f>
        <v>0.28631225806451616</v>
      </c>
      <c r="H32" s="232">
        <f>SUM(Q32,Y32,AG32,AO32,AW32,BE32,BM32,BV32,CE32,CN32,CV32,DD32)</f>
        <v>2700000</v>
      </c>
      <c r="I32" s="14">
        <f>H32/C32</f>
        <v>0.34838709677419355</v>
      </c>
      <c r="J32" s="194">
        <f>F32*$A$47</f>
        <v>774351.20000000007</v>
      </c>
      <c r="K32" s="94"/>
      <c r="L32" s="231">
        <v>1400000</v>
      </c>
      <c r="M32" s="232">
        <v>366800</v>
      </c>
      <c r="N32" s="232">
        <v>1033200</v>
      </c>
      <c r="O32" s="232">
        <f>N32</f>
        <v>1033200</v>
      </c>
      <c r="P32" s="52">
        <f>(L32-N32)/L32</f>
        <v>0.26200000000000001</v>
      </c>
      <c r="Q32" s="232">
        <v>0</v>
      </c>
      <c r="R32" s="53">
        <f>Q32/L32</f>
        <v>0</v>
      </c>
      <c r="S32" s="94"/>
      <c r="T32" s="231">
        <v>1725000</v>
      </c>
      <c r="U32" s="232">
        <v>451950</v>
      </c>
      <c r="V32" s="232">
        <v>1273050</v>
      </c>
      <c r="W32" s="232">
        <v>1273050</v>
      </c>
      <c r="X32" s="52">
        <f t="shared" ref="X32:X41" si="139">(T32-V32)/T32</f>
        <v>0.26200000000000001</v>
      </c>
      <c r="Y32" s="234">
        <v>0</v>
      </c>
      <c r="Z32" s="53">
        <f>Y32/T32</f>
        <v>0</v>
      </c>
      <c r="AA32" s="94"/>
      <c r="AB32" s="233">
        <v>575000</v>
      </c>
      <c r="AC32" s="234">
        <f>AB32-AD32</f>
        <v>150650</v>
      </c>
      <c r="AD32" s="234">
        <v>424350</v>
      </c>
      <c r="AE32" s="234">
        <v>424350</v>
      </c>
      <c r="AF32" s="66">
        <f t="shared" ref="AF32:AF41" si="140">(AB32-AD32)/AB32</f>
        <v>0.26200000000000001</v>
      </c>
      <c r="AG32" s="234">
        <v>0</v>
      </c>
      <c r="AH32" s="67">
        <f>AG32/AB32</f>
        <v>0</v>
      </c>
      <c r="AI32" s="94"/>
      <c r="AJ32" s="233">
        <v>0</v>
      </c>
      <c r="AK32" s="234">
        <v>0</v>
      </c>
      <c r="AL32" s="234">
        <v>0</v>
      </c>
      <c r="AM32" s="234">
        <v>0</v>
      </c>
      <c r="AN32" s="66" t="e">
        <f>(AJ32-AL32)/AJ32</f>
        <v>#DIV/0!</v>
      </c>
      <c r="AO32" s="234">
        <v>0</v>
      </c>
      <c r="AP32" s="67" t="e">
        <f>AO32/AJ32</f>
        <v>#DIV/0!</v>
      </c>
      <c r="AQ32" s="94"/>
      <c r="AR32" s="231">
        <v>0</v>
      </c>
      <c r="AS32" s="232">
        <v>0</v>
      </c>
      <c r="AT32" s="232">
        <v>0</v>
      </c>
      <c r="AU32" s="232">
        <v>0</v>
      </c>
      <c r="AV32" s="52" t="e">
        <f t="shared" ref="AV32:AV41" si="141">(AR32-AT32)/AR32</f>
        <v>#DIV/0!</v>
      </c>
      <c r="AW32" s="234">
        <v>0</v>
      </c>
      <c r="AX32" s="53" t="e">
        <f>AW32/AR32</f>
        <v>#DIV/0!</v>
      </c>
      <c r="AY32" s="94"/>
      <c r="AZ32" s="238">
        <v>0</v>
      </c>
      <c r="BA32" s="239">
        <v>0</v>
      </c>
      <c r="BB32" s="239">
        <v>0</v>
      </c>
      <c r="BC32" s="239">
        <v>0</v>
      </c>
      <c r="BD32" s="52" t="e">
        <f t="shared" ref="BD32:BD41" si="142">(AZ32-BB32)/AZ32</f>
        <v>#DIV/0!</v>
      </c>
      <c r="BE32" s="237">
        <v>0</v>
      </c>
      <c r="BF32" s="53" t="e">
        <f>BE32/AZ32</f>
        <v>#DIV/0!</v>
      </c>
      <c r="BG32" s="94"/>
      <c r="BH32" s="231">
        <v>0</v>
      </c>
      <c r="BI32" s="232">
        <v>0</v>
      </c>
      <c r="BJ32" s="232">
        <v>0</v>
      </c>
      <c r="BK32" s="232">
        <v>0</v>
      </c>
      <c r="BL32" s="52" t="e">
        <f t="shared" ref="BL32:BL41" si="143">(BH32-BJ32)/BH32</f>
        <v>#DIV/0!</v>
      </c>
      <c r="BM32" s="232">
        <v>0</v>
      </c>
      <c r="BN32" s="53" t="e">
        <f>BM32/BH32</f>
        <v>#DIV/0!</v>
      </c>
      <c r="BO32" s="194">
        <f>BK32*$A$47</f>
        <v>0</v>
      </c>
      <c r="BP32" s="94"/>
      <c r="BQ32" s="234"/>
      <c r="BR32" s="234"/>
      <c r="BS32" s="234"/>
      <c r="BT32" s="234"/>
      <c r="BU32" s="52" t="e">
        <f t="shared" ref="BU32:BU41" si="144">(BQ32-BS32)/BQ32</f>
        <v>#DIV/0!</v>
      </c>
      <c r="BV32" s="234"/>
      <c r="BW32" s="53" t="e">
        <f>BV32/BQ32</f>
        <v>#DIV/0!</v>
      </c>
      <c r="BX32" s="294">
        <f>BT32*$A$47</f>
        <v>0</v>
      </c>
      <c r="BY32" s="94"/>
      <c r="BZ32" s="234">
        <v>4050000</v>
      </c>
      <c r="CA32" s="234">
        <v>1249520</v>
      </c>
      <c r="CB32" s="234">
        <v>2800480</v>
      </c>
      <c r="CC32" s="234">
        <v>2800480</v>
      </c>
      <c r="CD32" s="52">
        <f t="shared" ref="CD32:CD41" si="145">(BZ32-CB32)/BZ32</f>
        <v>0.30852345679012344</v>
      </c>
      <c r="CE32" s="234">
        <v>2700000</v>
      </c>
      <c r="CF32" s="53">
        <f>CE32/BZ32</f>
        <v>0.66666666666666663</v>
      </c>
      <c r="CG32" s="294">
        <f>CC32*$A$47</f>
        <v>392067.2</v>
      </c>
      <c r="CH32" s="94"/>
      <c r="CI32" s="109"/>
      <c r="CJ32" s="110"/>
      <c r="CK32" s="110"/>
      <c r="CL32" s="110"/>
      <c r="CM32" s="111" t="e">
        <f t="shared" ref="CM32:CM33" si="146">(CI32-CK32)/CI32</f>
        <v>#DIV/0!</v>
      </c>
      <c r="CN32" s="112"/>
      <c r="CO32" s="113" t="e">
        <f>CN32/CI32</f>
        <v>#DIV/0!</v>
      </c>
      <c r="CP32" s="94"/>
      <c r="CQ32" s="109"/>
      <c r="CR32" s="110"/>
      <c r="CS32" s="110"/>
      <c r="CT32" s="110"/>
      <c r="CU32" s="111" t="e">
        <f t="shared" ref="CU32:CU33" si="147">(CQ32-CS32)/CQ32</f>
        <v>#DIV/0!</v>
      </c>
      <c r="CV32" s="112"/>
      <c r="CW32" s="113" t="e">
        <f>CV32/CQ32</f>
        <v>#DIV/0!</v>
      </c>
      <c r="CX32" s="94"/>
      <c r="CY32" s="109"/>
      <c r="CZ32" s="110"/>
      <c r="DA32" s="110"/>
      <c r="DB32" s="110"/>
      <c r="DC32" s="111" t="e">
        <f t="shared" ref="DC32:DC33" si="148">(CY32-DA32)/CY32</f>
        <v>#DIV/0!</v>
      </c>
      <c r="DD32" s="112"/>
      <c r="DE32" s="113" t="e">
        <f>DD32/CY32</f>
        <v>#DIV/0!</v>
      </c>
      <c r="DF32" s="6"/>
      <c r="DG32" s="289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</row>
    <row r="33" spans="1:135" s="7" customFormat="1" ht="13" customHeight="1">
      <c r="A33" s="330"/>
      <c r="B33" s="49" t="s">
        <v>13</v>
      </c>
      <c r="C33" s="232">
        <f t="shared" si="138"/>
        <v>19795998.040000003</v>
      </c>
      <c r="D33" s="232">
        <f t="shared" si="138"/>
        <v>0</v>
      </c>
      <c r="E33" s="232">
        <f t="shared" si="138"/>
        <v>16349916.170000002</v>
      </c>
      <c r="F33" s="232">
        <f t="shared" si="138"/>
        <v>16349916.170000002</v>
      </c>
      <c r="G33" s="14">
        <f>D33/C33</f>
        <v>0</v>
      </c>
      <c r="H33" s="232">
        <f>SUM(Q33,Y33,AG33,AO33,AW33,BE33,BM33,BV33,CE33,CN33,CV33,DD33)</f>
        <v>0</v>
      </c>
      <c r="I33" s="14">
        <f t="shared" ref="I33:I41" si="149">H33/C33</f>
        <v>0</v>
      </c>
      <c r="J33" s="194">
        <f>SUM(J35:J41)</f>
        <v>3583231.8564000004</v>
      </c>
      <c r="K33" s="94"/>
      <c r="L33" s="231">
        <v>2352290</v>
      </c>
      <c r="M33" s="232">
        <v>0</v>
      </c>
      <c r="N33" s="232">
        <v>2352290</v>
      </c>
      <c r="O33" s="232">
        <f t="shared" ref="O33:O42" si="150">N33</f>
        <v>2352290</v>
      </c>
      <c r="P33" s="52">
        <f t="shared" ref="P33:P45" si="151">(L33-N33)/L33</f>
        <v>0</v>
      </c>
      <c r="Q33" s="232">
        <v>0</v>
      </c>
      <c r="R33" s="53">
        <f t="shared" ref="R33:R43" si="152">Q33/L33</f>
        <v>0</v>
      </c>
      <c r="S33" s="94"/>
      <c r="T33" s="231">
        <v>4002425.1</v>
      </c>
      <c r="U33" s="232">
        <v>0</v>
      </c>
      <c r="V33" s="232">
        <v>4002425.1</v>
      </c>
      <c r="W33" s="232">
        <v>4002425.1</v>
      </c>
      <c r="X33" s="52">
        <f t="shared" si="139"/>
        <v>0</v>
      </c>
      <c r="Y33" s="234">
        <v>0</v>
      </c>
      <c r="Z33" s="53">
        <f t="shared" ref="Z33:Z45" si="153">Y33/T33</f>
        <v>0</v>
      </c>
      <c r="AA33" s="94"/>
      <c r="AB33" s="233">
        <v>1845542</v>
      </c>
      <c r="AC33" s="234">
        <f t="shared" ref="AC33:AC45" si="154">AB33-AD33</f>
        <v>0</v>
      </c>
      <c r="AD33" s="234">
        <v>1845542</v>
      </c>
      <c r="AE33" s="234">
        <v>1845542</v>
      </c>
      <c r="AF33" s="66">
        <f t="shared" si="140"/>
        <v>0</v>
      </c>
      <c r="AG33" s="234">
        <v>0</v>
      </c>
      <c r="AH33" s="67">
        <f t="shared" ref="AH33:AH45" si="155">AG33/AB33</f>
        <v>0</v>
      </c>
      <c r="AI33" s="94"/>
      <c r="AJ33" s="233">
        <v>1101983.4700000002</v>
      </c>
      <c r="AK33" s="234">
        <v>0</v>
      </c>
      <c r="AL33" s="234">
        <v>1101983.4700000002</v>
      </c>
      <c r="AM33" s="234">
        <v>1101983.4700000002</v>
      </c>
      <c r="AN33" s="66">
        <f t="shared" ref="AN33:AN42" si="156">(AJ33-AL33)/AJ33</f>
        <v>0</v>
      </c>
      <c r="AO33" s="234">
        <v>0</v>
      </c>
      <c r="AP33" s="67">
        <f t="shared" ref="AP33:AP41" si="157">AO33/AJ33</f>
        <v>0</v>
      </c>
      <c r="AQ33" s="94"/>
      <c r="AR33" s="231">
        <v>1014394</v>
      </c>
      <c r="AS33" s="232">
        <v>0</v>
      </c>
      <c r="AT33" s="232">
        <v>1014394</v>
      </c>
      <c r="AU33" s="232">
        <v>1014394</v>
      </c>
      <c r="AV33" s="52">
        <f t="shared" si="141"/>
        <v>0</v>
      </c>
      <c r="AW33" s="234">
        <v>0</v>
      </c>
      <c r="AX33" s="53">
        <f t="shared" ref="AX33:AX45" si="158">AW33/AR33</f>
        <v>0</v>
      </c>
      <c r="AY33" s="94"/>
      <c r="AZ33" s="238">
        <v>947893.66</v>
      </c>
      <c r="BA33" s="239">
        <f>AZ33-BB33</f>
        <v>0</v>
      </c>
      <c r="BB33" s="239">
        <v>947893.66</v>
      </c>
      <c r="BC33" s="239">
        <v>947893.66</v>
      </c>
      <c r="BD33" s="52">
        <f t="shared" si="142"/>
        <v>0</v>
      </c>
      <c r="BE33" s="237">
        <v>0</v>
      </c>
      <c r="BF33" s="53">
        <f t="shared" ref="BF33:BF45" si="159">BE33/AZ33</f>
        <v>0</v>
      </c>
      <c r="BG33" s="94"/>
      <c r="BH33" s="231">
        <f>SUM(BH35:BH40)</f>
        <v>3446081.87</v>
      </c>
      <c r="BI33" s="232">
        <v>0</v>
      </c>
      <c r="BJ33" s="232">
        <v>0</v>
      </c>
      <c r="BK33" s="232">
        <v>0</v>
      </c>
      <c r="BL33" s="52">
        <f t="shared" si="143"/>
        <v>1</v>
      </c>
      <c r="BM33" s="232">
        <v>0</v>
      </c>
      <c r="BN33" s="53">
        <f t="shared" ref="BN33:BN45" si="160">BM33/BH33</f>
        <v>0</v>
      </c>
      <c r="BO33" s="194">
        <f>SUM(BO35:BO41)</f>
        <v>482451.46180000005</v>
      </c>
      <c r="BP33" s="94"/>
      <c r="BQ33" s="234">
        <f>SUM(BQ35:BQ41)</f>
        <v>5085387.9400000004</v>
      </c>
      <c r="BR33" s="234">
        <f t="shared" ref="BR33:BT33" si="161">SUM(BR35:BR41)</f>
        <v>0</v>
      </c>
      <c r="BS33" s="234">
        <f t="shared" si="161"/>
        <v>5085387.9400000004</v>
      </c>
      <c r="BT33" s="234">
        <f t="shared" si="161"/>
        <v>5085387.9400000004</v>
      </c>
      <c r="BU33" s="52">
        <f t="shared" si="144"/>
        <v>0</v>
      </c>
      <c r="BV33" s="234">
        <v>0</v>
      </c>
      <c r="BW33" s="53">
        <f t="shared" ref="BW33:BW45" si="162">BV33/BQ33</f>
        <v>0</v>
      </c>
      <c r="BX33" s="294">
        <f>SUM(BX35:BX41)</f>
        <v>711954.31160000002</v>
      </c>
      <c r="BY33" s="94"/>
      <c r="BZ33" s="234"/>
      <c r="CA33" s="234"/>
      <c r="CB33" s="234"/>
      <c r="CC33" s="234"/>
      <c r="CD33" s="52" t="e">
        <f t="shared" si="145"/>
        <v>#DIV/0!</v>
      </c>
      <c r="CE33" s="234"/>
      <c r="CF33" s="53" t="e">
        <f t="shared" ref="CF33:CF45" si="163">CE33/BZ33</f>
        <v>#DIV/0!</v>
      </c>
      <c r="CG33" s="294">
        <f>SUM(CG35:CG41)</f>
        <v>811774.46420000005</v>
      </c>
      <c r="CH33" s="94"/>
      <c r="CI33" s="109"/>
      <c r="CJ33" s="110"/>
      <c r="CK33" s="110"/>
      <c r="CL33" s="110"/>
      <c r="CM33" s="111" t="e">
        <f t="shared" si="146"/>
        <v>#DIV/0!</v>
      </c>
      <c r="CN33" s="112"/>
      <c r="CO33" s="113" t="e">
        <f t="shared" ref="CO33:CO45" si="164">CN33/CI33</f>
        <v>#DIV/0!</v>
      </c>
      <c r="CP33" s="94"/>
      <c r="CQ33" s="109"/>
      <c r="CR33" s="110"/>
      <c r="CS33" s="110"/>
      <c r="CT33" s="110"/>
      <c r="CU33" s="111" t="e">
        <f t="shared" si="147"/>
        <v>#DIV/0!</v>
      </c>
      <c r="CV33" s="112"/>
      <c r="CW33" s="113" t="e">
        <f t="shared" ref="CW33:CW45" si="165">CV33/CQ33</f>
        <v>#DIV/0!</v>
      </c>
      <c r="CX33" s="94"/>
      <c r="CY33" s="109"/>
      <c r="CZ33" s="110"/>
      <c r="DA33" s="110"/>
      <c r="DB33" s="110"/>
      <c r="DC33" s="111" t="e">
        <f t="shared" si="148"/>
        <v>#DIV/0!</v>
      </c>
      <c r="DD33" s="112"/>
      <c r="DE33" s="113" t="e">
        <f t="shared" ref="DE33:DE45" si="166">DD33/CY33</f>
        <v>#DIV/0!</v>
      </c>
      <c r="DF33" s="6"/>
      <c r="DG33" s="289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</row>
    <row r="34" spans="1:135" s="7" customFormat="1" ht="13" customHeight="1">
      <c r="A34" s="330"/>
      <c r="B34" s="49" t="s">
        <v>62</v>
      </c>
      <c r="C34" s="232"/>
      <c r="D34" s="232"/>
      <c r="E34" s="232"/>
      <c r="F34" s="232"/>
      <c r="G34" s="14"/>
      <c r="H34" s="232"/>
      <c r="I34" s="14"/>
      <c r="J34" s="194"/>
      <c r="K34" s="94"/>
      <c r="L34" s="231"/>
      <c r="M34" s="232"/>
      <c r="N34" s="232"/>
      <c r="O34" s="232"/>
      <c r="P34" s="52"/>
      <c r="Q34" s="232"/>
      <c r="R34" s="53"/>
      <c r="S34" s="94"/>
      <c r="T34" s="231"/>
      <c r="U34" s="232"/>
      <c r="V34" s="232"/>
      <c r="W34" s="232"/>
      <c r="X34" s="52"/>
      <c r="Y34" s="234"/>
      <c r="Z34" s="53"/>
      <c r="AA34" s="94"/>
      <c r="AB34" s="233"/>
      <c r="AC34" s="234"/>
      <c r="AD34" s="234"/>
      <c r="AE34" s="234"/>
      <c r="AF34" s="66"/>
      <c r="AG34" s="234"/>
      <c r="AH34" s="67"/>
      <c r="AI34" s="94"/>
      <c r="AJ34" s="233"/>
      <c r="AK34" s="234"/>
      <c r="AL34" s="234"/>
      <c r="AM34" s="234"/>
      <c r="AN34" s="66"/>
      <c r="AO34" s="234"/>
      <c r="AP34" s="67"/>
      <c r="AQ34" s="94"/>
      <c r="AR34" s="231"/>
      <c r="AS34" s="232"/>
      <c r="AT34" s="232"/>
      <c r="AU34" s="232"/>
      <c r="AV34" s="52"/>
      <c r="AW34" s="234"/>
      <c r="AX34" s="53"/>
      <c r="AY34" s="94"/>
      <c r="AZ34" s="238"/>
      <c r="BA34" s="239"/>
      <c r="BB34" s="239"/>
      <c r="BC34" s="239"/>
      <c r="BD34" s="52"/>
      <c r="BE34" s="237"/>
      <c r="BF34" s="53"/>
      <c r="BG34" s="94"/>
      <c r="BH34" s="231"/>
      <c r="BI34" s="232"/>
      <c r="BJ34" s="232"/>
      <c r="BK34" s="232"/>
      <c r="BL34" s="52"/>
      <c r="BM34" s="232"/>
      <c r="BN34" s="53"/>
      <c r="BO34" s="194"/>
      <c r="BP34" s="94"/>
      <c r="BQ34" s="234"/>
      <c r="BR34" s="234"/>
      <c r="BS34" s="234"/>
      <c r="BT34" s="234"/>
      <c r="BU34" s="52"/>
      <c r="BV34" s="234"/>
      <c r="BW34" s="53"/>
      <c r="BX34" s="294"/>
      <c r="BY34" s="94"/>
      <c r="BZ34" s="234"/>
      <c r="CA34" s="234"/>
      <c r="CB34" s="234"/>
      <c r="CC34" s="234"/>
      <c r="CD34" s="52"/>
      <c r="CE34" s="234"/>
      <c r="CF34" s="53"/>
      <c r="CG34" s="294"/>
      <c r="CH34" s="94"/>
      <c r="CI34" s="109"/>
      <c r="CJ34" s="110"/>
      <c r="CK34" s="110"/>
      <c r="CL34" s="110"/>
      <c r="CM34" s="111"/>
      <c r="CN34" s="112"/>
      <c r="CO34" s="113"/>
      <c r="CP34" s="94"/>
      <c r="CQ34" s="109"/>
      <c r="CR34" s="110"/>
      <c r="CS34" s="110"/>
      <c r="CT34" s="110"/>
      <c r="CU34" s="111"/>
      <c r="CV34" s="112"/>
      <c r="CW34" s="113"/>
      <c r="CX34" s="94"/>
      <c r="CY34" s="109"/>
      <c r="CZ34" s="110"/>
      <c r="DA34" s="110"/>
      <c r="DB34" s="110"/>
      <c r="DC34" s="111"/>
      <c r="DD34" s="112"/>
      <c r="DE34" s="113"/>
      <c r="DF34" s="6"/>
      <c r="DG34" s="289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</row>
    <row r="35" spans="1:135" s="7" customFormat="1" ht="13" customHeight="1">
      <c r="A35" s="330"/>
      <c r="B35" s="49" t="s">
        <v>40</v>
      </c>
      <c r="C35" s="232">
        <f>SUM(L35,T35,AB35,AJ35,AR35,AZ35,BH35,BQ35,BZ35,CI35,CQ35,CY35)</f>
        <v>5277225.6399999997</v>
      </c>
      <c r="D35" s="232">
        <f t="shared" ref="D35:D41" si="167">SUM(M35,U35,AC35,AK35,AS35,BA35,BI35,BR35,CA35,CJ35,CR35,CZ35)</f>
        <v>0</v>
      </c>
      <c r="E35" s="232">
        <f t="shared" ref="E35:E41" si="168">SUM(N35,V35,AD35,AL35,AT35,BB35,BJ35,BS35,CB35,CK35,CS35,DA35)</f>
        <v>5277225.6399999997</v>
      </c>
      <c r="F35" s="232">
        <f t="shared" ref="F35:F41" si="169">SUM(O35,W35,AE35,AM35,AU35,BC35,BK35,BT35,CC35,CL35,CT35,DB35)</f>
        <v>5277225.6399999997</v>
      </c>
      <c r="G35" s="14">
        <f t="shared" ref="G35:G41" si="170">D35/C35</f>
        <v>0</v>
      </c>
      <c r="H35" s="232">
        <f t="shared" ref="H35:H43" si="171">SUM(Q35,Y35,AG35,AO35,AW35,BE35,BM35,BV35,CE35,CN35,CV35,DD35)</f>
        <v>0</v>
      </c>
      <c r="I35" s="14">
        <f t="shared" si="149"/>
        <v>0</v>
      </c>
      <c r="J35" s="194">
        <f t="shared" ref="J35:J41" si="172">F35*$A$47</f>
        <v>738811.58960000006</v>
      </c>
      <c r="K35" s="90"/>
      <c r="L35" s="231">
        <v>389273.85</v>
      </c>
      <c r="M35" s="232">
        <v>0</v>
      </c>
      <c r="N35" s="232">
        <v>389273.85</v>
      </c>
      <c r="O35" s="232">
        <v>389273.85</v>
      </c>
      <c r="P35" s="52">
        <f t="shared" si="151"/>
        <v>0</v>
      </c>
      <c r="Q35" s="232">
        <v>0</v>
      </c>
      <c r="R35" s="53">
        <f t="shared" si="152"/>
        <v>0</v>
      </c>
      <c r="S35" s="90"/>
      <c r="T35" s="233">
        <v>693694.9</v>
      </c>
      <c r="U35" s="232">
        <v>0</v>
      </c>
      <c r="V35" s="234">
        <v>693694.9</v>
      </c>
      <c r="W35" s="234">
        <v>693694.9</v>
      </c>
      <c r="X35" s="52">
        <f t="shared" si="139"/>
        <v>0</v>
      </c>
      <c r="Y35" s="234">
        <v>0</v>
      </c>
      <c r="Z35" s="53">
        <f t="shared" si="153"/>
        <v>0</v>
      </c>
      <c r="AA35" s="90"/>
      <c r="AB35" s="231">
        <v>467154</v>
      </c>
      <c r="AC35" s="234">
        <f t="shared" si="154"/>
        <v>0</v>
      </c>
      <c r="AD35" s="232">
        <v>467154</v>
      </c>
      <c r="AE35" s="232">
        <v>467154</v>
      </c>
      <c r="AF35" s="66">
        <f t="shared" si="140"/>
        <v>0</v>
      </c>
      <c r="AG35" s="234">
        <v>0</v>
      </c>
      <c r="AH35" s="67">
        <f t="shared" si="155"/>
        <v>0</v>
      </c>
      <c r="AI35" s="90"/>
      <c r="AJ35" s="233">
        <v>77209.16</v>
      </c>
      <c r="AK35" s="234">
        <v>0</v>
      </c>
      <c r="AL35" s="234">
        <v>77209.16</v>
      </c>
      <c r="AM35" s="234">
        <v>77209.16</v>
      </c>
      <c r="AN35" s="66">
        <f t="shared" si="156"/>
        <v>0</v>
      </c>
      <c r="AO35" s="234">
        <v>0</v>
      </c>
      <c r="AP35" s="67">
        <f t="shared" si="157"/>
        <v>0</v>
      </c>
      <c r="AQ35" s="90"/>
      <c r="AR35" s="233">
        <v>74134.2</v>
      </c>
      <c r="AS35" s="232">
        <v>0</v>
      </c>
      <c r="AT35" s="234">
        <v>74134.2</v>
      </c>
      <c r="AU35" s="234">
        <v>74134.2</v>
      </c>
      <c r="AV35" s="52">
        <f t="shared" si="141"/>
        <v>0</v>
      </c>
      <c r="AW35" s="234">
        <v>0</v>
      </c>
      <c r="AX35" s="53">
        <f t="shared" si="158"/>
        <v>0</v>
      </c>
      <c r="AY35" s="90"/>
      <c r="AZ35" s="240">
        <v>323986.67</v>
      </c>
      <c r="BA35" s="239">
        <f t="shared" ref="BA35:BA41" si="173">AZ35-BB35</f>
        <v>0</v>
      </c>
      <c r="BB35" s="237">
        <v>323986.67</v>
      </c>
      <c r="BC35" s="237">
        <v>323986.67</v>
      </c>
      <c r="BD35" s="52">
        <f t="shared" si="142"/>
        <v>0</v>
      </c>
      <c r="BE35" s="237">
        <v>0</v>
      </c>
      <c r="BF35" s="53">
        <f t="shared" si="159"/>
        <v>0</v>
      </c>
      <c r="BG35" s="90"/>
      <c r="BH35" s="233">
        <v>490010.57</v>
      </c>
      <c r="BI35" s="234">
        <v>0</v>
      </c>
      <c r="BJ35" s="234">
        <v>490010.57</v>
      </c>
      <c r="BK35" s="234">
        <v>490010.57</v>
      </c>
      <c r="BL35" s="52">
        <f t="shared" si="143"/>
        <v>0</v>
      </c>
      <c r="BM35" s="232">
        <v>0</v>
      </c>
      <c r="BN35" s="53">
        <f t="shared" si="160"/>
        <v>0</v>
      </c>
      <c r="BO35" s="194">
        <f t="shared" ref="BO35:BO45" si="174">BK35*$A$47</f>
        <v>68601.479800000001</v>
      </c>
      <c r="BP35" s="90"/>
      <c r="BQ35" s="234">
        <v>1340094.7</v>
      </c>
      <c r="BR35" s="234">
        <v>0</v>
      </c>
      <c r="BS35" s="234">
        <v>1340094.7</v>
      </c>
      <c r="BT35" s="234">
        <v>1340094.7</v>
      </c>
      <c r="BU35" s="52">
        <f t="shared" si="144"/>
        <v>0</v>
      </c>
      <c r="BV35" s="234"/>
      <c r="BW35" s="67"/>
      <c r="BX35" s="294">
        <f>BT35*$A$47</f>
        <v>187613.258</v>
      </c>
      <c r="BY35" s="90"/>
      <c r="BZ35" s="234">
        <v>1421667.59</v>
      </c>
      <c r="CA35" s="234">
        <v>0</v>
      </c>
      <c r="CB35" s="234">
        <v>1421667.59</v>
      </c>
      <c r="CC35" s="234">
        <v>1421667.59</v>
      </c>
      <c r="CD35" s="52">
        <f t="shared" si="145"/>
        <v>0</v>
      </c>
      <c r="CE35" s="234">
        <v>0</v>
      </c>
      <c r="CF35" s="53">
        <f t="shared" si="163"/>
        <v>0</v>
      </c>
      <c r="CG35" s="294">
        <f>CC35*$A$47</f>
        <v>199033.46260000003</v>
      </c>
      <c r="CH35" s="90"/>
      <c r="CI35" s="133"/>
      <c r="CJ35" s="134"/>
      <c r="CK35" s="134"/>
      <c r="CL35" s="134"/>
      <c r="CM35" s="121"/>
      <c r="CN35" s="134"/>
      <c r="CO35" s="122"/>
      <c r="CP35" s="90"/>
      <c r="CQ35" s="133"/>
      <c r="CR35" s="134"/>
      <c r="CS35" s="134"/>
      <c r="CT35" s="134"/>
      <c r="CU35" s="121"/>
      <c r="CV35" s="134"/>
      <c r="CW35" s="122"/>
      <c r="CX35" s="90"/>
      <c r="CY35" s="133"/>
      <c r="CZ35" s="134"/>
      <c r="DA35" s="134"/>
      <c r="DB35" s="134"/>
      <c r="DC35" s="121"/>
      <c r="DD35" s="134"/>
      <c r="DE35" s="122"/>
      <c r="DF35" s="6"/>
      <c r="DG35" s="289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</row>
    <row r="36" spans="1:135" s="7" customFormat="1" ht="13" customHeight="1">
      <c r="A36" s="330"/>
      <c r="B36" s="49" t="s">
        <v>41</v>
      </c>
      <c r="C36" s="232">
        <f>SUM(L36,T36,AB36,AJ36,AR36,AZ36,BH36,BQ36,BZ36,CI36,CQ36,CY36)</f>
        <v>1777887.1800000002</v>
      </c>
      <c r="D36" s="232">
        <f t="shared" si="167"/>
        <v>0</v>
      </c>
      <c r="E36" s="232">
        <f t="shared" si="168"/>
        <v>1777887.1800000002</v>
      </c>
      <c r="F36" s="232">
        <f t="shared" si="169"/>
        <v>1777887.1800000002</v>
      </c>
      <c r="G36" s="14">
        <f t="shared" si="170"/>
        <v>0</v>
      </c>
      <c r="H36" s="232">
        <f t="shared" si="171"/>
        <v>0</v>
      </c>
      <c r="I36" s="14">
        <f t="shared" si="149"/>
        <v>0</v>
      </c>
      <c r="J36" s="194">
        <f t="shared" si="172"/>
        <v>248904.20520000005</v>
      </c>
      <c r="K36" s="90"/>
      <c r="L36" s="231">
        <v>137666.25</v>
      </c>
      <c r="M36" s="232">
        <v>0</v>
      </c>
      <c r="N36" s="232">
        <v>137666.25</v>
      </c>
      <c r="O36" s="232">
        <v>137666.25</v>
      </c>
      <c r="P36" s="52">
        <f t="shared" si="151"/>
        <v>0</v>
      </c>
      <c r="Q36" s="232">
        <v>0</v>
      </c>
      <c r="R36" s="53">
        <f t="shared" si="152"/>
        <v>0</v>
      </c>
      <c r="S36" s="90"/>
      <c r="T36" s="233">
        <v>38090.25</v>
      </c>
      <c r="U36" s="232">
        <v>0</v>
      </c>
      <c r="V36" s="234">
        <v>38090.25</v>
      </c>
      <c r="W36" s="234">
        <v>38090.25</v>
      </c>
      <c r="X36" s="52">
        <f t="shared" si="139"/>
        <v>0</v>
      </c>
      <c r="Y36" s="234">
        <v>0</v>
      </c>
      <c r="Z36" s="53">
        <f t="shared" si="153"/>
        <v>0</v>
      </c>
      <c r="AA36" s="90"/>
      <c r="AB36" s="231">
        <v>558538.19999999995</v>
      </c>
      <c r="AC36" s="234">
        <f t="shared" si="154"/>
        <v>0</v>
      </c>
      <c r="AD36" s="232">
        <v>558538.19999999995</v>
      </c>
      <c r="AE36" s="232">
        <v>558538.19999999995</v>
      </c>
      <c r="AF36" s="66">
        <f t="shared" si="140"/>
        <v>0</v>
      </c>
      <c r="AG36" s="234">
        <v>0</v>
      </c>
      <c r="AH36" s="67">
        <f t="shared" si="155"/>
        <v>0</v>
      </c>
      <c r="AI36" s="90"/>
      <c r="AJ36" s="233">
        <v>0</v>
      </c>
      <c r="AK36" s="234">
        <v>0</v>
      </c>
      <c r="AL36" s="234">
        <v>0</v>
      </c>
      <c r="AM36" s="234">
        <v>0</v>
      </c>
      <c r="AN36" s="66" t="e">
        <f t="shared" si="156"/>
        <v>#DIV/0!</v>
      </c>
      <c r="AO36" s="234">
        <v>0</v>
      </c>
      <c r="AP36" s="67" t="e">
        <f t="shared" si="157"/>
        <v>#DIV/0!</v>
      </c>
      <c r="AQ36" s="90"/>
      <c r="AR36" s="233">
        <v>0</v>
      </c>
      <c r="AS36" s="232">
        <v>0</v>
      </c>
      <c r="AT36" s="234">
        <v>0</v>
      </c>
      <c r="AU36" s="234">
        <v>0</v>
      </c>
      <c r="AV36" s="52" t="e">
        <f t="shared" si="141"/>
        <v>#DIV/0!</v>
      </c>
      <c r="AW36" s="234">
        <v>0</v>
      </c>
      <c r="AX36" s="53" t="e">
        <f t="shared" si="158"/>
        <v>#DIV/0!</v>
      </c>
      <c r="AY36" s="90"/>
      <c r="AZ36" s="240">
        <v>0</v>
      </c>
      <c r="BA36" s="239">
        <f t="shared" si="173"/>
        <v>0</v>
      </c>
      <c r="BB36" s="237">
        <v>0</v>
      </c>
      <c r="BC36" s="237">
        <v>0</v>
      </c>
      <c r="BD36" s="52" t="e">
        <f t="shared" si="142"/>
        <v>#DIV/0!</v>
      </c>
      <c r="BE36" s="237">
        <v>0</v>
      </c>
      <c r="BF36" s="53" t="e">
        <f t="shared" si="159"/>
        <v>#DIV/0!</v>
      </c>
      <c r="BG36" s="90"/>
      <c r="BH36" s="233">
        <v>40257.769999999997</v>
      </c>
      <c r="BI36" s="234">
        <v>0</v>
      </c>
      <c r="BJ36" s="234">
        <v>40257.769999999997</v>
      </c>
      <c r="BK36" s="234">
        <v>40257.769999999997</v>
      </c>
      <c r="BL36" s="52">
        <f t="shared" si="143"/>
        <v>0</v>
      </c>
      <c r="BM36" s="232">
        <v>0</v>
      </c>
      <c r="BN36" s="53">
        <f t="shared" si="160"/>
        <v>0</v>
      </c>
      <c r="BO36" s="194">
        <f t="shared" si="174"/>
        <v>5636.0878000000002</v>
      </c>
      <c r="BP36" s="90"/>
      <c r="BQ36" s="234">
        <v>521169.81</v>
      </c>
      <c r="BR36" s="234">
        <v>0</v>
      </c>
      <c r="BS36" s="234">
        <v>521169.81</v>
      </c>
      <c r="BT36" s="234">
        <v>521169.81</v>
      </c>
      <c r="BU36" s="52">
        <f t="shared" si="144"/>
        <v>0</v>
      </c>
      <c r="BV36" s="234"/>
      <c r="BW36" s="67"/>
      <c r="BX36" s="294">
        <f>BT36*$A$47</f>
        <v>72963.773400000005</v>
      </c>
      <c r="BY36" s="90"/>
      <c r="BZ36" s="234">
        <v>482164.9</v>
      </c>
      <c r="CA36" s="234">
        <v>0</v>
      </c>
      <c r="CB36" s="234">
        <v>482164.9</v>
      </c>
      <c r="CC36" s="234">
        <v>482164.9</v>
      </c>
      <c r="CD36" s="52">
        <f t="shared" si="145"/>
        <v>0</v>
      </c>
      <c r="CE36" s="234">
        <v>0</v>
      </c>
      <c r="CF36" s="53">
        <f t="shared" si="163"/>
        <v>0</v>
      </c>
      <c r="CG36" s="294">
        <f>CC36*$A$47</f>
        <v>67503.08600000001</v>
      </c>
      <c r="CH36" s="90"/>
      <c r="CI36" s="133"/>
      <c r="CJ36" s="134"/>
      <c r="CK36" s="134"/>
      <c r="CL36" s="134"/>
      <c r="CM36" s="121"/>
      <c r="CN36" s="134"/>
      <c r="CO36" s="122"/>
      <c r="CP36" s="90"/>
      <c r="CQ36" s="133"/>
      <c r="CR36" s="134"/>
      <c r="CS36" s="134"/>
      <c r="CT36" s="134"/>
      <c r="CU36" s="121"/>
      <c r="CV36" s="134"/>
      <c r="CW36" s="122"/>
      <c r="CX36" s="90"/>
      <c r="CY36" s="133"/>
      <c r="CZ36" s="134"/>
      <c r="DA36" s="134"/>
      <c r="DB36" s="134"/>
      <c r="DC36" s="121"/>
      <c r="DD36" s="134"/>
      <c r="DE36" s="122"/>
      <c r="DF36" s="6"/>
      <c r="DG36" s="289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</row>
    <row r="37" spans="1:135" s="7" customFormat="1" ht="13" customHeight="1">
      <c r="A37" s="330"/>
      <c r="B37" s="49" t="s">
        <v>59</v>
      </c>
      <c r="C37" s="232">
        <f t="shared" ref="C37:C41" si="175">SUM(L37,T37,AB37,AJ37,AR37,AZ37,BH37,BQ37,BZ37,CI37,CQ37,CY37)</f>
        <v>1968776.49</v>
      </c>
      <c r="D37" s="232">
        <f t="shared" si="167"/>
        <v>0</v>
      </c>
      <c r="E37" s="232">
        <f t="shared" si="168"/>
        <v>1968776.49</v>
      </c>
      <c r="F37" s="232">
        <f t="shared" si="169"/>
        <v>1968776.49</v>
      </c>
      <c r="G37" s="14">
        <f t="shared" si="170"/>
        <v>0</v>
      </c>
      <c r="H37" s="232">
        <f t="shared" si="171"/>
        <v>0</v>
      </c>
      <c r="I37" s="14">
        <f t="shared" si="149"/>
        <v>0</v>
      </c>
      <c r="J37" s="194">
        <f t="shared" si="172"/>
        <v>275628.70860000001</v>
      </c>
      <c r="K37" s="90"/>
      <c r="L37" s="231">
        <v>0</v>
      </c>
      <c r="M37" s="232">
        <v>0</v>
      </c>
      <c r="N37" s="232">
        <v>0</v>
      </c>
      <c r="O37" s="232">
        <v>0</v>
      </c>
      <c r="P37" s="52" t="e">
        <f t="shared" si="151"/>
        <v>#DIV/0!</v>
      </c>
      <c r="Q37" s="232">
        <v>0</v>
      </c>
      <c r="R37" s="53" t="e">
        <f t="shared" si="152"/>
        <v>#DIV/0!</v>
      </c>
      <c r="S37" s="90"/>
      <c r="T37" s="233">
        <v>0</v>
      </c>
      <c r="U37" s="232">
        <v>0</v>
      </c>
      <c r="V37" s="234">
        <v>0</v>
      </c>
      <c r="W37" s="234">
        <v>0</v>
      </c>
      <c r="X37" s="52" t="e">
        <f t="shared" si="139"/>
        <v>#DIV/0!</v>
      </c>
      <c r="Y37" s="234">
        <v>0</v>
      </c>
      <c r="Z37" s="53" t="e">
        <f t="shared" si="153"/>
        <v>#DIV/0!</v>
      </c>
      <c r="AA37" s="90"/>
      <c r="AB37" s="231">
        <v>134310.15</v>
      </c>
      <c r="AC37" s="234">
        <f t="shared" si="154"/>
        <v>0</v>
      </c>
      <c r="AD37" s="232">
        <v>134310.15</v>
      </c>
      <c r="AE37" s="232">
        <v>134310.15</v>
      </c>
      <c r="AF37" s="66">
        <f t="shared" si="140"/>
        <v>0</v>
      </c>
      <c r="AG37" s="234">
        <v>0</v>
      </c>
      <c r="AH37" s="67">
        <f t="shared" si="155"/>
        <v>0</v>
      </c>
      <c r="AI37" s="90"/>
      <c r="AJ37" s="233">
        <v>27991.18</v>
      </c>
      <c r="AK37" s="234">
        <v>0</v>
      </c>
      <c r="AL37" s="234">
        <v>27991.18</v>
      </c>
      <c r="AM37" s="234">
        <v>27991.18</v>
      </c>
      <c r="AN37" s="66">
        <f t="shared" si="156"/>
        <v>0</v>
      </c>
      <c r="AO37" s="234">
        <v>0</v>
      </c>
      <c r="AP37" s="67">
        <f t="shared" si="157"/>
        <v>0</v>
      </c>
      <c r="AQ37" s="90"/>
      <c r="AR37" s="233">
        <v>43355.34</v>
      </c>
      <c r="AS37" s="232">
        <v>0</v>
      </c>
      <c r="AT37" s="234">
        <v>43355.34</v>
      </c>
      <c r="AU37" s="234">
        <v>43355.34</v>
      </c>
      <c r="AV37" s="52">
        <f t="shared" si="141"/>
        <v>0</v>
      </c>
      <c r="AW37" s="234">
        <v>0</v>
      </c>
      <c r="AX37" s="53">
        <f t="shared" si="158"/>
        <v>0</v>
      </c>
      <c r="AY37" s="90"/>
      <c r="AZ37" s="240">
        <v>28861</v>
      </c>
      <c r="BA37" s="239">
        <f t="shared" si="173"/>
        <v>0</v>
      </c>
      <c r="BB37" s="237">
        <v>28861</v>
      </c>
      <c r="BC37" s="237">
        <v>28861</v>
      </c>
      <c r="BD37" s="52">
        <f t="shared" si="142"/>
        <v>0</v>
      </c>
      <c r="BE37" s="237">
        <v>0</v>
      </c>
      <c r="BF37" s="53">
        <f t="shared" si="159"/>
        <v>0</v>
      </c>
      <c r="BG37" s="90"/>
      <c r="BH37" s="233">
        <v>192850</v>
      </c>
      <c r="BI37" s="234">
        <v>0</v>
      </c>
      <c r="BJ37" s="234">
        <v>192850</v>
      </c>
      <c r="BK37" s="234">
        <v>192850</v>
      </c>
      <c r="BL37" s="52">
        <f t="shared" si="143"/>
        <v>0</v>
      </c>
      <c r="BM37" s="232">
        <v>0</v>
      </c>
      <c r="BN37" s="53">
        <f t="shared" si="160"/>
        <v>0</v>
      </c>
      <c r="BO37" s="194">
        <f t="shared" si="174"/>
        <v>26999.000000000004</v>
      </c>
      <c r="BP37" s="90"/>
      <c r="BQ37" s="234">
        <v>531997.34</v>
      </c>
      <c r="BR37" s="234">
        <v>0</v>
      </c>
      <c r="BS37" s="234">
        <v>531997.34</v>
      </c>
      <c r="BT37" s="234">
        <v>531997.34</v>
      </c>
      <c r="BU37" s="52">
        <f t="shared" si="144"/>
        <v>0</v>
      </c>
      <c r="BV37" s="234"/>
      <c r="BW37" s="67"/>
      <c r="BX37" s="294">
        <f>BT37*$A$47</f>
        <v>74479.627600000007</v>
      </c>
      <c r="BY37" s="90"/>
      <c r="BZ37" s="234">
        <v>1009411.48</v>
      </c>
      <c r="CA37" s="234">
        <v>0</v>
      </c>
      <c r="CB37" s="234">
        <v>1009411.48</v>
      </c>
      <c r="CC37" s="234">
        <v>1009411.48</v>
      </c>
      <c r="CD37" s="52">
        <f t="shared" si="145"/>
        <v>0</v>
      </c>
      <c r="CE37" s="234">
        <v>0</v>
      </c>
      <c r="CF37" s="53">
        <f t="shared" si="163"/>
        <v>0</v>
      </c>
      <c r="CG37" s="294">
        <f>CC37*$A$47</f>
        <v>141317.6072</v>
      </c>
      <c r="CH37" s="90"/>
      <c r="CI37" s="133"/>
      <c r="CJ37" s="134"/>
      <c r="CK37" s="134"/>
      <c r="CL37" s="134"/>
      <c r="CM37" s="121"/>
      <c r="CN37" s="134"/>
      <c r="CO37" s="122"/>
      <c r="CP37" s="90"/>
      <c r="CQ37" s="133"/>
      <c r="CR37" s="134"/>
      <c r="CS37" s="134"/>
      <c r="CT37" s="134"/>
      <c r="CU37" s="121"/>
      <c r="CV37" s="134"/>
      <c r="CW37" s="122"/>
      <c r="CX37" s="90"/>
      <c r="CY37" s="133"/>
      <c r="CZ37" s="134"/>
      <c r="DA37" s="134"/>
      <c r="DB37" s="134"/>
      <c r="DC37" s="121"/>
      <c r="DD37" s="134"/>
      <c r="DE37" s="122"/>
      <c r="DF37" s="6"/>
      <c r="DG37" s="289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</row>
    <row r="38" spans="1:135" s="7" customFormat="1" ht="13" customHeight="1">
      <c r="A38" s="330"/>
      <c r="B38" s="49" t="s">
        <v>45</v>
      </c>
      <c r="C38" s="232">
        <f>SUM(L38,T38,AB38,AJ38,AR38,AZ38,BH38,BQ38,BZ38,CI38,CQ38,CY38)</f>
        <v>8988607.3800000008</v>
      </c>
      <c r="D38" s="232">
        <f t="shared" si="167"/>
        <v>0</v>
      </c>
      <c r="E38" s="232">
        <f t="shared" si="168"/>
        <v>8988607.3800000008</v>
      </c>
      <c r="F38" s="232">
        <f t="shared" si="169"/>
        <v>8988607.3800000008</v>
      </c>
      <c r="G38" s="14">
        <f t="shared" si="170"/>
        <v>0</v>
      </c>
      <c r="H38" s="232">
        <f t="shared" si="171"/>
        <v>0</v>
      </c>
      <c r="I38" s="14">
        <f t="shared" si="149"/>
        <v>0</v>
      </c>
      <c r="J38" s="194">
        <f t="shared" si="172"/>
        <v>1258405.0332000002</v>
      </c>
      <c r="K38" s="90"/>
      <c r="L38" s="231">
        <v>1807868.7</v>
      </c>
      <c r="M38" s="232">
        <v>0</v>
      </c>
      <c r="N38" s="232">
        <v>1807868.7</v>
      </c>
      <c r="O38" s="232">
        <v>1807868.7</v>
      </c>
      <c r="P38" s="52">
        <f t="shared" si="151"/>
        <v>0</v>
      </c>
      <c r="Q38" s="232">
        <v>0</v>
      </c>
      <c r="R38" s="53">
        <f t="shared" si="152"/>
        <v>0</v>
      </c>
      <c r="S38" s="90"/>
      <c r="T38" s="233">
        <v>892823.85</v>
      </c>
      <c r="U38" s="232">
        <v>0</v>
      </c>
      <c r="V38" s="234">
        <v>892823.85</v>
      </c>
      <c r="W38" s="234">
        <v>892823.85</v>
      </c>
      <c r="X38" s="52">
        <f t="shared" si="139"/>
        <v>0</v>
      </c>
      <c r="Y38" s="234">
        <v>0</v>
      </c>
      <c r="Z38" s="53">
        <f t="shared" si="153"/>
        <v>0</v>
      </c>
      <c r="AA38" s="90"/>
      <c r="AB38" s="231">
        <v>483214.95</v>
      </c>
      <c r="AC38" s="234">
        <f t="shared" si="154"/>
        <v>0</v>
      </c>
      <c r="AD38" s="232">
        <v>483214.95</v>
      </c>
      <c r="AE38" s="232">
        <v>483214.95</v>
      </c>
      <c r="AF38" s="66">
        <f t="shared" si="140"/>
        <v>0</v>
      </c>
      <c r="AG38" s="234">
        <v>0</v>
      </c>
      <c r="AH38" s="67">
        <f t="shared" si="155"/>
        <v>0</v>
      </c>
      <c r="AI38" s="90"/>
      <c r="AJ38" s="233">
        <v>469505.96</v>
      </c>
      <c r="AK38" s="234">
        <v>0</v>
      </c>
      <c r="AL38" s="234">
        <v>469505.96</v>
      </c>
      <c r="AM38" s="234">
        <v>469505.96</v>
      </c>
      <c r="AN38" s="66">
        <f t="shared" si="156"/>
        <v>0</v>
      </c>
      <c r="AO38" s="234">
        <v>0</v>
      </c>
      <c r="AP38" s="67">
        <f t="shared" si="157"/>
        <v>0</v>
      </c>
      <c r="AQ38" s="90"/>
      <c r="AR38" s="233">
        <v>593749.24</v>
      </c>
      <c r="AS38" s="232">
        <v>0</v>
      </c>
      <c r="AT38" s="234">
        <v>593749.24</v>
      </c>
      <c r="AU38" s="234">
        <v>593749.24</v>
      </c>
      <c r="AV38" s="52">
        <f t="shared" si="141"/>
        <v>0</v>
      </c>
      <c r="AW38" s="234">
        <v>0</v>
      </c>
      <c r="AX38" s="53">
        <f t="shared" si="158"/>
        <v>0</v>
      </c>
      <c r="AY38" s="90"/>
      <c r="AZ38" s="240">
        <v>595045.99</v>
      </c>
      <c r="BA38" s="239">
        <f t="shared" si="173"/>
        <v>0</v>
      </c>
      <c r="BB38" s="237">
        <v>595045.99</v>
      </c>
      <c r="BC38" s="237">
        <v>595045.99</v>
      </c>
      <c r="BD38" s="52">
        <f t="shared" si="142"/>
        <v>0</v>
      </c>
      <c r="BE38" s="237">
        <v>0</v>
      </c>
      <c r="BF38" s="53">
        <f t="shared" si="159"/>
        <v>0</v>
      </c>
      <c r="BG38" s="90"/>
      <c r="BH38" s="233">
        <v>1998471.3</v>
      </c>
      <c r="BI38" s="234">
        <v>0</v>
      </c>
      <c r="BJ38" s="234">
        <v>1998471.3</v>
      </c>
      <c r="BK38" s="234">
        <v>1998471.3</v>
      </c>
      <c r="BL38" s="52">
        <f t="shared" si="143"/>
        <v>0</v>
      </c>
      <c r="BM38" s="232">
        <v>0</v>
      </c>
      <c r="BN38" s="53">
        <f t="shared" si="160"/>
        <v>0</v>
      </c>
      <c r="BO38" s="194">
        <f t="shared" si="174"/>
        <v>279785.98200000002</v>
      </c>
      <c r="BP38" s="90"/>
      <c r="BQ38" s="234">
        <v>1403265.71</v>
      </c>
      <c r="BR38" s="234">
        <v>0</v>
      </c>
      <c r="BS38" s="234">
        <v>1403265.71</v>
      </c>
      <c r="BT38" s="234">
        <v>1403265.71</v>
      </c>
      <c r="BU38" s="52">
        <f t="shared" si="144"/>
        <v>0</v>
      </c>
      <c r="BV38" s="234"/>
      <c r="BW38" s="67"/>
      <c r="BX38" s="294">
        <f>BT38*$A$47</f>
        <v>196457.19940000001</v>
      </c>
      <c r="BY38" s="90"/>
      <c r="BZ38" s="234">
        <v>744661.68</v>
      </c>
      <c r="CA38" s="234">
        <v>0</v>
      </c>
      <c r="CB38" s="234">
        <v>744661.68</v>
      </c>
      <c r="CC38" s="234">
        <v>744661.68</v>
      </c>
      <c r="CD38" s="52">
        <f t="shared" si="145"/>
        <v>0</v>
      </c>
      <c r="CE38" s="234">
        <v>0</v>
      </c>
      <c r="CF38" s="53">
        <f t="shared" si="163"/>
        <v>0</v>
      </c>
      <c r="CG38" s="294">
        <f>CC38*$A$47</f>
        <v>104252.63520000002</v>
      </c>
      <c r="CH38" s="90"/>
      <c r="CI38" s="133"/>
      <c r="CJ38" s="134"/>
      <c r="CK38" s="134"/>
      <c r="CL38" s="134"/>
      <c r="CM38" s="121"/>
      <c r="CN38" s="134"/>
      <c r="CO38" s="122"/>
      <c r="CP38" s="90"/>
      <c r="CQ38" s="133"/>
      <c r="CR38" s="134"/>
      <c r="CS38" s="134"/>
      <c r="CT38" s="134"/>
      <c r="CU38" s="121"/>
      <c r="CV38" s="134"/>
      <c r="CW38" s="122"/>
      <c r="CX38" s="90"/>
      <c r="CY38" s="133"/>
      <c r="CZ38" s="134"/>
      <c r="DA38" s="134"/>
      <c r="DB38" s="134"/>
      <c r="DC38" s="121"/>
      <c r="DD38" s="134"/>
      <c r="DE38" s="122"/>
      <c r="DF38" s="6"/>
      <c r="DG38" s="289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</row>
    <row r="39" spans="1:135" s="7" customFormat="1" ht="13" customHeight="1">
      <c r="A39" s="330"/>
      <c r="B39" s="49" t="s">
        <v>42</v>
      </c>
      <c r="C39" s="232">
        <f t="shared" si="175"/>
        <v>4259115.29</v>
      </c>
      <c r="D39" s="232">
        <f t="shared" si="167"/>
        <v>0</v>
      </c>
      <c r="E39" s="232">
        <f t="shared" si="168"/>
        <v>4259115.1899999995</v>
      </c>
      <c r="F39" s="232">
        <f t="shared" si="169"/>
        <v>4259115.1899999995</v>
      </c>
      <c r="G39" s="14">
        <f t="shared" si="170"/>
        <v>0</v>
      </c>
      <c r="H39" s="232">
        <f t="shared" si="171"/>
        <v>0</v>
      </c>
      <c r="I39" s="14">
        <f t="shared" si="149"/>
        <v>0</v>
      </c>
      <c r="J39" s="194">
        <f t="shared" si="172"/>
        <v>596276.12659999996</v>
      </c>
      <c r="K39" s="90"/>
      <c r="L39" s="231">
        <v>0</v>
      </c>
      <c r="M39" s="232">
        <v>0</v>
      </c>
      <c r="N39" s="232">
        <v>0</v>
      </c>
      <c r="O39" s="232">
        <v>0</v>
      </c>
      <c r="P39" s="52" t="e">
        <f t="shared" si="151"/>
        <v>#DIV/0!</v>
      </c>
      <c r="Q39" s="232">
        <v>0</v>
      </c>
      <c r="R39" s="53" t="e">
        <f t="shared" si="152"/>
        <v>#DIV/0!</v>
      </c>
      <c r="S39" s="90"/>
      <c r="T39" s="233">
        <v>361379.1</v>
      </c>
      <c r="U39" s="232">
        <v>0</v>
      </c>
      <c r="V39" s="234">
        <v>361379</v>
      </c>
      <c r="W39" s="234">
        <v>361379</v>
      </c>
      <c r="X39" s="52">
        <f t="shared" si="139"/>
        <v>2.7671771825409092E-7</v>
      </c>
      <c r="Y39" s="234">
        <v>0</v>
      </c>
      <c r="Z39" s="53">
        <f t="shared" si="153"/>
        <v>0</v>
      </c>
      <c r="AA39" s="90"/>
      <c r="AB39" s="231">
        <v>202327.2</v>
      </c>
      <c r="AC39" s="234">
        <f t="shared" si="154"/>
        <v>0</v>
      </c>
      <c r="AD39" s="232">
        <v>202327.2</v>
      </c>
      <c r="AE39" s="232">
        <v>202327.2</v>
      </c>
      <c r="AF39" s="66">
        <f t="shared" si="140"/>
        <v>0</v>
      </c>
      <c r="AG39" s="234">
        <v>0</v>
      </c>
      <c r="AH39" s="67">
        <f t="shared" si="155"/>
        <v>0</v>
      </c>
      <c r="AI39" s="90"/>
      <c r="AJ39" s="233">
        <v>527277.17000000004</v>
      </c>
      <c r="AK39" s="234">
        <v>0</v>
      </c>
      <c r="AL39" s="234">
        <v>527277.17000000004</v>
      </c>
      <c r="AM39" s="234">
        <v>527277.17000000004</v>
      </c>
      <c r="AN39" s="66">
        <f t="shared" si="156"/>
        <v>0</v>
      </c>
      <c r="AO39" s="234">
        <v>0</v>
      </c>
      <c r="AP39" s="67">
        <f t="shared" si="157"/>
        <v>0</v>
      </c>
      <c r="AQ39" s="90"/>
      <c r="AR39" s="233">
        <v>303156.21000000002</v>
      </c>
      <c r="AS39" s="232">
        <v>0</v>
      </c>
      <c r="AT39" s="234">
        <v>303156.21000000002</v>
      </c>
      <c r="AU39" s="234">
        <v>303156.21000000002</v>
      </c>
      <c r="AV39" s="52">
        <f t="shared" si="141"/>
        <v>0</v>
      </c>
      <c r="AW39" s="234">
        <v>0</v>
      </c>
      <c r="AX39" s="53">
        <f t="shared" si="158"/>
        <v>0</v>
      </c>
      <c r="AY39" s="90"/>
      <c r="AZ39" s="240">
        <v>0</v>
      </c>
      <c r="BA39" s="239">
        <f t="shared" si="173"/>
        <v>0</v>
      </c>
      <c r="BB39" s="237">
        <v>0</v>
      </c>
      <c r="BC39" s="237">
        <v>0</v>
      </c>
      <c r="BD39" s="52" t="e">
        <f t="shared" si="142"/>
        <v>#DIV/0!</v>
      </c>
      <c r="BE39" s="237">
        <v>0</v>
      </c>
      <c r="BF39" s="53" t="e">
        <f t="shared" si="159"/>
        <v>#DIV/0!</v>
      </c>
      <c r="BG39" s="90"/>
      <c r="BH39" s="233">
        <v>724492.23</v>
      </c>
      <c r="BI39" s="234">
        <v>0</v>
      </c>
      <c r="BJ39" s="234">
        <v>724492.23</v>
      </c>
      <c r="BK39" s="234">
        <v>724492.23</v>
      </c>
      <c r="BL39" s="52">
        <f t="shared" si="143"/>
        <v>0</v>
      </c>
      <c r="BM39" s="232">
        <v>0</v>
      </c>
      <c r="BN39" s="53">
        <f t="shared" si="160"/>
        <v>0</v>
      </c>
      <c r="BO39" s="194">
        <f t="shared" si="174"/>
        <v>101428.91220000001</v>
      </c>
      <c r="BP39" s="90"/>
      <c r="BQ39" s="234"/>
      <c r="BR39" s="234">
        <v>0</v>
      </c>
      <c r="BS39" s="234"/>
      <c r="BT39" s="234"/>
      <c r="BU39" s="52" t="e">
        <f t="shared" si="144"/>
        <v>#DIV/0!</v>
      </c>
      <c r="BV39" s="234"/>
      <c r="BW39" s="67"/>
      <c r="BX39" s="294">
        <f t="shared" ref="BX39:BX45" si="176">BT39*$A$47</f>
        <v>0</v>
      </c>
      <c r="BY39" s="90"/>
      <c r="BZ39" s="234">
        <v>2140483.38</v>
      </c>
      <c r="CA39" s="234">
        <v>0</v>
      </c>
      <c r="CB39" s="234">
        <v>2140483.38</v>
      </c>
      <c r="CC39" s="234">
        <v>2140483.38</v>
      </c>
      <c r="CD39" s="52">
        <f t="shared" si="145"/>
        <v>0</v>
      </c>
      <c r="CE39" s="234">
        <v>0</v>
      </c>
      <c r="CF39" s="53">
        <f t="shared" si="163"/>
        <v>0</v>
      </c>
      <c r="CG39" s="294">
        <f t="shared" ref="CG39:CG45" si="177">CC39*$A$47</f>
        <v>299667.67320000002</v>
      </c>
      <c r="CH39" s="90"/>
      <c r="CI39" s="133"/>
      <c r="CJ39" s="134"/>
      <c r="CK39" s="134"/>
      <c r="CL39" s="134"/>
      <c r="CM39" s="121"/>
      <c r="CN39" s="134"/>
      <c r="CO39" s="122"/>
      <c r="CP39" s="90"/>
      <c r="CQ39" s="133"/>
      <c r="CR39" s="134"/>
      <c r="CS39" s="134"/>
      <c r="CT39" s="134"/>
      <c r="CU39" s="121"/>
      <c r="CV39" s="134"/>
      <c r="CW39" s="122"/>
      <c r="CX39" s="90"/>
      <c r="CY39" s="133"/>
      <c r="CZ39" s="134"/>
      <c r="DA39" s="134"/>
      <c r="DB39" s="134"/>
      <c r="DC39" s="121"/>
      <c r="DD39" s="134"/>
      <c r="DE39" s="122"/>
      <c r="DF39" s="6"/>
      <c r="DG39" s="289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</row>
    <row r="40" spans="1:135" s="7" customFormat="1" ht="13" customHeight="1">
      <c r="A40" s="330"/>
      <c r="B40" s="49" t="s">
        <v>43</v>
      </c>
      <c r="C40" s="232">
        <f t="shared" si="175"/>
        <v>624734.38</v>
      </c>
      <c r="D40" s="232">
        <f t="shared" si="167"/>
        <v>0</v>
      </c>
      <c r="E40" s="232">
        <f t="shared" si="168"/>
        <v>624734.38</v>
      </c>
      <c r="F40" s="232">
        <f t="shared" si="169"/>
        <v>624734.38</v>
      </c>
      <c r="G40" s="14">
        <f t="shared" si="170"/>
        <v>0</v>
      </c>
      <c r="H40" s="232">
        <f t="shared" si="171"/>
        <v>0</v>
      </c>
      <c r="I40" s="14">
        <f t="shared" si="149"/>
        <v>0</v>
      </c>
      <c r="J40" s="194">
        <f t="shared" si="172"/>
        <v>87462.813200000004</v>
      </c>
      <c r="K40" s="90"/>
      <c r="L40" s="231">
        <v>17874</v>
      </c>
      <c r="M40" s="232">
        <v>0</v>
      </c>
      <c r="N40" s="232">
        <v>17874</v>
      </c>
      <c r="O40" s="232">
        <v>17874</v>
      </c>
      <c r="P40" s="52">
        <f t="shared" si="151"/>
        <v>0</v>
      </c>
      <c r="Q40" s="232">
        <v>0</v>
      </c>
      <c r="R40" s="53">
        <f t="shared" si="152"/>
        <v>0</v>
      </c>
      <c r="S40" s="90"/>
      <c r="T40" s="233">
        <v>0</v>
      </c>
      <c r="U40" s="232">
        <v>0</v>
      </c>
      <c r="V40" s="234">
        <v>0</v>
      </c>
      <c r="W40" s="234">
        <v>0</v>
      </c>
      <c r="X40" s="52" t="e">
        <f t="shared" si="139"/>
        <v>#DIV/0!</v>
      </c>
      <c r="Y40" s="234">
        <v>0</v>
      </c>
      <c r="Z40" s="53" t="e">
        <f t="shared" si="153"/>
        <v>#DIV/0!</v>
      </c>
      <c r="AA40" s="90"/>
      <c r="AB40" s="231">
        <v>0</v>
      </c>
      <c r="AC40" s="234">
        <f t="shared" si="154"/>
        <v>0</v>
      </c>
      <c r="AD40" s="232">
        <v>0</v>
      </c>
      <c r="AE40" s="232">
        <v>0</v>
      </c>
      <c r="AF40" s="66" t="e">
        <f t="shared" si="140"/>
        <v>#DIV/0!</v>
      </c>
      <c r="AG40" s="234">
        <v>0</v>
      </c>
      <c r="AH40" s="67" t="e">
        <f t="shared" si="155"/>
        <v>#DIV/0!</v>
      </c>
      <c r="AI40" s="90"/>
      <c r="AJ40" s="233">
        <v>0</v>
      </c>
      <c r="AK40" s="234">
        <v>0</v>
      </c>
      <c r="AL40" s="234">
        <v>0</v>
      </c>
      <c r="AM40" s="234">
        <v>0</v>
      </c>
      <c r="AN40" s="66" t="e">
        <f t="shared" si="156"/>
        <v>#DIV/0!</v>
      </c>
      <c r="AO40" s="234">
        <v>0</v>
      </c>
      <c r="AP40" s="67" t="e">
        <f t="shared" si="157"/>
        <v>#DIV/0!</v>
      </c>
      <c r="AQ40" s="90"/>
      <c r="AR40" s="233">
        <v>0</v>
      </c>
      <c r="AS40" s="232">
        <v>0</v>
      </c>
      <c r="AT40" s="234">
        <v>0</v>
      </c>
      <c r="AU40" s="234">
        <v>0</v>
      </c>
      <c r="AV40" s="52" t="e">
        <f t="shared" si="141"/>
        <v>#DIV/0!</v>
      </c>
      <c r="AW40" s="234">
        <v>0</v>
      </c>
      <c r="AX40" s="53" t="e">
        <f t="shared" si="158"/>
        <v>#DIV/0!</v>
      </c>
      <c r="AY40" s="90"/>
      <c r="AZ40" s="240">
        <v>0</v>
      </c>
      <c r="BA40" s="239">
        <f t="shared" si="173"/>
        <v>0</v>
      </c>
      <c r="BB40" s="237">
        <v>0</v>
      </c>
      <c r="BC40" s="237">
        <v>0</v>
      </c>
      <c r="BD40" s="52" t="e">
        <f t="shared" si="142"/>
        <v>#DIV/0!</v>
      </c>
      <c r="BE40" s="237">
        <v>0</v>
      </c>
      <c r="BF40" s="53" t="e">
        <f t="shared" si="159"/>
        <v>#DIV/0!</v>
      </c>
      <c r="BG40" s="90"/>
      <c r="BH40" s="233">
        <v>0</v>
      </c>
      <c r="BI40" s="234">
        <v>0</v>
      </c>
      <c r="BJ40" s="234">
        <v>0</v>
      </c>
      <c r="BK40" s="234">
        <v>0</v>
      </c>
      <c r="BL40" s="52" t="e">
        <f t="shared" si="143"/>
        <v>#DIV/0!</v>
      </c>
      <c r="BM40" s="232">
        <v>0</v>
      </c>
      <c r="BN40" s="53" t="e">
        <f t="shared" si="160"/>
        <v>#DIV/0!</v>
      </c>
      <c r="BO40" s="194">
        <f t="shared" si="174"/>
        <v>0</v>
      </c>
      <c r="BP40" s="90"/>
      <c r="BQ40" s="234">
        <v>606860.38</v>
      </c>
      <c r="BR40" s="234">
        <v>0</v>
      </c>
      <c r="BS40" s="234">
        <v>606860.38</v>
      </c>
      <c r="BT40" s="234">
        <v>606860.38</v>
      </c>
      <c r="BU40" s="52">
        <f t="shared" si="144"/>
        <v>0</v>
      </c>
      <c r="BV40" s="234"/>
      <c r="BW40" s="67"/>
      <c r="BX40" s="294">
        <f t="shared" si="176"/>
        <v>84960.453200000004</v>
      </c>
      <c r="BY40" s="90"/>
      <c r="BZ40" s="234">
        <v>0</v>
      </c>
      <c r="CA40" s="234">
        <v>0</v>
      </c>
      <c r="CB40" s="234">
        <v>0</v>
      </c>
      <c r="CC40" s="234">
        <v>0</v>
      </c>
      <c r="CD40" s="52" t="e">
        <f t="shared" si="145"/>
        <v>#DIV/0!</v>
      </c>
      <c r="CE40" s="234">
        <v>0</v>
      </c>
      <c r="CF40" s="53" t="e">
        <f t="shared" si="163"/>
        <v>#DIV/0!</v>
      </c>
      <c r="CG40" s="294">
        <f t="shared" si="177"/>
        <v>0</v>
      </c>
      <c r="CH40" s="90"/>
      <c r="CI40" s="133"/>
      <c r="CJ40" s="134"/>
      <c r="CK40" s="134"/>
      <c r="CL40" s="134"/>
      <c r="CM40" s="121"/>
      <c r="CN40" s="134"/>
      <c r="CO40" s="122"/>
      <c r="CP40" s="90"/>
      <c r="CQ40" s="133"/>
      <c r="CR40" s="134"/>
      <c r="CS40" s="134"/>
      <c r="CT40" s="134"/>
      <c r="CU40" s="121"/>
      <c r="CV40" s="134"/>
      <c r="CW40" s="122"/>
      <c r="CX40" s="90"/>
      <c r="CY40" s="133"/>
      <c r="CZ40" s="134"/>
      <c r="DA40" s="134"/>
      <c r="DB40" s="134"/>
      <c r="DC40" s="121"/>
      <c r="DD40" s="134"/>
      <c r="DE40" s="122"/>
      <c r="DF40" s="6"/>
      <c r="DG40" s="289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</row>
    <row r="41" spans="1:135" s="7" customFormat="1" ht="13" customHeight="1">
      <c r="A41" s="330"/>
      <c r="B41" s="49" t="s">
        <v>46</v>
      </c>
      <c r="C41" s="232">
        <f t="shared" si="175"/>
        <v>2698167</v>
      </c>
      <c r="D41" s="232">
        <f t="shared" si="167"/>
        <v>0</v>
      </c>
      <c r="E41" s="232">
        <f t="shared" si="168"/>
        <v>2698167</v>
      </c>
      <c r="F41" s="232">
        <f t="shared" si="169"/>
        <v>2698167</v>
      </c>
      <c r="G41" s="14">
        <f t="shared" si="170"/>
        <v>0</v>
      </c>
      <c r="H41" s="232">
        <f t="shared" si="171"/>
        <v>0</v>
      </c>
      <c r="I41" s="14">
        <f t="shared" si="149"/>
        <v>0</v>
      </c>
      <c r="J41" s="194">
        <f t="shared" si="172"/>
        <v>377743.38000000006</v>
      </c>
      <c r="K41" s="90"/>
      <c r="L41" s="231">
        <v>0</v>
      </c>
      <c r="M41" s="232">
        <v>0</v>
      </c>
      <c r="N41" s="232">
        <v>0</v>
      </c>
      <c r="O41" s="232">
        <v>0</v>
      </c>
      <c r="P41" s="52" t="e">
        <f t="shared" si="151"/>
        <v>#DIV/0!</v>
      </c>
      <c r="Q41" s="232">
        <v>0</v>
      </c>
      <c r="R41" s="53" t="e">
        <f t="shared" si="152"/>
        <v>#DIV/0!</v>
      </c>
      <c r="S41" s="90"/>
      <c r="T41" s="233">
        <v>2016167</v>
      </c>
      <c r="U41" s="232">
        <v>0</v>
      </c>
      <c r="V41" s="234">
        <v>2016167</v>
      </c>
      <c r="W41" s="234">
        <v>2016167</v>
      </c>
      <c r="X41" s="52">
        <f t="shared" si="139"/>
        <v>0</v>
      </c>
      <c r="Y41" s="234">
        <v>0</v>
      </c>
      <c r="Z41" s="53">
        <f t="shared" si="153"/>
        <v>0</v>
      </c>
      <c r="AA41" s="90"/>
      <c r="AB41" s="231">
        <v>0</v>
      </c>
      <c r="AC41" s="234">
        <f t="shared" si="154"/>
        <v>0</v>
      </c>
      <c r="AD41" s="232">
        <v>0</v>
      </c>
      <c r="AE41" s="232">
        <v>0</v>
      </c>
      <c r="AF41" s="66" t="e">
        <f t="shared" si="140"/>
        <v>#DIV/0!</v>
      </c>
      <c r="AG41" s="234">
        <v>0</v>
      </c>
      <c r="AH41" s="67" t="e">
        <f t="shared" si="155"/>
        <v>#DIV/0!</v>
      </c>
      <c r="AI41" s="90"/>
      <c r="AJ41" s="233">
        <v>0</v>
      </c>
      <c r="AK41" s="234">
        <v>0</v>
      </c>
      <c r="AL41" s="234">
        <v>0</v>
      </c>
      <c r="AM41" s="234">
        <v>0</v>
      </c>
      <c r="AN41" s="66" t="e">
        <f t="shared" si="156"/>
        <v>#DIV/0!</v>
      </c>
      <c r="AO41" s="234">
        <v>0</v>
      </c>
      <c r="AP41" s="67" t="e">
        <f t="shared" si="157"/>
        <v>#DIV/0!</v>
      </c>
      <c r="AQ41" s="90"/>
      <c r="AR41" s="233">
        <v>0</v>
      </c>
      <c r="AS41" s="232">
        <v>0</v>
      </c>
      <c r="AT41" s="234">
        <v>0</v>
      </c>
      <c r="AU41" s="234">
        <v>0</v>
      </c>
      <c r="AV41" s="52" t="e">
        <f t="shared" si="141"/>
        <v>#DIV/0!</v>
      </c>
      <c r="AW41" s="234">
        <v>0</v>
      </c>
      <c r="AX41" s="53" t="e">
        <f t="shared" si="158"/>
        <v>#DIV/0!</v>
      </c>
      <c r="AY41" s="90"/>
      <c r="AZ41" s="240">
        <v>0</v>
      </c>
      <c r="BA41" s="239">
        <f t="shared" si="173"/>
        <v>0</v>
      </c>
      <c r="BB41" s="237">
        <v>0</v>
      </c>
      <c r="BC41" s="237">
        <v>0</v>
      </c>
      <c r="BD41" s="52" t="e">
        <f t="shared" si="142"/>
        <v>#DIV/0!</v>
      </c>
      <c r="BE41" s="237">
        <v>0</v>
      </c>
      <c r="BF41" s="53" t="e">
        <f t="shared" si="159"/>
        <v>#DIV/0!</v>
      </c>
      <c r="BG41" s="90"/>
      <c r="BH41" s="233">
        <v>0</v>
      </c>
      <c r="BI41" s="234">
        <v>0</v>
      </c>
      <c r="BJ41" s="234">
        <v>0</v>
      </c>
      <c r="BK41" s="234">
        <v>0</v>
      </c>
      <c r="BL41" s="52" t="e">
        <f t="shared" si="143"/>
        <v>#DIV/0!</v>
      </c>
      <c r="BM41" s="232">
        <v>0</v>
      </c>
      <c r="BN41" s="53" t="e">
        <f t="shared" si="160"/>
        <v>#DIV/0!</v>
      </c>
      <c r="BO41" s="194">
        <f t="shared" si="174"/>
        <v>0</v>
      </c>
      <c r="BP41" s="90"/>
      <c r="BQ41" s="234">
        <v>682000</v>
      </c>
      <c r="BR41" s="234"/>
      <c r="BS41" s="234">
        <v>682000</v>
      </c>
      <c r="BT41" s="234">
        <v>682000</v>
      </c>
      <c r="BU41" s="52">
        <f t="shared" si="144"/>
        <v>0</v>
      </c>
      <c r="BV41" s="234"/>
      <c r="BW41" s="67"/>
      <c r="BX41" s="294">
        <f t="shared" si="176"/>
        <v>95480.000000000015</v>
      </c>
      <c r="BY41" s="90"/>
      <c r="BZ41" s="234">
        <v>0</v>
      </c>
      <c r="CA41" s="234">
        <v>0</v>
      </c>
      <c r="CB41" s="234">
        <v>0</v>
      </c>
      <c r="CC41" s="234">
        <v>0</v>
      </c>
      <c r="CD41" s="52" t="e">
        <f t="shared" si="145"/>
        <v>#DIV/0!</v>
      </c>
      <c r="CE41" s="234">
        <v>0</v>
      </c>
      <c r="CF41" s="53" t="e">
        <f t="shared" si="163"/>
        <v>#DIV/0!</v>
      </c>
      <c r="CG41" s="294">
        <f t="shared" si="177"/>
        <v>0</v>
      </c>
      <c r="CH41" s="90"/>
      <c r="CI41" s="133"/>
      <c r="CJ41" s="134"/>
      <c r="CK41" s="134"/>
      <c r="CL41" s="134"/>
      <c r="CM41" s="121"/>
      <c r="CN41" s="134"/>
      <c r="CO41" s="122"/>
      <c r="CP41" s="90"/>
      <c r="CQ41" s="133"/>
      <c r="CR41" s="134"/>
      <c r="CS41" s="134"/>
      <c r="CT41" s="134"/>
      <c r="CU41" s="121"/>
      <c r="CV41" s="134"/>
      <c r="CW41" s="122"/>
      <c r="CX41" s="90"/>
      <c r="CY41" s="133"/>
      <c r="CZ41" s="134"/>
      <c r="DA41" s="134"/>
      <c r="DB41" s="134"/>
      <c r="DC41" s="121"/>
      <c r="DD41" s="134"/>
      <c r="DE41" s="122"/>
      <c r="DF41" s="6"/>
      <c r="DG41" s="289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</row>
    <row r="42" spans="1:135" s="7" customFormat="1" ht="13" customHeight="1">
      <c r="A42" s="330"/>
      <c r="B42" s="49" t="s">
        <v>14</v>
      </c>
      <c r="C42" s="232">
        <f t="shared" ref="C42:F45" si="178">SUM(L42,T42,AB42,AJ42,AR42,AZ42,BH42,BQ42,BZ42,CI42,CQ42,CY42)</f>
        <v>14100000</v>
      </c>
      <c r="D42" s="232">
        <f t="shared" si="178"/>
        <v>5854634</v>
      </c>
      <c r="E42" s="232">
        <f t="shared" si="178"/>
        <v>8245366</v>
      </c>
      <c r="F42" s="232">
        <f t="shared" si="178"/>
        <v>8245366</v>
      </c>
      <c r="G42" s="14">
        <f t="shared" ref="G42:G44" si="179">D42/C42</f>
        <v>0.41522226950354613</v>
      </c>
      <c r="H42" s="232">
        <f t="shared" si="171"/>
        <v>2556000</v>
      </c>
      <c r="I42" s="14">
        <f>H42/C42</f>
        <v>0.18127659574468086</v>
      </c>
      <c r="J42" s="194">
        <f>F42*$A$47</f>
        <v>1154351.2400000002</v>
      </c>
      <c r="K42" s="94"/>
      <c r="L42" s="231">
        <v>1000000</v>
      </c>
      <c r="M42" s="232">
        <v>426000</v>
      </c>
      <c r="N42" s="232">
        <v>574000</v>
      </c>
      <c r="O42" s="232">
        <f t="shared" si="150"/>
        <v>574000</v>
      </c>
      <c r="P42" s="52">
        <f t="shared" si="151"/>
        <v>0.42599999999999999</v>
      </c>
      <c r="Q42" s="232">
        <v>225000</v>
      </c>
      <c r="R42" s="53">
        <f t="shared" si="152"/>
        <v>0.22500000000000001</v>
      </c>
      <c r="S42" s="94"/>
      <c r="T42" s="231">
        <v>2300000</v>
      </c>
      <c r="U42" s="232">
        <v>1200000</v>
      </c>
      <c r="V42" s="232">
        <v>1100000</v>
      </c>
      <c r="W42" s="232">
        <v>1100000</v>
      </c>
      <c r="X42" s="52">
        <f>(T42-V42)/T42</f>
        <v>0.52173913043478259</v>
      </c>
      <c r="Y42" s="234">
        <v>451000</v>
      </c>
      <c r="Z42" s="53">
        <f t="shared" si="153"/>
        <v>0.19608695652173913</v>
      </c>
      <c r="AA42" s="94"/>
      <c r="AB42" s="233">
        <v>3800000</v>
      </c>
      <c r="AC42" s="234">
        <f t="shared" si="154"/>
        <v>1082634</v>
      </c>
      <c r="AD42" s="234">
        <v>2717366</v>
      </c>
      <c r="AE42" s="234">
        <v>2717366</v>
      </c>
      <c r="AF42" s="66">
        <f>(AB42-AD42)/AB42</f>
        <v>0.28490368421052631</v>
      </c>
      <c r="AG42" s="234">
        <v>0</v>
      </c>
      <c r="AH42" s="67">
        <f t="shared" si="155"/>
        <v>0</v>
      </c>
      <c r="AI42" s="94"/>
      <c r="AJ42" s="233">
        <v>0</v>
      </c>
      <c r="AK42" s="234">
        <v>0</v>
      </c>
      <c r="AL42" s="234">
        <v>0</v>
      </c>
      <c r="AM42" s="234">
        <v>0</v>
      </c>
      <c r="AN42" s="66" t="e">
        <f t="shared" si="156"/>
        <v>#DIV/0!</v>
      </c>
      <c r="AO42" s="234">
        <v>0</v>
      </c>
      <c r="AP42" s="67" t="e">
        <f t="shared" ref="AP42:AP74" si="180">AO42/AJ42</f>
        <v>#DIV/0!</v>
      </c>
      <c r="AQ42" s="94"/>
      <c r="AR42" s="231">
        <v>0</v>
      </c>
      <c r="AS42" s="232">
        <v>0</v>
      </c>
      <c r="AT42" s="232">
        <v>0</v>
      </c>
      <c r="AU42" s="232">
        <v>0</v>
      </c>
      <c r="AV42" s="52" t="e">
        <f>(AR42-AT42)/AR42</f>
        <v>#DIV/0!</v>
      </c>
      <c r="AW42" s="234">
        <v>0</v>
      </c>
      <c r="AX42" s="53" t="e">
        <f t="shared" si="158"/>
        <v>#DIV/0!</v>
      </c>
      <c r="AY42" s="94"/>
      <c r="AZ42" s="238">
        <v>0</v>
      </c>
      <c r="BA42" s="239">
        <v>0</v>
      </c>
      <c r="BB42" s="239">
        <v>0</v>
      </c>
      <c r="BC42" s="239">
        <v>0</v>
      </c>
      <c r="BD42" s="52" t="e">
        <f>(AZ42-BB42)/AZ42</f>
        <v>#DIV/0!</v>
      </c>
      <c r="BE42" s="237">
        <v>0</v>
      </c>
      <c r="BF42" s="53" t="e">
        <f t="shared" si="159"/>
        <v>#DIV/0!</v>
      </c>
      <c r="BG42" s="94"/>
      <c r="BH42" s="231">
        <v>700000</v>
      </c>
      <c r="BI42" s="232">
        <v>126000</v>
      </c>
      <c r="BJ42" s="232">
        <v>574000</v>
      </c>
      <c r="BK42" s="232">
        <v>574000</v>
      </c>
      <c r="BL42" s="52">
        <f>(BH42-BJ42)/BH42</f>
        <v>0.18</v>
      </c>
      <c r="BM42" s="232">
        <v>30000</v>
      </c>
      <c r="BN42" s="53">
        <f t="shared" si="160"/>
        <v>4.2857142857142858E-2</v>
      </c>
      <c r="BO42" s="194">
        <f t="shared" si="174"/>
        <v>80360.000000000015</v>
      </c>
      <c r="BP42" s="94"/>
      <c r="BQ42" s="234">
        <v>700000</v>
      </c>
      <c r="BR42" s="234">
        <v>208000</v>
      </c>
      <c r="BS42" s="234">
        <v>492000</v>
      </c>
      <c r="BT42" s="234">
        <v>492000</v>
      </c>
      <c r="BU42" s="52">
        <f>(BQ42-BS42)/BQ42</f>
        <v>0.29714285714285715</v>
      </c>
      <c r="BV42" s="234">
        <v>50000</v>
      </c>
      <c r="BW42" s="53">
        <f t="shared" si="162"/>
        <v>7.1428571428571425E-2</v>
      </c>
      <c r="BX42" s="294">
        <f t="shared" si="176"/>
        <v>68880</v>
      </c>
      <c r="BY42" s="94"/>
      <c r="BZ42" s="234">
        <v>5600000</v>
      </c>
      <c r="CA42" s="234">
        <v>2812000</v>
      </c>
      <c r="CB42" s="234">
        <v>2788000</v>
      </c>
      <c r="CC42" s="234">
        <v>2788000</v>
      </c>
      <c r="CD42" s="52">
        <f>(BZ42-CB42)/BZ42</f>
        <v>0.50214285714285711</v>
      </c>
      <c r="CE42" s="234">
        <v>1800000</v>
      </c>
      <c r="CF42" s="53">
        <f t="shared" si="163"/>
        <v>0.32142857142857145</v>
      </c>
      <c r="CG42" s="294">
        <f t="shared" si="177"/>
        <v>390320.00000000006</v>
      </c>
      <c r="CH42" s="94"/>
      <c r="CI42" s="109"/>
      <c r="CJ42" s="110"/>
      <c r="CK42" s="110"/>
      <c r="CL42" s="110"/>
      <c r="CM42" s="111" t="e">
        <f>(CI42-CK42)/CI42</f>
        <v>#DIV/0!</v>
      </c>
      <c r="CN42" s="112"/>
      <c r="CO42" s="113" t="e">
        <f t="shared" si="164"/>
        <v>#DIV/0!</v>
      </c>
      <c r="CP42" s="94"/>
      <c r="CQ42" s="109"/>
      <c r="CR42" s="110"/>
      <c r="CS42" s="110"/>
      <c r="CT42" s="110"/>
      <c r="CU42" s="111" t="e">
        <f>(CQ42-CS42)/CQ42</f>
        <v>#DIV/0!</v>
      </c>
      <c r="CV42" s="112"/>
      <c r="CW42" s="113" t="e">
        <f t="shared" si="165"/>
        <v>#DIV/0!</v>
      </c>
      <c r="CX42" s="94"/>
      <c r="CY42" s="109"/>
      <c r="CZ42" s="110"/>
      <c r="DA42" s="110"/>
      <c r="DB42" s="110"/>
      <c r="DC42" s="111" t="e">
        <f>(CY42-DA42)/CY42</f>
        <v>#DIV/0!</v>
      </c>
      <c r="DD42" s="112"/>
      <c r="DE42" s="113" t="e">
        <f t="shared" si="166"/>
        <v>#DIV/0!</v>
      </c>
      <c r="DF42" s="6"/>
      <c r="DG42" s="289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</row>
    <row r="43" spans="1:135" s="7" customFormat="1" ht="13" customHeight="1">
      <c r="A43" s="330"/>
      <c r="B43" s="49" t="s">
        <v>15</v>
      </c>
      <c r="C43" s="232">
        <f t="shared" si="178"/>
        <v>10372000</v>
      </c>
      <c r="D43" s="232">
        <f t="shared" si="178"/>
        <v>7310385</v>
      </c>
      <c r="E43" s="232">
        <f t="shared" si="178"/>
        <v>8289615</v>
      </c>
      <c r="F43" s="232">
        <f t="shared" si="178"/>
        <v>8289615</v>
      </c>
      <c r="G43" s="14">
        <f t="shared" si="179"/>
        <v>0.70481922483609716</v>
      </c>
      <c r="H43" s="232">
        <f t="shared" si="171"/>
        <v>0</v>
      </c>
      <c r="I43" s="14">
        <f>H43/C43</f>
        <v>0</v>
      </c>
      <c r="J43" s="194">
        <f>F43*$A$47</f>
        <v>1160546.1000000001</v>
      </c>
      <c r="K43" s="94"/>
      <c r="L43" s="231">
        <v>0</v>
      </c>
      <c r="M43" s="232">
        <v>0</v>
      </c>
      <c r="N43" s="232">
        <v>0</v>
      </c>
      <c r="O43" s="232">
        <v>0</v>
      </c>
      <c r="P43" s="52" t="e">
        <f t="shared" si="151"/>
        <v>#DIV/0!</v>
      </c>
      <c r="Q43" s="232">
        <v>0</v>
      </c>
      <c r="R43" s="53" t="e">
        <f t="shared" si="152"/>
        <v>#DIV/0!</v>
      </c>
      <c r="S43" s="94"/>
      <c r="T43" s="231">
        <v>536000</v>
      </c>
      <c r="U43" s="232">
        <v>137253</v>
      </c>
      <c r="V43" s="232">
        <v>398747</v>
      </c>
      <c r="W43" s="232">
        <v>398747</v>
      </c>
      <c r="X43" s="52">
        <f t="shared" ref="X43" si="181">(T43-V43)/T43</f>
        <v>0.25606902985074625</v>
      </c>
      <c r="Y43" s="234">
        <v>0</v>
      </c>
      <c r="Z43" s="53">
        <f>Y43/T43</f>
        <v>0</v>
      </c>
      <c r="AA43" s="94"/>
      <c r="AB43" s="233">
        <v>2972000</v>
      </c>
      <c r="AC43" s="234">
        <f>AB43-AD43</f>
        <v>718378</v>
      </c>
      <c r="AD43" s="234">
        <v>2253622</v>
      </c>
      <c r="AE43" s="234">
        <v>2253622</v>
      </c>
      <c r="AF43" s="66">
        <f t="shared" ref="AF43" si="182">(AB43-AD43)/AB43</f>
        <v>0.24171534320323015</v>
      </c>
      <c r="AG43" s="234">
        <v>0</v>
      </c>
      <c r="AH43" s="67">
        <f>AG43/AB43</f>
        <v>0</v>
      </c>
      <c r="AI43" s="94"/>
      <c r="AJ43" s="233">
        <v>3283000</v>
      </c>
      <c r="AK43" s="234">
        <v>780631</v>
      </c>
      <c r="AL43" s="234">
        <v>2502369</v>
      </c>
      <c r="AM43" s="234">
        <v>2502369</v>
      </c>
      <c r="AN43" s="66">
        <f t="shared" ref="AN43" si="183">(AJ43-AL43)/AJ43</f>
        <v>0.23777977459640573</v>
      </c>
      <c r="AO43" s="234">
        <v>0</v>
      </c>
      <c r="AP43" s="67">
        <f t="shared" si="180"/>
        <v>0</v>
      </c>
      <c r="AQ43" s="94"/>
      <c r="AR43" s="231">
        <v>0</v>
      </c>
      <c r="AS43" s="232">
        <v>0</v>
      </c>
      <c r="AT43" s="232">
        <v>0</v>
      </c>
      <c r="AU43" s="232">
        <v>0</v>
      </c>
      <c r="AV43" s="52" t="e">
        <f t="shared" ref="AV43" si="184">(AR43-AT43)/AR43</f>
        <v>#DIV/0!</v>
      </c>
      <c r="AW43" s="234">
        <v>0</v>
      </c>
      <c r="AX43" s="53" t="e">
        <f t="shared" si="158"/>
        <v>#DIV/0!</v>
      </c>
      <c r="AY43" s="94"/>
      <c r="AZ43" s="238">
        <v>0</v>
      </c>
      <c r="BA43" s="239">
        <v>0</v>
      </c>
      <c r="BB43" s="239">
        <v>0</v>
      </c>
      <c r="BC43" s="239">
        <v>0</v>
      </c>
      <c r="BD43" s="52" t="e">
        <f t="shared" ref="BD43" si="185">(AZ43-BB43)/AZ43</f>
        <v>#DIV/0!</v>
      </c>
      <c r="BE43" s="237">
        <v>0</v>
      </c>
      <c r="BF43" s="53" t="e">
        <f>BE43/AZ43</f>
        <v>#DIV/0!</v>
      </c>
      <c r="BG43" s="94"/>
      <c r="BH43" s="231">
        <v>311000</v>
      </c>
      <c r="BI43" s="232">
        <v>62253</v>
      </c>
      <c r="BJ43" s="232">
        <v>248747</v>
      </c>
      <c r="BK43" s="232">
        <v>248747</v>
      </c>
      <c r="BL43" s="52">
        <f t="shared" ref="BL43" si="186">(BH43-BJ43)/BH43</f>
        <v>0.20017041800643087</v>
      </c>
      <c r="BM43" s="232">
        <v>0</v>
      </c>
      <c r="BN43" s="53">
        <f>BM43/BH43</f>
        <v>0</v>
      </c>
      <c r="BO43" s="194">
        <f t="shared" si="174"/>
        <v>34824.58</v>
      </c>
      <c r="BP43" s="94"/>
      <c r="BQ43" s="234">
        <v>2898000</v>
      </c>
      <c r="BR43" s="234">
        <v>263610</v>
      </c>
      <c r="BS43" s="234">
        <v>2634390</v>
      </c>
      <c r="BT43" s="234">
        <v>2634390</v>
      </c>
      <c r="BU43" s="52">
        <f t="shared" ref="BU43" si="187">(BQ43-BS43)/BQ43</f>
        <v>9.0962732919254663E-2</v>
      </c>
      <c r="BV43" s="234"/>
      <c r="BW43" s="53">
        <f>BV43/BQ43</f>
        <v>0</v>
      </c>
      <c r="BX43" s="294">
        <f t="shared" si="176"/>
        <v>368814.60000000003</v>
      </c>
      <c r="BY43" s="94"/>
      <c r="BZ43" s="234">
        <v>372000</v>
      </c>
      <c r="CA43" s="234">
        <v>5348260</v>
      </c>
      <c r="CB43" s="234">
        <v>251740</v>
      </c>
      <c r="CC43" s="234">
        <v>251740</v>
      </c>
      <c r="CD43" s="52">
        <f>(BZ43-CB43)/BZ43</f>
        <v>0.32327956989247314</v>
      </c>
      <c r="CE43" s="234">
        <v>0</v>
      </c>
      <c r="CF43" s="53">
        <f>CE43/BZ43</f>
        <v>0</v>
      </c>
      <c r="CG43" s="294">
        <f t="shared" si="177"/>
        <v>35243.600000000006</v>
      </c>
      <c r="CH43" s="94"/>
      <c r="CI43" s="109"/>
      <c r="CJ43" s="110"/>
      <c r="CK43" s="110"/>
      <c r="CL43" s="110"/>
      <c r="CM43" s="111" t="e">
        <f t="shared" ref="CM43" si="188">(CI43-CK43)/CI43</f>
        <v>#DIV/0!</v>
      </c>
      <c r="CN43" s="112"/>
      <c r="CO43" s="113" t="e">
        <f>CN43/CI43</f>
        <v>#DIV/0!</v>
      </c>
      <c r="CP43" s="94"/>
      <c r="CQ43" s="109"/>
      <c r="CR43" s="110"/>
      <c r="CS43" s="110"/>
      <c r="CT43" s="110"/>
      <c r="CU43" s="111" t="e">
        <f t="shared" ref="CU43" si="189">(CQ43-CS43)/CQ43</f>
        <v>#DIV/0!</v>
      </c>
      <c r="CV43" s="112"/>
      <c r="CW43" s="113" t="e">
        <f>CV43/CQ43</f>
        <v>#DIV/0!</v>
      </c>
      <c r="CX43" s="94"/>
      <c r="CY43" s="109"/>
      <c r="CZ43" s="110"/>
      <c r="DA43" s="110"/>
      <c r="DB43" s="110"/>
      <c r="DC43" s="111" t="e">
        <f t="shared" ref="DC43" si="190">(CY43-DA43)/CY43</f>
        <v>#DIV/0!</v>
      </c>
      <c r="DD43" s="112"/>
      <c r="DE43" s="113" t="e">
        <f>DD43/CY43</f>
        <v>#DIV/0!</v>
      </c>
      <c r="DF43" s="6"/>
      <c r="DG43" s="289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</row>
    <row r="44" spans="1:135" s="7" customFormat="1" ht="13" customHeight="1">
      <c r="A44" s="330"/>
      <c r="B44" s="49" t="s">
        <v>16</v>
      </c>
      <c r="C44" s="232">
        <f t="shared" si="178"/>
        <v>7000000</v>
      </c>
      <c r="D44" s="232">
        <f t="shared" si="178"/>
        <v>1010000</v>
      </c>
      <c r="E44" s="232">
        <f t="shared" si="178"/>
        <v>5990000</v>
      </c>
      <c r="F44" s="232">
        <f t="shared" si="178"/>
        <v>5990000</v>
      </c>
      <c r="G44" s="14">
        <f t="shared" si="179"/>
        <v>0.14428571428571429</v>
      </c>
      <c r="H44" s="232">
        <f>SUM(Q44,Y44,AG44,AO44,AW44,BE44,BM44,BV44,CE44,CN44,CV44,DD44)</f>
        <v>1505000</v>
      </c>
      <c r="I44" s="14">
        <f t="shared" ref="I44" si="191">H44/C44</f>
        <v>0.215</v>
      </c>
      <c r="J44" s="194">
        <f>F44*$A$47</f>
        <v>838600.00000000012</v>
      </c>
      <c r="K44" s="94"/>
      <c r="L44" s="231">
        <v>0</v>
      </c>
      <c r="M44" s="232">
        <v>0</v>
      </c>
      <c r="N44" s="232">
        <v>0</v>
      </c>
      <c r="O44" s="232">
        <v>0</v>
      </c>
      <c r="P44" s="52" t="e">
        <f t="shared" si="151"/>
        <v>#DIV/0!</v>
      </c>
      <c r="Q44" s="232">
        <v>0</v>
      </c>
      <c r="R44" s="53" t="e">
        <f>Q45/L44</f>
        <v>#DIV/0!</v>
      </c>
      <c r="S44" s="94"/>
      <c r="T44" s="231">
        <v>0</v>
      </c>
      <c r="U44" s="232">
        <v>0</v>
      </c>
      <c r="V44" s="232">
        <v>0</v>
      </c>
      <c r="W44" s="232">
        <f>V44</f>
        <v>0</v>
      </c>
      <c r="X44" s="52" t="e">
        <f>(T44-V44)/T44</f>
        <v>#DIV/0!</v>
      </c>
      <c r="Y44" s="234">
        <v>0</v>
      </c>
      <c r="Z44" s="53" t="e">
        <f t="shared" si="153"/>
        <v>#DIV/0!</v>
      </c>
      <c r="AA44" s="94"/>
      <c r="AB44" s="233">
        <v>1690000</v>
      </c>
      <c r="AC44" s="234">
        <f t="shared" si="154"/>
        <v>240000</v>
      </c>
      <c r="AD44" s="234">
        <v>1450000</v>
      </c>
      <c r="AE44" s="234">
        <v>1450000</v>
      </c>
      <c r="AF44" s="66">
        <f>(AB44-AD44)/AB44</f>
        <v>0.14201183431952663</v>
      </c>
      <c r="AG44" s="234">
        <v>900000</v>
      </c>
      <c r="AH44" s="67">
        <f t="shared" si="155"/>
        <v>0.53254437869822491</v>
      </c>
      <c r="AI44" s="94"/>
      <c r="AJ44" s="233">
        <v>1690000</v>
      </c>
      <c r="AK44" s="234">
        <v>240000</v>
      </c>
      <c r="AL44" s="234">
        <v>1450000</v>
      </c>
      <c r="AM44" s="234">
        <v>1450000</v>
      </c>
      <c r="AN44" s="66">
        <f>(AJ44-AL44)/AJ44</f>
        <v>0.14201183431952663</v>
      </c>
      <c r="AO44" s="234">
        <v>0</v>
      </c>
      <c r="AP44" s="67">
        <f t="shared" si="180"/>
        <v>0</v>
      </c>
      <c r="AQ44" s="94"/>
      <c r="AR44" s="231">
        <v>1430000</v>
      </c>
      <c r="AS44" s="232">
        <v>220000</v>
      </c>
      <c r="AT44" s="232">
        <v>1210000</v>
      </c>
      <c r="AU44" s="232">
        <v>1210000</v>
      </c>
      <c r="AV44" s="52">
        <f>(AR44-AT44)/AR44</f>
        <v>0.15384615384615385</v>
      </c>
      <c r="AW44" s="234">
        <v>0</v>
      </c>
      <c r="AX44" s="53">
        <f t="shared" si="158"/>
        <v>0</v>
      </c>
      <c r="AY44" s="94"/>
      <c r="AZ44" s="238">
        <v>130000</v>
      </c>
      <c r="BA44" s="239">
        <f>AZ44-BB44</f>
        <v>20000</v>
      </c>
      <c r="BB44" s="239">
        <v>110000</v>
      </c>
      <c r="BC44" s="239">
        <v>110000</v>
      </c>
      <c r="BD44" s="52">
        <f>(AZ44-BB44)/AZ44</f>
        <v>0.15384615384615385</v>
      </c>
      <c r="BE44" s="237">
        <v>550000</v>
      </c>
      <c r="BF44" s="53">
        <f t="shared" si="159"/>
        <v>4.2307692307692308</v>
      </c>
      <c r="BG44" s="94"/>
      <c r="BH44" s="231">
        <v>130000</v>
      </c>
      <c r="BI44" s="232">
        <v>20000</v>
      </c>
      <c r="BJ44" s="232">
        <v>110000</v>
      </c>
      <c r="BK44" s="232">
        <v>110000</v>
      </c>
      <c r="BL44" s="52">
        <f>(BH44-BJ44)/BH44</f>
        <v>0.15384615384615385</v>
      </c>
      <c r="BM44" s="232">
        <v>0</v>
      </c>
      <c r="BN44" s="53">
        <f t="shared" si="160"/>
        <v>0</v>
      </c>
      <c r="BO44" s="194">
        <f t="shared" si="174"/>
        <v>15400.000000000002</v>
      </c>
      <c r="BP44" s="94"/>
      <c r="BQ44" s="234">
        <v>130000</v>
      </c>
      <c r="BR44" s="234">
        <v>20000</v>
      </c>
      <c r="BS44" s="234">
        <v>110000</v>
      </c>
      <c r="BT44" s="234">
        <v>110000</v>
      </c>
      <c r="BU44" s="52">
        <f>(BQ44-BS44)/BQ44</f>
        <v>0.15384615384615385</v>
      </c>
      <c r="BV44" s="234">
        <v>55000</v>
      </c>
      <c r="BW44" s="53">
        <f t="shared" si="162"/>
        <v>0.42307692307692307</v>
      </c>
      <c r="BX44" s="294">
        <f t="shared" si="176"/>
        <v>15400.000000000002</v>
      </c>
      <c r="BY44" s="94"/>
      <c r="BZ44" s="234">
        <v>1800000</v>
      </c>
      <c r="CA44" s="234">
        <v>250000</v>
      </c>
      <c r="CB44" s="234">
        <v>1550000</v>
      </c>
      <c r="CC44" s="234">
        <v>1550000</v>
      </c>
      <c r="CD44" s="52">
        <f>(BZ44-CB44)/BZ44</f>
        <v>0.1388888888888889</v>
      </c>
      <c r="CE44" s="234">
        <v>0</v>
      </c>
      <c r="CF44" s="53">
        <f t="shared" si="163"/>
        <v>0</v>
      </c>
      <c r="CG44" s="294">
        <f t="shared" si="177"/>
        <v>217000.00000000003</v>
      </c>
      <c r="CH44" s="94"/>
      <c r="CI44" s="109"/>
      <c r="CJ44" s="110"/>
      <c r="CK44" s="110"/>
      <c r="CL44" s="110"/>
      <c r="CM44" s="111" t="e">
        <f>(CI44-CK44)/CI44</f>
        <v>#DIV/0!</v>
      </c>
      <c r="CN44" s="112"/>
      <c r="CO44" s="113" t="e">
        <f t="shared" si="164"/>
        <v>#DIV/0!</v>
      </c>
      <c r="CP44" s="94"/>
      <c r="CQ44" s="109"/>
      <c r="CR44" s="110"/>
      <c r="CS44" s="110"/>
      <c r="CT44" s="110"/>
      <c r="CU44" s="111" t="e">
        <f>(CQ44-CS44)/CQ44</f>
        <v>#DIV/0!</v>
      </c>
      <c r="CV44" s="112"/>
      <c r="CW44" s="113" t="e">
        <f t="shared" si="165"/>
        <v>#DIV/0!</v>
      </c>
      <c r="CX44" s="94"/>
      <c r="CY44" s="109"/>
      <c r="CZ44" s="110"/>
      <c r="DA44" s="110"/>
      <c r="DB44" s="110"/>
      <c r="DC44" s="111" t="e">
        <f>(CY44-DA44)/CY44</f>
        <v>#DIV/0!</v>
      </c>
      <c r="DD44" s="112"/>
      <c r="DE44" s="113" t="e">
        <f t="shared" si="166"/>
        <v>#DIV/0!</v>
      </c>
      <c r="DF44" s="6"/>
      <c r="DG44" s="289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</row>
    <row r="45" spans="1:135" s="7" customFormat="1" ht="13" customHeight="1">
      <c r="A45" s="330"/>
      <c r="B45" s="49" t="s">
        <v>17</v>
      </c>
      <c r="C45" s="232">
        <f t="shared" si="178"/>
        <v>2175000</v>
      </c>
      <c r="D45" s="232">
        <f t="shared" si="178"/>
        <v>375000</v>
      </c>
      <c r="E45" s="232">
        <f t="shared" si="178"/>
        <v>1800000</v>
      </c>
      <c r="F45" s="232">
        <f t="shared" si="178"/>
        <v>1800000</v>
      </c>
      <c r="G45" s="14">
        <f>D45/C45</f>
        <v>0.17241379310344829</v>
      </c>
      <c r="H45" s="232">
        <f>SUM(Q45,Y45,AG45,AO45,AW45,BE45,BM45,BV45,CE45,CN45,CV45,DD45)</f>
        <v>0</v>
      </c>
      <c r="I45" s="14">
        <f>H45/C45</f>
        <v>0</v>
      </c>
      <c r="J45" s="194">
        <f>F45*$A$47</f>
        <v>252000.00000000003</v>
      </c>
      <c r="K45" s="94"/>
      <c r="L45" s="231">
        <v>175000</v>
      </c>
      <c r="M45" s="232">
        <v>175000</v>
      </c>
      <c r="N45" s="232">
        <v>0</v>
      </c>
      <c r="O45" s="232">
        <f>N45</f>
        <v>0</v>
      </c>
      <c r="P45" s="52">
        <f t="shared" si="151"/>
        <v>1</v>
      </c>
      <c r="Q45" s="232">
        <v>0</v>
      </c>
      <c r="R45" s="53" t="e">
        <f>#REF!/L45</f>
        <v>#REF!</v>
      </c>
      <c r="S45" s="94"/>
      <c r="T45" s="231">
        <v>0</v>
      </c>
      <c r="U45" s="232">
        <v>0</v>
      </c>
      <c r="V45" s="232">
        <v>0</v>
      </c>
      <c r="W45" s="232">
        <v>0</v>
      </c>
      <c r="X45" s="52" t="e">
        <f>(T45-V45)/T45</f>
        <v>#DIV/0!</v>
      </c>
      <c r="Y45" s="234">
        <v>0</v>
      </c>
      <c r="Z45" s="53" t="e">
        <f t="shared" si="153"/>
        <v>#DIV/0!</v>
      </c>
      <c r="AA45" s="94"/>
      <c r="AB45" s="233">
        <v>1050000</v>
      </c>
      <c r="AC45" s="234">
        <f t="shared" si="154"/>
        <v>150000</v>
      </c>
      <c r="AD45" s="234">
        <v>900000</v>
      </c>
      <c r="AE45" s="234">
        <v>900000</v>
      </c>
      <c r="AF45" s="66">
        <f>(AB45-AD45)/AB45</f>
        <v>0.14285714285714285</v>
      </c>
      <c r="AG45" s="234">
        <v>0</v>
      </c>
      <c r="AH45" s="67">
        <f t="shared" si="155"/>
        <v>0</v>
      </c>
      <c r="AI45" s="94"/>
      <c r="AJ45" s="233">
        <v>0</v>
      </c>
      <c r="AK45" s="234">
        <v>0</v>
      </c>
      <c r="AL45" s="234">
        <v>0</v>
      </c>
      <c r="AM45" s="234">
        <v>0</v>
      </c>
      <c r="AN45" s="66" t="e">
        <f>(AJ45-AL45)/AJ45</f>
        <v>#DIV/0!</v>
      </c>
      <c r="AO45" s="234">
        <v>0</v>
      </c>
      <c r="AP45" s="67" t="e">
        <f t="shared" si="180"/>
        <v>#DIV/0!</v>
      </c>
      <c r="AQ45" s="94"/>
      <c r="AR45" s="231">
        <v>0</v>
      </c>
      <c r="AS45" s="232">
        <v>0</v>
      </c>
      <c r="AT45" s="232">
        <v>0</v>
      </c>
      <c r="AU45" s="232">
        <v>0</v>
      </c>
      <c r="AV45" s="52" t="e">
        <f>(AR45-AT45)/AR45</f>
        <v>#DIV/0!</v>
      </c>
      <c r="AW45" s="234">
        <v>0</v>
      </c>
      <c r="AX45" s="53" t="e">
        <f t="shared" si="158"/>
        <v>#DIV/0!</v>
      </c>
      <c r="AY45" s="94"/>
      <c r="AZ45" s="238">
        <v>0</v>
      </c>
      <c r="BA45" s="239">
        <v>0</v>
      </c>
      <c r="BB45" s="239">
        <v>0</v>
      </c>
      <c r="BC45" s="239">
        <v>0</v>
      </c>
      <c r="BD45" s="52" t="e">
        <f>(AZ45-BB45)/AZ45</f>
        <v>#DIV/0!</v>
      </c>
      <c r="BE45" s="237">
        <v>0</v>
      </c>
      <c r="BF45" s="53" t="e">
        <f t="shared" si="159"/>
        <v>#DIV/0!</v>
      </c>
      <c r="BG45" s="94"/>
      <c r="BH45" s="231">
        <v>0</v>
      </c>
      <c r="BI45" s="232">
        <v>0</v>
      </c>
      <c r="BJ45" s="232">
        <v>0</v>
      </c>
      <c r="BK45" s="235">
        <v>0</v>
      </c>
      <c r="BL45" s="236" t="e">
        <f>(BH45-BJ45)/BH45</f>
        <v>#DIV/0!</v>
      </c>
      <c r="BM45" s="235">
        <v>0</v>
      </c>
      <c r="BN45" s="53" t="e">
        <f t="shared" si="160"/>
        <v>#DIV/0!</v>
      </c>
      <c r="BO45" s="194">
        <f t="shared" si="174"/>
        <v>0</v>
      </c>
      <c r="BP45" s="94"/>
      <c r="BQ45" s="109"/>
      <c r="BR45" s="110"/>
      <c r="BS45" s="299"/>
      <c r="BT45" s="299"/>
      <c r="BU45" s="52" t="e">
        <f>(BQ45-BS45)/BQ45</f>
        <v>#DIV/0!</v>
      </c>
      <c r="BV45" s="300"/>
      <c r="BW45" s="53" t="e">
        <f t="shared" si="162"/>
        <v>#DIV/0!</v>
      </c>
      <c r="BX45" s="294">
        <f t="shared" si="176"/>
        <v>0</v>
      </c>
      <c r="BY45" s="94"/>
      <c r="BZ45" s="234">
        <v>950000</v>
      </c>
      <c r="CA45" s="234">
        <v>50000</v>
      </c>
      <c r="CB45" s="234">
        <v>900000</v>
      </c>
      <c r="CC45" s="234">
        <v>900000</v>
      </c>
      <c r="CD45" s="52">
        <f>(BZ45-CB45)/BZ45</f>
        <v>5.2631578947368418E-2</v>
      </c>
      <c r="CE45" s="234">
        <v>0</v>
      </c>
      <c r="CF45" s="53">
        <f t="shared" si="163"/>
        <v>0</v>
      </c>
      <c r="CG45" s="294">
        <f t="shared" si="177"/>
        <v>126000.00000000001</v>
      </c>
      <c r="CH45" s="94"/>
      <c r="CI45" s="109"/>
      <c r="CJ45" s="110"/>
      <c r="CK45" s="110"/>
      <c r="CL45" s="110"/>
      <c r="CM45" s="111" t="e">
        <f>(CI45-CK45)/CI45</f>
        <v>#DIV/0!</v>
      </c>
      <c r="CN45" s="112"/>
      <c r="CO45" s="113" t="e">
        <f t="shared" si="164"/>
        <v>#DIV/0!</v>
      </c>
      <c r="CP45" s="94"/>
      <c r="CQ45" s="109"/>
      <c r="CR45" s="110"/>
      <c r="CS45" s="110"/>
      <c r="CT45" s="110"/>
      <c r="CU45" s="111" t="e">
        <f>(CQ45-CS45)/CQ45</f>
        <v>#DIV/0!</v>
      </c>
      <c r="CV45" s="112"/>
      <c r="CW45" s="113" t="e">
        <f t="shared" si="165"/>
        <v>#DIV/0!</v>
      </c>
      <c r="CX45" s="94"/>
      <c r="CY45" s="109"/>
      <c r="CZ45" s="110"/>
      <c r="DA45" s="110"/>
      <c r="DB45" s="110"/>
      <c r="DC45" s="111" t="e">
        <f>(CY45-DA45)/CY45</f>
        <v>#DIV/0!</v>
      </c>
      <c r="DD45" s="112"/>
      <c r="DE45" s="113" t="e">
        <f t="shared" si="166"/>
        <v>#DIV/0!</v>
      </c>
      <c r="DF45" s="6"/>
      <c r="DG45" s="289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</row>
    <row r="46" spans="1:135" s="2" customFormat="1" ht="13" customHeight="1">
      <c r="A46" s="330"/>
      <c r="B46" s="167" t="s">
        <v>18</v>
      </c>
      <c r="C46" s="242">
        <f>SUM(C32,C35:C45)</f>
        <v>66991513.359999999</v>
      </c>
      <c r="D46" s="242">
        <f t="shared" ref="D46:E46" si="192">SUM(D32,D35:D45)</f>
        <v>16768939</v>
      </c>
      <c r="E46" s="242">
        <f t="shared" si="192"/>
        <v>55450574.260000005</v>
      </c>
      <c r="F46" s="242">
        <f>SUM(F32,F35:F45)</f>
        <v>55450574.260000005</v>
      </c>
      <c r="G46" s="15">
        <f>D46/C46</f>
        <v>0.25031437803004725</v>
      </c>
      <c r="H46" s="242">
        <f>SUM(H32:H45)</f>
        <v>6761000</v>
      </c>
      <c r="I46" s="15">
        <f>H46/C46</f>
        <v>0.10092323133032742</v>
      </c>
      <c r="J46" s="195" t="b">
        <f>J47=F47</f>
        <v>1</v>
      </c>
      <c r="K46" s="95"/>
      <c r="L46" s="241">
        <f>SUM(L32:L45)</f>
        <v>7279972.7999999998</v>
      </c>
      <c r="M46" s="242">
        <f>SUM(M32:M45)</f>
        <v>967800</v>
      </c>
      <c r="N46" s="242">
        <f>SUM(N32:N45)</f>
        <v>6312172.7999999998</v>
      </c>
      <c r="O46" s="242">
        <f>SUM(O32:O45)</f>
        <v>6312172.7999999998</v>
      </c>
      <c r="P46" s="15">
        <f>(L46-O46)/L46</f>
        <v>0.13294005713867502</v>
      </c>
      <c r="Q46" s="242">
        <f>SUM(Q32:Q45)</f>
        <v>225000</v>
      </c>
      <c r="R46" s="62">
        <f t="shared" ref="R46:R74" si="193">Q46/L46</f>
        <v>3.0906708882209012E-2</v>
      </c>
      <c r="S46" s="95"/>
      <c r="T46" s="84">
        <f>SUM(T32:T45)</f>
        <v>12565580.199999999</v>
      </c>
      <c r="U46" s="85">
        <f>SUM(U32:U45)</f>
        <v>1789203</v>
      </c>
      <c r="V46" s="85">
        <f>SUM(V32:V45)</f>
        <v>10776377.1</v>
      </c>
      <c r="W46" s="85">
        <f>SUM(W32:W45)</f>
        <v>10776377.1</v>
      </c>
      <c r="X46" s="15">
        <f>(T46-W46)/T46</f>
        <v>0.14238921494448778</v>
      </c>
      <c r="Y46" s="85">
        <f>SUM(Y32:Y45)</f>
        <v>451000</v>
      </c>
      <c r="Z46" s="62">
        <f t="shared" ref="Z46:Z74" si="194">Y46/T46</f>
        <v>3.5891697225409455E-2</v>
      </c>
      <c r="AA46" s="95"/>
      <c r="AB46" s="84">
        <f>SUM(AB32:AB45)</f>
        <v>13778086.5</v>
      </c>
      <c r="AC46" s="85">
        <f>SUM(AC32:AC45)</f>
        <v>2341662</v>
      </c>
      <c r="AD46" s="85">
        <f>SUM(AD32:AD45)</f>
        <v>11436424.5</v>
      </c>
      <c r="AE46" s="85">
        <f>SUM(AE32:AE45)</f>
        <v>11436424.5</v>
      </c>
      <c r="AF46" s="15">
        <f>(AB46-AE46)/AB46</f>
        <v>0.16995553047224662</v>
      </c>
      <c r="AG46" s="85">
        <f>SUM(AG32:AG45)</f>
        <v>900000</v>
      </c>
      <c r="AH46" s="62">
        <f t="shared" ref="AH46:AH74" si="195">AG46/AB46</f>
        <v>6.5321116978036095E-2</v>
      </c>
      <c r="AI46" s="95"/>
      <c r="AJ46" s="84">
        <f>SUM(AJ32:AJ45)</f>
        <v>7176966.9399999995</v>
      </c>
      <c r="AK46" s="85">
        <f>SUM(AK32:AK45)</f>
        <v>1020631</v>
      </c>
      <c r="AL46" s="85">
        <f>SUM(AL32:AL45)</f>
        <v>6156335.9399999995</v>
      </c>
      <c r="AM46" s="85">
        <f>SUM(AM32:AM45)</f>
        <v>6156335.9399999995</v>
      </c>
      <c r="AN46" s="15">
        <f>(AJ46-AM46)/AJ46</f>
        <v>0.14220923804338997</v>
      </c>
      <c r="AO46" s="85">
        <f>SUM(AO32:AO45)</f>
        <v>0</v>
      </c>
      <c r="AP46" s="62">
        <f t="shared" si="180"/>
        <v>0</v>
      </c>
      <c r="AQ46" s="95"/>
      <c r="AR46" s="84">
        <f>SUM(AR32:AR45)</f>
        <v>3458788.99</v>
      </c>
      <c r="AS46" s="85">
        <f>SUM(AS32:AS45)</f>
        <v>220000</v>
      </c>
      <c r="AT46" s="85">
        <f>SUM(AT32:AT45)</f>
        <v>3238788.99</v>
      </c>
      <c r="AU46" s="85">
        <f>SUM(AU32:AU45)</f>
        <v>3238788.99</v>
      </c>
      <c r="AV46" s="15">
        <f>(AR46-AU46)/AR46</f>
        <v>6.3606077339803252E-2</v>
      </c>
      <c r="AW46" s="85">
        <f>SUM(AW32:AW45)</f>
        <v>0</v>
      </c>
      <c r="AX46" s="62">
        <f t="shared" ref="AX46:AX82" si="196">AW46/AR46</f>
        <v>0</v>
      </c>
      <c r="AY46" s="95"/>
      <c r="AZ46" s="72">
        <f>SUM(AZ32:AZ45)</f>
        <v>2025787.32</v>
      </c>
      <c r="BA46" s="73">
        <f>SUM(BA32:BA45)</f>
        <v>20000</v>
      </c>
      <c r="BB46" s="73">
        <f>SUM(BB32:BB45)</f>
        <v>2005787.32</v>
      </c>
      <c r="BC46" s="73">
        <f>SUM(BC32:BC45)</f>
        <v>2005787.32</v>
      </c>
      <c r="BD46" s="15">
        <f>(AZ46-BC46)/AZ46</f>
        <v>9.872704702288293E-3</v>
      </c>
      <c r="BE46" s="85">
        <f>SUM(BE32:BE45)</f>
        <v>550000</v>
      </c>
      <c r="BF46" s="62">
        <f t="shared" ref="BF46:BF82" si="197">BE46/AZ46</f>
        <v>0.27149937931292806</v>
      </c>
      <c r="BG46" s="95"/>
      <c r="BH46" s="84">
        <f>SUM(BH32,BH35:BH45)</f>
        <v>4587081.87</v>
      </c>
      <c r="BI46" s="85">
        <f t="shared" ref="BI46:BK46" si="198">SUM(BI32,BI35:BI45)</f>
        <v>208253</v>
      </c>
      <c r="BJ46" s="222">
        <f t="shared" si="198"/>
        <v>4378828.87</v>
      </c>
      <c r="BK46" s="226">
        <f t="shared" si="198"/>
        <v>4378828.87</v>
      </c>
      <c r="BL46" s="227">
        <f>(BH46-BK46)/BH46</f>
        <v>4.5399887314415861E-2</v>
      </c>
      <c r="BM46" s="228">
        <f>SUM(BM32,BM35:BM45)</f>
        <v>30000</v>
      </c>
      <c r="BN46" s="223">
        <f t="shared" ref="BN46:BN82" si="199">BM46/BH46</f>
        <v>6.540105638009901E-3</v>
      </c>
      <c r="BO46" s="195" t="b">
        <f>BO47=BK47</f>
        <v>1</v>
      </c>
      <c r="BP46" s="95"/>
      <c r="BQ46" s="279">
        <f>SUM(BQ32:BQ33,BQ42:BQ45)</f>
        <v>8813387.9400000013</v>
      </c>
      <c r="BR46" s="279">
        <f t="shared" ref="BR46:BS46" si="200">SUM(BR32:BR33,BR42:BR45)</f>
        <v>491610</v>
      </c>
      <c r="BS46" s="279">
        <f t="shared" si="200"/>
        <v>8321777.9400000004</v>
      </c>
      <c r="BT46" s="279">
        <f>SUM(BT32:BT33,BT42:BT45)</f>
        <v>8321777.9400000004</v>
      </c>
      <c r="BU46" s="280">
        <f>(BQ46-BT46)/BQ46</f>
        <v>5.5779911578475332E-2</v>
      </c>
      <c r="BV46" s="279">
        <f>SUM(BV32:BV45)</f>
        <v>105000</v>
      </c>
      <c r="BW46" s="281">
        <f t="shared" ref="BW46:BW82" si="201">BV46/BQ46</f>
        <v>1.191369320343341E-2</v>
      </c>
      <c r="BX46" s="195" t="b">
        <f>BX47=BT47</f>
        <v>1</v>
      </c>
      <c r="BY46" s="95"/>
      <c r="BZ46" s="279">
        <f>SUM(BZ32:BZ45)</f>
        <v>18570389.030000001</v>
      </c>
      <c r="CA46" s="279">
        <f>SUM(CA32:CA45)</f>
        <v>9709780</v>
      </c>
      <c r="CB46" s="279">
        <f>SUM(CB32:CB45)</f>
        <v>14088609.030000001</v>
      </c>
      <c r="CC46" s="279">
        <f>SUM(CC32:CC45)</f>
        <v>14088609.030000001</v>
      </c>
      <c r="CD46" s="15">
        <f>(BZ46-CC46)/BZ46</f>
        <v>0.24134012447234121</v>
      </c>
      <c r="CE46" s="279">
        <f>SUM(CE32:CE45)</f>
        <v>4500000</v>
      </c>
      <c r="CF46" s="62">
        <f t="shared" ref="CF46:CF82" si="202">CE46/BZ46</f>
        <v>0.24232125631457488</v>
      </c>
      <c r="CG46" s="195" t="b">
        <f>CG47=CC47</f>
        <v>1</v>
      </c>
      <c r="CH46" s="95"/>
      <c r="CI46" s="160">
        <f>SUM(CI32:CI45)</f>
        <v>0</v>
      </c>
      <c r="CJ46" s="158">
        <f>SUM(CJ32:CJ45)</f>
        <v>0</v>
      </c>
      <c r="CK46" s="158">
        <f>SUM(CK32:CK45)</f>
        <v>0</v>
      </c>
      <c r="CL46" s="158">
        <f>SUM(CL32:CL45)</f>
        <v>0</v>
      </c>
      <c r="CM46" s="15" t="e">
        <f>(CI46-CL46)/CI46</f>
        <v>#DIV/0!</v>
      </c>
      <c r="CN46" s="158">
        <f>SUM(CN32:CN45)</f>
        <v>0</v>
      </c>
      <c r="CO46" s="62" t="e">
        <f t="shared" ref="CO46:CO82" si="203">CN46/CI46</f>
        <v>#DIV/0!</v>
      </c>
      <c r="CP46" s="95"/>
      <c r="CQ46" s="160">
        <f>SUM(CQ32:CQ45)</f>
        <v>0</v>
      </c>
      <c r="CR46" s="158">
        <f>SUM(CR32:CR45)</f>
        <v>0</v>
      </c>
      <c r="CS46" s="158">
        <f>SUM(CS32:CS45)</f>
        <v>0</v>
      </c>
      <c r="CT46" s="158">
        <f>SUM(CT32:CT45)</f>
        <v>0</v>
      </c>
      <c r="CU46" s="15" t="e">
        <f>(CQ46-CT46)/CQ46</f>
        <v>#DIV/0!</v>
      </c>
      <c r="CV46" s="158">
        <f>SUM(CV32:CV45)</f>
        <v>0</v>
      </c>
      <c r="CW46" s="62" t="e">
        <f t="shared" ref="CW46:CW82" si="204">CV46/CQ46</f>
        <v>#DIV/0!</v>
      </c>
      <c r="CX46" s="95"/>
      <c r="CY46" s="160">
        <f>SUM(CY32:CY45)</f>
        <v>0</v>
      </c>
      <c r="CZ46" s="158">
        <f>SUM(CZ32:CZ45)</f>
        <v>0</v>
      </c>
      <c r="DA46" s="158">
        <f>SUM(DA32:DA45)</f>
        <v>0</v>
      </c>
      <c r="DB46" s="158">
        <f>SUM(DB32:DB45)</f>
        <v>0</v>
      </c>
      <c r="DC46" s="15" t="e">
        <f>(CY46-DB46)/CY46</f>
        <v>#DIV/0!</v>
      </c>
      <c r="DD46" s="158">
        <f>SUM(DD32:DD45)</f>
        <v>0</v>
      </c>
      <c r="DE46" s="62" t="e">
        <f t="shared" ref="DE46:DE82" si="205">DD46/CY46</f>
        <v>#DIV/0!</v>
      </c>
      <c r="DF46" s="1"/>
      <c r="DG46" s="287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</row>
    <row r="47" spans="1:135" s="21" customFormat="1" ht="13" customHeight="1">
      <c r="A47" s="188">
        <v>0.14000000000000001</v>
      </c>
      <c r="B47" s="165" t="s">
        <v>19</v>
      </c>
      <c r="C47" s="186">
        <f>C46*$A$47</f>
        <v>9378811.8704000004</v>
      </c>
      <c r="D47" s="186">
        <f t="shared" ref="D47:E47" si="206">D46*$A$47</f>
        <v>2347651.4600000004</v>
      </c>
      <c r="E47" s="186">
        <f t="shared" si="206"/>
        <v>7763080.3964000018</v>
      </c>
      <c r="F47" s="186">
        <f>F46*$A$47</f>
        <v>7763080.3964000018</v>
      </c>
      <c r="G47" s="155"/>
      <c r="H47" s="187">
        <f>H46*A47</f>
        <v>946540.00000000012</v>
      </c>
      <c r="I47" s="155"/>
      <c r="J47" s="191">
        <f>SUM(J32:J45)-J33</f>
        <v>7763080.396399999</v>
      </c>
      <c r="K47" s="91"/>
      <c r="L47" s="219">
        <f>L46*$A$47</f>
        <v>1019196.192</v>
      </c>
      <c r="M47" s="187">
        <f>M46*$A$47</f>
        <v>135492</v>
      </c>
      <c r="N47" s="187">
        <f>N46*$A$47</f>
        <v>883704.19200000004</v>
      </c>
      <c r="O47" s="187">
        <f>O46*$A$47</f>
        <v>883704.19200000004</v>
      </c>
      <c r="P47" s="217"/>
      <c r="Q47" s="187">
        <f>Q46*$A$47</f>
        <v>31500.000000000004</v>
      </c>
      <c r="R47" s="220"/>
      <c r="S47" s="91"/>
      <c r="T47" s="219">
        <f>T46*$A$47</f>
        <v>1759181.2280000001</v>
      </c>
      <c r="U47" s="187">
        <f t="shared" ref="U47" si="207">U46*$A$47</f>
        <v>250488.42</v>
      </c>
      <c r="V47" s="187">
        <f t="shared" ref="V47" si="208">V46*$A$47</f>
        <v>1508692.794</v>
      </c>
      <c r="W47" s="187">
        <f t="shared" ref="W47" si="209">W46*$A$47</f>
        <v>1508692.794</v>
      </c>
      <c r="X47" s="217"/>
      <c r="Y47" s="187">
        <f>Y46*R47</f>
        <v>0</v>
      </c>
      <c r="Z47" s="220"/>
      <c r="AA47" s="91"/>
      <c r="AB47" s="219">
        <f>AB46*$A$47</f>
        <v>1928932.11</v>
      </c>
      <c r="AC47" s="187">
        <f t="shared" ref="AC47" si="210">AC46*$A$47</f>
        <v>327832.68000000005</v>
      </c>
      <c r="AD47" s="187">
        <f t="shared" ref="AD47" si="211">AD46*$A$47</f>
        <v>1601099.4300000002</v>
      </c>
      <c r="AE47" s="187">
        <f t="shared" ref="AE47" si="212">AE46*$A$47</f>
        <v>1601099.4300000002</v>
      </c>
      <c r="AF47" s="217"/>
      <c r="AG47" s="187">
        <f>AG46*Z47</f>
        <v>0</v>
      </c>
      <c r="AH47" s="220"/>
      <c r="AI47" s="91"/>
      <c r="AJ47" s="219">
        <f>AJ46*$A$47</f>
        <v>1004775.3716000001</v>
      </c>
      <c r="AK47" s="187">
        <f t="shared" ref="AK47" si="213">AK46*$A$47</f>
        <v>142888.34000000003</v>
      </c>
      <c r="AL47" s="187">
        <f t="shared" ref="AL47" si="214">AL46*$A$47</f>
        <v>861887.03159999999</v>
      </c>
      <c r="AM47" s="187">
        <f t="shared" ref="AM47" si="215">AM46*$A$47</f>
        <v>861887.03159999999</v>
      </c>
      <c r="AN47" s="217"/>
      <c r="AO47" s="187">
        <f>AO46*AH47</f>
        <v>0</v>
      </c>
      <c r="AP47" s="220"/>
      <c r="AQ47" s="91"/>
      <c r="AR47" s="219">
        <f>AR46*$A$47</f>
        <v>484230.45860000007</v>
      </c>
      <c r="AS47" s="187">
        <f t="shared" ref="AS47" si="216">AS46*$A$47</f>
        <v>30800.000000000004</v>
      </c>
      <c r="AT47" s="187">
        <f t="shared" ref="AT47" si="217">AT46*$A$47</f>
        <v>453430.45860000007</v>
      </c>
      <c r="AU47" s="187">
        <f t="shared" ref="AU47" si="218">AU46*$A$47</f>
        <v>453430.45860000007</v>
      </c>
      <c r="AV47" s="217"/>
      <c r="AW47" s="187">
        <f>AW46*AP47</f>
        <v>0</v>
      </c>
      <c r="AX47" s="220"/>
      <c r="AY47" s="91"/>
      <c r="AZ47" s="219">
        <f>AZ46*$A$47</f>
        <v>283610.22480000003</v>
      </c>
      <c r="BA47" s="187">
        <f t="shared" ref="BA47" si="219">BA46*$A$47</f>
        <v>2800.0000000000005</v>
      </c>
      <c r="BB47" s="187">
        <f t="shared" ref="BB47" si="220">BB46*$A$47</f>
        <v>280810.22480000003</v>
      </c>
      <c r="BC47" s="187">
        <f t="shared" ref="BC47" si="221">BC46*$A$47</f>
        <v>280810.22480000003</v>
      </c>
      <c r="BD47" s="217"/>
      <c r="BE47" s="187">
        <f>BE46*AX47</f>
        <v>0</v>
      </c>
      <c r="BF47" s="220"/>
      <c r="BG47" s="91"/>
      <c r="BH47" s="219">
        <f>BH46*$A$47</f>
        <v>642191.46180000005</v>
      </c>
      <c r="BI47" s="187">
        <f>BI46*$A$47</f>
        <v>29155.420000000002</v>
      </c>
      <c r="BJ47" s="187">
        <f t="shared" ref="BJ47" si="222">BJ46*$A$47</f>
        <v>613036.04180000012</v>
      </c>
      <c r="BK47" s="224">
        <f>BK46*$A$47</f>
        <v>613036.04180000012</v>
      </c>
      <c r="BL47" s="225"/>
      <c r="BM47" s="224">
        <f>BM46*A47</f>
        <v>4200</v>
      </c>
      <c r="BN47" s="220"/>
      <c r="BO47" s="191">
        <f>SUM(BO32,BO35:BO45)</f>
        <v>613036.04180000001</v>
      </c>
      <c r="BP47" s="91"/>
      <c r="BQ47" s="219">
        <f>BQ46*$A$47</f>
        <v>1233874.3116000004</v>
      </c>
      <c r="BR47" s="187">
        <f t="shared" ref="BR47" si="223">BR46*$A$47</f>
        <v>68825.400000000009</v>
      </c>
      <c r="BS47" s="187">
        <f>BS46*$A$47</f>
        <v>1165048.9116000002</v>
      </c>
      <c r="BT47" s="187">
        <f>BT46*$A$47</f>
        <v>1165048.9116000002</v>
      </c>
      <c r="BU47" s="217"/>
      <c r="BV47" s="187">
        <f>BV46*A47</f>
        <v>14700.000000000002</v>
      </c>
      <c r="BW47" s="220"/>
      <c r="BX47" s="191">
        <f>SUM(BX32,BX35:BX45)</f>
        <v>1165048.9116</v>
      </c>
      <c r="BY47" s="91"/>
      <c r="BZ47" s="219">
        <f>BZ46*$A$47</f>
        <v>2599854.4642000003</v>
      </c>
      <c r="CA47" s="187">
        <f t="shared" ref="CA47" si="224">CA46*$A$47</f>
        <v>1359369.2000000002</v>
      </c>
      <c r="CB47" s="187">
        <f t="shared" ref="CB47" si="225">CB46*$A$47</f>
        <v>1972405.2642000003</v>
      </c>
      <c r="CC47" s="187">
        <f t="shared" ref="CC47" si="226">CC46*$A$47</f>
        <v>1972405.2642000003</v>
      </c>
      <c r="CD47" s="217"/>
      <c r="CE47" s="187">
        <f>CE46*A47</f>
        <v>630000.00000000012</v>
      </c>
      <c r="CF47" s="220"/>
      <c r="CG47" s="191">
        <f>SUM(CG32,CG35:CG45)</f>
        <v>1972405.2642000001</v>
      </c>
      <c r="CH47" s="91"/>
      <c r="CI47" s="219">
        <f>CI46*$A$47</f>
        <v>0</v>
      </c>
      <c r="CJ47" s="187">
        <f t="shared" ref="CJ47" si="227">CJ46*$A$47</f>
        <v>0</v>
      </c>
      <c r="CK47" s="187">
        <f t="shared" ref="CK47" si="228">CK46*$A$47</f>
        <v>0</v>
      </c>
      <c r="CL47" s="187">
        <f t="shared" ref="CL47" si="229">CL46*$A$47</f>
        <v>0</v>
      </c>
      <c r="CM47" s="217"/>
      <c r="CN47" s="187">
        <f>CN46*CF47</f>
        <v>0</v>
      </c>
      <c r="CO47" s="220"/>
      <c r="CP47" s="91"/>
      <c r="CQ47" s="219">
        <f>CQ46*$A$47</f>
        <v>0</v>
      </c>
      <c r="CR47" s="187">
        <f t="shared" ref="CR47" si="230">CR46*$A$47</f>
        <v>0</v>
      </c>
      <c r="CS47" s="187">
        <f t="shared" ref="CS47" si="231">CS46*$A$47</f>
        <v>0</v>
      </c>
      <c r="CT47" s="187">
        <f t="shared" ref="CT47" si="232">CT46*$A$47</f>
        <v>0</v>
      </c>
      <c r="CU47" s="217"/>
      <c r="CV47" s="187">
        <f>CV46*CO47</f>
        <v>0</v>
      </c>
      <c r="CW47" s="220"/>
      <c r="CX47" s="91"/>
      <c r="CY47" s="219">
        <f>CY46*$A$47</f>
        <v>0</v>
      </c>
      <c r="CZ47" s="187">
        <f t="shared" ref="CZ47" si="233">CZ46*$A$47</f>
        <v>0</v>
      </c>
      <c r="DA47" s="187">
        <f t="shared" ref="DA47" si="234">DA46*$A$47</f>
        <v>0</v>
      </c>
      <c r="DB47" s="187">
        <f t="shared" ref="DB47" si="235">DB46*$A$47</f>
        <v>0</v>
      </c>
      <c r="DC47" s="217"/>
      <c r="DD47" s="187">
        <f>DD46*CW47</f>
        <v>0</v>
      </c>
      <c r="DE47" s="220"/>
      <c r="DF47" s="8"/>
      <c r="DG47" s="287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</row>
    <row r="48" spans="1:135" s="11" customFormat="1" ht="13.15" customHeight="1">
      <c r="A48" s="329" t="s">
        <v>22</v>
      </c>
      <c r="B48" s="48" t="s">
        <v>12</v>
      </c>
      <c r="C48" s="125">
        <f>SUM(L48,T48,AB48,AJ48,AR48,AZ48,BH48,BQ48,BZ48,CI48,CQ48,CY48)</f>
        <v>939600</v>
      </c>
      <c r="D48" s="125">
        <f t="shared" ref="D48:D58" si="236">SUM(M48,U48,AC48,AK48,AS48,BA48,BI48,BR48,CA48,CJ48,CR48,CZ48)</f>
        <v>243380</v>
      </c>
      <c r="E48" s="125">
        <f t="shared" ref="E48:E58" si="237">SUM(N48,V48,AD48,AL48,AT48,BB48,BJ48,BS48,CB48,CK48,CS48,DA48)</f>
        <v>696220</v>
      </c>
      <c r="F48" s="125">
        <f t="shared" ref="F48:F58" si="238">SUM(O48,W48,AE48,AM48,AU48,BC48,BK48,BT48,CC48,CL48,CT48,DB48)</f>
        <v>696220</v>
      </c>
      <c r="G48" s="14">
        <f>D48/C48</f>
        <v>0.2590251170710941</v>
      </c>
      <c r="H48" s="125">
        <f>SUM(Q48,Y48,AG48,AO48,AW48,BE48,BM48,BV48,CE48,CN48,CV48,DD48)</f>
        <v>10000</v>
      </c>
      <c r="I48" s="14">
        <f>H48/C48</f>
        <v>1.0642826734780758E-2</v>
      </c>
      <c r="J48" s="190">
        <f>F48*$A$60</f>
        <v>271525.8</v>
      </c>
      <c r="K48" s="96"/>
      <c r="L48" s="56">
        <v>396600</v>
      </c>
      <c r="M48" s="47">
        <v>80480</v>
      </c>
      <c r="N48" s="47">
        <v>316120</v>
      </c>
      <c r="O48" s="47">
        <v>316120</v>
      </c>
      <c r="P48" s="52">
        <f>M48/L48</f>
        <v>0.20292486132123047</v>
      </c>
      <c r="Q48" s="47">
        <v>10000</v>
      </c>
      <c r="R48" s="53">
        <f t="shared" si="193"/>
        <v>2.5214321734745335E-2</v>
      </c>
      <c r="S48" s="96"/>
      <c r="T48" s="56">
        <v>232800</v>
      </c>
      <c r="U48" s="47">
        <v>69840</v>
      </c>
      <c r="V48" s="47">
        <v>162960</v>
      </c>
      <c r="W48" s="47">
        <v>162960</v>
      </c>
      <c r="X48" s="52">
        <f>U48/T48</f>
        <v>0.3</v>
      </c>
      <c r="Y48" s="108">
        <v>0</v>
      </c>
      <c r="Z48" s="53">
        <f t="shared" si="194"/>
        <v>0</v>
      </c>
      <c r="AA48" s="96"/>
      <c r="AB48" s="56">
        <v>310200</v>
      </c>
      <c r="AC48" s="47">
        <v>93060</v>
      </c>
      <c r="AD48" s="47">
        <v>217140</v>
      </c>
      <c r="AE48" s="47">
        <v>217140</v>
      </c>
      <c r="AF48" s="52">
        <f>AC48/AB48</f>
        <v>0.3</v>
      </c>
      <c r="AG48" s="108">
        <v>0</v>
      </c>
      <c r="AH48" s="53">
        <f t="shared" si="195"/>
        <v>0</v>
      </c>
      <c r="AI48" s="96"/>
      <c r="AJ48" s="56">
        <v>0</v>
      </c>
      <c r="AK48" s="47">
        <v>0</v>
      </c>
      <c r="AL48" s="47">
        <v>0</v>
      </c>
      <c r="AM48" s="47">
        <v>0</v>
      </c>
      <c r="AN48" s="14" t="e">
        <f>AK48/AJ48</f>
        <v>#DIV/0!</v>
      </c>
      <c r="AO48" s="47">
        <v>0</v>
      </c>
      <c r="AP48" s="17" t="e">
        <f t="shared" si="180"/>
        <v>#DIV/0!</v>
      </c>
      <c r="AQ48" s="96"/>
      <c r="AR48" s="243">
        <v>0</v>
      </c>
      <c r="AS48" s="244">
        <v>0</v>
      </c>
      <c r="AT48" s="244">
        <v>0</v>
      </c>
      <c r="AU48" s="244">
        <v>0</v>
      </c>
      <c r="AV48" s="52" t="e">
        <f>AS48/AR48</f>
        <v>#DIV/0!</v>
      </c>
      <c r="AW48" s="244">
        <v>0</v>
      </c>
      <c r="AX48" s="53" t="e">
        <f t="shared" si="196"/>
        <v>#DIV/0!</v>
      </c>
      <c r="AY48" s="96"/>
      <c r="AZ48" s="243">
        <v>0</v>
      </c>
      <c r="BA48" s="244">
        <v>0</v>
      </c>
      <c r="BB48" s="244">
        <v>0</v>
      </c>
      <c r="BC48" s="244">
        <v>0</v>
      </c>
      <c r="BD48" s="52" t="e">
        <f>BA48/AZ48</f>
        <v>#DIV/0!</v>
      </c>
      <c r="BE48" s="244">
        <v>0</v>
      </c>
      <c r="BF48" s="53" t="e">
        <f t="shared" si="197"/>
        <v>#DIV/0!</v>
      </c>
      <c r="BG48" s="96"/>
      <c r="BH48" s="245">
        <v>0</v>
      </c>
      <c r="BI48" s="246">
        <v>0</v>
      </c>
      <c r="BJ48" s="246">
        <v>0</v>
      </c>
      <c r="BK48" s="246">
        <v>0</v>
      </c>
      <c r="BL48" s="66" t="e">
        <f>BI48/BH48</f>
        <v>#DIV/0!</v>
      </c>
      <c r="BM48" s="246">
        <v>0</v>
      </c>
      <c r="BN48" s="67" t="e">
        <f t="shared" si="199"/>
        <v>#DIV/0!</v>
      </c>
      <c r="BO48" s="190">
        <f>BK48*$A$60</f>
        <v>0</v>
      </c>
      <c r="BP48" s="96"/>
      <c r="BQ48" s="297">
        <v>0</v>
      </c>
      <c r="BR48" s="298">
        <v>0</v>
      </c>
      <c r="BS48" s="298">
        <v>0</v>
      </c>
      <c r="BT48" s="298">
        <v>0</v>
      </c>
      <c r="BU48" s="66" t="e">
        <f>BR48/BQ48</f>
        <v>#DIV/0!</v>
      </c>
      <c r="BV48" s="298">
        <v>0</v>
      </c>
      <c r="BW48" s="67" t="e">
        <f t="shared" si="201"/>
        <v>#DIV/0!</v>
      </c>
      <c r="BX48" s="294">
        <f>BT48*$A$60</f>
        <v>0</v>
      </c>
      <c r="BY48" s="96"/>
      <c r="BZ48" s="297">
        <v>0</v>
      </c>
      <c r="CA48" s="298">
        <v>0</v>
      </c>
      <c r="CB48" s="298">
        <v>0</v>
      </c>
      <c r="CC48" s="298">
        <v>0</v>
      </c>
      <c r="CD48" s="66" t="e">
        <f>CA48/BZ48</f>
        <v>#DIV/0!</v>
      </c>
      <c r="CE48" s="298">
        <v>0</v>
      </c>
      <c r="CF48" s="67" t="e">
        <f t="shared" si="202"/>
        <v>#DIV/0!</v>
      </c>
      <c r="CG48" s="294">
        <f>CC48*$A$60</f>
        <v>0</v>
      </c>
      <c r="CH48" s="96"/>
      <c r="CI48" s="249">
        <v>0</v>
      </c>
      <c r="CJ48" s="250">
        <v>0</v>
      </c>
      <c r="CK48" s="250">
        <v>0</v>
      </c>
      <c r="CL48" s="250">
        <v>0</v>
      </c>
      <c r="CM48" s="121" t="e">
        <f>CJ48/CI48</f>
        <v>#DIV/0!</v>
      </c>
      <c r="CN48" s="250">
        <v>0</v>
      </c>
      <c r="CO48" s="122" t="e">
        <f t="shared" si="203"/>
        <v>#DIV/0!</v>
      </c>
      <c r="CP48" s="96"/>
      <c r="CQ48" s="249">
        <v>0</v>
      </c>
      <c r="CR48" s="250">
        <v>0</v>
      </c>
      <c r="CS48" s="250">
        <v>0</v>
      </c>
      <c r="CT48" s="250">
        <v>0</v>
      </c>
      <c r="CU48" s="121" t="e">
        <f>CR48/CQ48</f>
        <v>#DIV/0!</v>
      </c>
      <c r="CV48" s="250">
        <v>0</v>
      </c>
      <c r="CW48" s="122" t="e">
        <f t="shared" si="204"/>
        <v>#DIV/0!</v>
      </c>
      <c r="CX48" s="96"/>
      <c r="CY48" s="249">
        <v>0</v>
      </c>
      <c r="CZ48" s="250">
        <v>0</v>
      </c>
      <c r="DA48" s="250">
        <v>0</v>
      </c>
      <c r="DB48" s="250">
        <v>0</v>
      </c>
      <c r="DC48" s="121" t="e">
        <f>CZ48/CY48</f>
        <v>#DIV/0!</v>
      </c>
      <c r="DD48" s="250">
        <v>0</v>
      </c>
      <c r="DE48" s="122" t="e">
        <f t="shared" si="205"/>
        <v>#DIV/0!</v>
      </c>
      <c r="DF48" s="9"/>
      <c r="DG48" s="290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</row>
    <row r="49" spans="1:135" s="11" customFormat="1" ht="13.15" customHeight="1">
      <c r="A49" s="330"/>
      <c r="B49" s="49" t="s">
        <v>13</v>
      </c>
      <c r="C49" s="125">
        <f>SUM(L49,T49,AB49,AJ49,AR49,AZ49,BH49,BQ49,BZ49,CI49,CQ49,CY49)</f>
        <v>4303293.2180000003</v>
      </c>
      <c r="D49" s="125">
        <f t="shared" si="236"/>
        <v>68107</v>
      </c>
      <c r="E49" s="125">
        <f t="shared" si="237"/>
        <v>4235116.2180000003</v>
      </c>
      <c r="F49" s="125">
        <f t="shared" si="238"/>
        <v>4235116.2180000003</v>
      </c>
      <c r="G49" s="14">
        <f t="shared" ref="G49:G58" si="239">D49/C49</f>
        <v>1.5826716086907371E-2</v>
      </c>
      <c r="H49" s="125">
        <f t="shared" ref="H49:H58" si="240">SUM(Q49,Y49,AG49,AO49,AW49,BE49,BM49,BV49,CE49,CN49,CV49,DD49)</f>
        <v>0</v>
      </c>
      <c r="I49" s="14">
        <f t="shared" ref="I49" si="241">H49/C49</f>
        <v>0</v>
      </c>
      <c r="J49" s="190">
        <f>F49*$A$60</f>
        <v>1651695.3250200001</v>
      </c>
      <c r="K49" s="96"/>
      <c r="L49" s="56">
        <v>587204.43849999993</v>
      </c>
      <c r="M49" s="47">
        <v>20500</v>
      </c>
      <c r="N49" s="47">
        <v>566704.43849999993</v>
      </c>
      <c r="O49" s="47">
        <v>566704.43849999993</v>
      </c>
      <c r="P49" s="52">
        <f>M49/L49</f>
        <v>3.4911180256686707E-2</v>
      </c>
      <c r="Q49" s="47">
        <v>0</v>
      </c>
      <c r="R49" s="53">
        <f t="shared" si="193"/>
        <v>0</v>
      </c>
      <c r="S49" s="96"/>
      <c r="T49" s="56">
        <v>82970.010000000009</v>
      </c>
      <c r="U49" s="47">
        <v>0</v>
      </c>
      <c r="V49" s="47">
        <v>82970.010000000009</v>
      </c>
      <c r="W49" s="47">
        <v>82970.010000000009</v>
      </c>
      <c r="X49" s="52">
        <f>U49/T49</f>
        <v>0</v>
      </c>
      <c r="Y49" s="108">
        <v>0</v>
      </c>
      <c r="Z49" s="53">
        <f t="shared" si="194"/>
        <v>0</v>
      </c>
      <c r="AA49" s="96"/>
      <c r="AB49" s="56">
        <v>936694.91949999996</v>
      </c>
      <c r="AC49" s="47">
        <v>9000</v>
      </c>
      <c r="AD49" s="47">
        <v>927694.91949999996</v>
      </c>
      <c r="AE49" s="47">
        <v>927694.91949999996</v>
      </c>
      <c r="AF49" s="52">
        <f>AC49/AB49</f>
        <v>9.6082511099816002E-3</v>
      </c>
      <c r="AG49" s="108">
        <v>0</v>
      </c>
      <c r="AH49" s="53">
        <f t="shared" si="195"/>
        <v>0</v>
      </c>
      <c r="AI49" s="96"/>
      <c r="AJ49" s="56">
        <v>406839.45</v>
      </c>
      <c r="AK49" s="47">
        <v>0</v>
      </c>
      <c r="AL49" s="47">
        <v>406839.45</v>
      </c>
      <c r="AM49" s="47">
        <v>406839.45</v>
      </c>
      <c r="AN49" s="14">
        <f>AK49/AJ49</f>
        <v>0</v>
      </c>
      <c r="AO49" s="47">
        <v>0</v>
      </c>
      <c r="AP49" s="17">
        <f t="shared" si="180"/>
        <v>0</v>
      </c>
      <c r="AQ49" s="96"/>
      <c r="AR49" s="243">
        <v>406839.45</v>
      </c>
      <c r="AS49" s="244">
        <v>0</v>
      </c>
      <c r="AT49" s="244">
        <v>406839.45</v>
      </c>
      <c r="AU49" s="244">
        <v>406839.45</v>
      </c>
      <c r="AV49" s="52">
        <f>AS49/AR49</f>
        <v>0</v>
      </c>
      <c r="AW49" s="244">
        <v>0</v>
      </c>
      <c r="AX49" s="53">
        <f t="shared" si="196"/>
        <v>0</v>
      </c>
      <c r="AY49" s="96"/>
      <c r="AZ49" s="243">
        <v>406839.45</v>
      </c>
      <c r="BA49" s="244">
        <v>0</v>
      </c>
      <c r="BB49" s="244">
        <v>406839.45</v>
      </c>
      <c r="BC49" s="244">
        <v>406839.45</v>
      </c>
      <c r="BD49" s="52">
        <f>BA49/AZ49</f>
        <v>0</v>
      </c>
      <c r="BE49" s="244">
        <v>0</v>
      </c>
      <c r="BF49" s="53">
        <f t="shared" si="197"/>
        <v>0</v>
      </c>
      <c r="BG49" s="96"/>
      <c r="BH49" s="245">
        <v>493470</v>
      </c>
      <c r="BI49" s="246">
        <v>18563</v>
      </c>
      <c r="BJ49" s="246">
        <v>474907</v>
      </c>
      <c r="BK49" s="246">
        <v>474907</v>
      </c>
      <c r="BL49" s="66">
        <f>BI49/BH49</f>
        <v>3.7617281698988793E-2</v>
      </c>
      <c r="BM49" s="246">
        <v>0</v>
      </c>
      <c r="BN49" s="67">
        <f t="shared" si="199"/>
        <v>0</v>
      </c>
      <c r="BO49" s="190">
        <f>BK49*$A$60</f>
        <v>185213.73</v>
      </c>
      <c r="BP49" s="96"/>
      <c r="BQ49" s="297">
        <v>448570</v>
      </c>
      <c r="BR49" s="298">
        <v>9573</v>
      </c>
      <c r="BS49" s="298">
        <v>438997</v>
      </c>
      <c r="BT49" s="298">
        <v>438997</v>
      </c>
      <c r="BU49" s="66">
        <f>BR49/BQ49</f>
        <v>2.1341150767996076E-2</v>
      </c>
      <c r="BV49" s="298">
        <v>0</v>
      </c>
      <c r="BW49" s="67">
        <f t="shared" si="201"/>
        <v>0</v>
      </c>
      <c r="BX49" s="294">
        <f>BT49*$A$60</f>
        <v>171208.83000000002</v>
      </c>
      <c r="BY49" s="96"/>
      <c r="BZ49" s="297">
        <v>533865.5</v>
      </c>
      <c r="CA49" s="298">
        <v>10471</v>
      </c>
      <c r="CB49" s="298">
        <v>523324.5</v>
      </c>
      <c r="CC49" s="298">
        <v>523324.5</v>
      </c>
      <c r="CD49" s="66">
        <f>CA49/BZ49</f>
        <v>1.9613554350299843E-2</v>
      </c>
      <c r="CE49" s="298">
        <v>0</v>
      </c>
      <c r="CF49" s="67">
        <f t="shared" si="202"/>
        <v>0</v>
      </c>
      <c r="CG49" s="294">
        <f>CC49*$A$60</f>
        <v>204096.55499999999</v>
      </c>
      <c r="CH49" s="96"/>
      <c r="CI49" s="249">
        <v>0</v>
      </c>
      <c r="CJ49" s="250">
        <v>0</v>
      </c>
      <c r="CK49" s="250">
        <v>0</v>
      </c>
      <c r="CL49" s="250">
        <v>0</v>
      </c>
      <c r="CM49" s="121" t="e">
        <f>CJ49/CI49</f>
        <v>#DIV/0!</v>
      </c>
      <c r="CN49" s="250">
        <v>0</v>
      </c>
      <c r="CO49" s="122" t="e">
        <f t="shared" si="203"/>
        <v>#DIV/0!</v>
      </c>
      <c r="CP49" s="96"/>
      <c r="CQ49" s="249">
        <v>0</v>
      </c>
      <c r="CR49" s="250">
        <v>0</v>
      </c>
      <c r="CS49" s="250">
        <v>0</v>
      </c>
      <c r="CT49" s="250">
        <v>0</v>
      </c>
      <c r="CU49" s="121" t="e">
        <f>CR49/CQ49</f>
        <v>#DIV/0!</v>
      </c>
      <c r="CV49" s="250">
        <v>0</v>
      </c>
      <c r="CW49" s="122" t="e">
        <f t="shared" si="204"/>
        <v>#DIV/0!</v>
      </c>
      <c r="CX49" s="96"/>
      <c r="CY49" s="249">
        <v>0</v>
      </c>
      <c r="CZ49" s="250">
        <v>0</v>
      </c>
      <c r="DA49" s="250">
        <v>0</v>
      </c>
      <c r="DB49" s="250">
        <v>0</v>
      </c>
      <c r="DC49" s="121" t="e">
        <f>CZ49/CY49</f>
        <v>#DIV/0!</v>
      </c>
      <c r="DD49" s="250">
        <v>0</v>
      </c>
      <c r="DE49" s="122" t="e">
        <f t="shared" si="205"/>
        <v>#DIV/0!</v>
      </c>
      <c r="DF49" s="9"/>
      <c r="DG49" s="290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</row>
    <row r="50" spans="1:135" s="11" customFormat="1" ht="13.15" customHeight="1">
      <c r="A50" s="330"/>
      <c r="B50" s="49" t="s">
        <v>62</v>
      </c>
      <c r="C50" s="125"/>
      <c r="D50" s="125"/>
      <c r="E50" s="125"/>
      <c r="F50" s="125"/>
      <c r="G50" s="14"/>
      <c r="H50" s="125"/>
      <c r="I50" s="14"/>
      <c r="J50" s="190"/>
      <c r="K50" s="96"/>
      <c r="L50" s="56"/>
      <c r="M50" s="47"/>
      <c r="N50" s="47"/>
      <c r="O50" s="47"/>
      <c r="P50" s="52"/>
      <c r="Q50" s="47"/>
      <c r="R50" s="53"/>
      <c r="S50" s="96"/>
      <c r="T50" s="56"/>
      <c r="U50" s="47"/>
      <c r="V50" s="47"/>
      <c r="W50" s="47"/>
      <c r="X50" s="52"/>
      <c r="Y50" s="108"/>
      <c r="Z50" s="53"/>
      <c r="AA50" s="96"/>
      <c r="AB50" s="56"/>
      <c r="AC50" s="47"/>
      <c r="AD50" s="47"/>
      <c r="AE50" s="47"/>
      <c r="AF50" s="52"/>
      <c r="AG50" s="108"/>
      <c r="AH50" s="53"/>
      <c r="AI50" s="96"/>
      <c r="AJ50" s="56"/>
      <c r="AK50" s="47"/>
      <c r="AL50" s="47"/>
      <c r="AM50" s="47"/>
      <c r="AN50" s="14"/>
      <c r="AO50" s="47"/>
      <c r="AP50" s="17"/>
      <c r="AQ50" s="96"/>
      <c r="AR50" s="243"/>
      <c r="AS50" s="244"/>
      <c r="AT50" s="244"/>
      <c r="AU50" s="244"/>
      <c r="AV50" s="52"/>
      <c r="AW50" s="244"/>
      <c r="AX50" s="53"/>
      <c r="AY50" s="96"/>
      <c r="AZ50" s="243"/>
      <c r="BA50" s="244"/>
      <c r="BB50" s="244"/>
      <c r="BC50" s="244"/>
      <c r="BD50" s="52"/>
      <c r="BE50" s="244"/>
      <c r="BF50" s="53"/>
      <c r="BG50" s="96"/>
      <c r="BH50" s="245"/>
      <c r="BI50" s="246"/>
      <c r="BJ50" s="246"/>
      <c r="BK50" s="246"/>
      <c r="BL50" s="66"/>
      <c r="BM50" s="246"/>
      <c r="BN50" s="67"/>
      <c r="BO50" s="190"/>
      <c r="BP50" s="96"/>
      <c r="BQ50" s="297"/>
      <c r="BR50" s="298"/>
      <c r="BS50" s="298"/>
      <c r="BT50" s="298"/>
      <c r="BU50" s="66"/>
      <c r="BV50" s="298"/>
      <c r="BW50" s="67"/>
      <c r="BX50" s="294"/>
      <c r="BY50" s="96"/>
      <c r="BZ50" s="297"/>
      <c r="CA50" s="298"/>
      <c r="CB50" s="298"/>
      <c r="CC50" s="298"/>
      <c r="CD50" s="66"/>
      <c r="CE50" s="298"/>
      <c r="CF50" s="67"/>
      <c r="CG50" s="294"/>
      <c r="CH50" s="96"/>
      <c r="CI50" s="249"/>
      <c r="CJ50" s="250"/>
      <c r="CK50" s="250"/>
      <c r="CL50" s="250"/>
      <c r="CM50" s="121"/>
      <c r="CN50" s="250"/>
      <c r="CO50" s="122"/>
      <c r="CP50" s="96"/>
      <c r="CQ50" s="249"/>
      <c r="CR50" s="250"/>
      <c r="CS50" s="250"/>
      <c r="CT50" s="250"/>
      <c r="CU50" s="121"/>
      <c r="CV50" s="250"/>
      <c r="CW50" s="122"/>
      <c r="CX50" s="96"/>
      <c r="CY50" s="249"/>
      <c r="CZ50" s="250"/>
      <c r="DA50" s="250"/>
      <c r="DB50" s="250"/>
      <c r="DC50" s="121"/>
      <c r="DD50" s="250"/>
      <c r="DE50" s="122"/>
      <c r="DF50" s="9"/>
      <c r="DG50" s="290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</row>
    <row r="51" spans="1:135" s="7" customFormat="1" ht="13" customHeight="1">
      <c r="A51" s="330"/>
      <c r="B51" s="49" t="s">
        <v>40</v>
      </c>
      <c r="C51" s="45"/>
      <c r="D51" s="45"/>
      <c r="E51" s="45"/>
      <c r="F51" s="45"/>
      <c r="G51" s="14"/>
      <c r="H51" s="125"/>
      <c r="I51" s="14"/>
      <c r="J51" s="190"/>
      <c r="K51" s="90"/>
      <c r="L51" s="51"/>
      <c r="M51" s="45"/>
      <c r="N51" s="45"/>
      <c r="O51" s="45"/>
      <c r="P51" s="52"/>
      <c r="Q51" s="45"/>
      <c r="R51" s="53"/>
      <c r="S51" s="90"/>
      <c r="T51" s="130"/>
      <c r="U51" s="131"/>
      <c r="V51" s="131"/>
      <c r="W51" s="131"/>
      <c r="X51" s="66"/>
      <c r="Y51" s="131"/>
      <c r="Z51" s="67"/>
      <c r="AA51" s="90"/>
      <c r="AB51" s="51"/>
      <c r="AC51" s="45"/>
      <c r="AD51" s="45"/>
      <c r="AE51" s="45"/>
      <c r="AF51" s="52"/>
      <c r="AG51" s="131"/>
      <c r="AH51" s="53"/>
      <c r="AI51" s="90"/>
      <c r="AJ51" s="130"/>
      <c r="AK51" s="131"/>
      <c r="AL51" s="131"/>
      <c r="AM51" s="131"/>
      <c r="AN51" s="66"/>
      <c r="AO51" s="131"/>
      <c r="AP51" s="67"/>
      <c r="AQ51" s="90"/>
      <c r="AR51" s="245"/>
      <c r="AS51" s="246"/>
      <c r="AT51" s="246"/>
      <c r="AU51" s="246"/>
      <c r="AV51" s="66"/>
      <c r="AW51" s="246"/>
      <c r="AX51" s="67"/>
      <c r="AY51" s="90"/>
      <c r="AZ51" s="245"/>
      <c r="BA51" s="246"/>
      <c r="BB51" s="246"/>
      <c r="BC51" s="246"/>
      <c r="BD51" s="66"/>
      <c r="BE51" s="246"/>
      <c r="BF51" s="67"/>
      <c r="BG51" s="90"/>
      <c r="BH51" s="245"/>
      <c r="BI51" s="246"/>
      <c r="BJ51" s="246"/>
      <c r="BK51" s="246"/>
      <c r="BL51" s="66"/>
      <c r="BM51" s="246"/>
      <c r="BN51" s="67"/>
      <c r="BO51" s="190"/>
      <c r="BP51" s="90"/>
      <c r="BQ51" s="130"/>
      <c r="BR51" s="131"/>
      <c r="BS51" s="131"/>
      <c r="BT51" s="131"/>
      <c r="BU51" s="66"/>
      <c r="BV51" s="131"/>
      <c r="BW51" s="67"/>
      <c r="BX51" s="294"/>
      <c r="BY51" s="90"/>
      <c r="BZ51" s="130"/>
      <c r="CA51" s="131"/>
      <c r="CB51" s="131"/>
      <c r="CC51" s="131"/>
      <c r="CD51" s="66"/>
      <c r="CE51" s="131"/>
      <c r="CF51" s="67"/>
      <c r="CG51" s="294"/>
      <c r="CH51" s="90"/>
      <c r="CI51" s="133"/>
      <c r="CJ51" s="134"/>
      <c r="CK51" s="134"/>
      <c r="CL51" s="134"/>
      <c r="CM51" s="121"/>
      <c r="CN51" s="134"/>
      <c r="CO51" s="122"/>
      <c r="CP51" s="90"/>
      <c r="CQ51" s="133"/>
      <c r="CR51" s="134"/>
      <c r="CS51" s="134"/>
      <c r="CT51" s="134"/>
      <c r="CU51" s="121"/>
      <c r="CV51" s="134"/>
      <c r="CW51" s="122"/>
      <c r="CX51" s="90"/>
      <c r="CY51" s="133"/>
      <c r="CZ51" s="134"/>
      <c r="DA51" s="134"/>
      <c r="DB51" s="134"/>
      <c r="DC51" s="121"/>
      <c r="DD51" s="134"/>
      <c r="DE51" s="122"/>
      <c r="DF51" s="6"/>
      <c r="DG51" s="289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</row>
    <row r="52" spans="1:135" s="7" customFormat="1" ht="13" customHeight="1">
      <c r="A52" s="330"/>
      <c r="B52" s="49" t="s">
        <v>41</v>
      </c>
      <c r="C52" s="45"/>
      <c r="D52" s="232"/>
      <c r="E52" s="45"/>
      <c r="F52" s="45"/>
      <c r="G52" s="14"/>
      <c r="H52" s="125"/>
      <c r="I52" s="14"/>
      <c r="J52" s="190"/>
      <c r="K52" s="90"/>
      <c r="L52" s="51">
        <f>L46*20%</f>
        <v>1455994.56</v>
      </c>
      <c r="M52" s="45"/>
      <c r="N52" s="45"/>
      <c r="O52" s="45"/>
      <c r="P52" s="52"/>
      <c r="Q52" s="45"/>
      <c r="R52" s="53"/>
      <c r="S52" s="90"/>
      <c r="T52" s="130"/>
      <c r="U52" s="131"/>
      <c r="V52" s="131"/>
      <c r="W52" s="131"/>
      <c r="X52" s="66"/>
      <c r="Y52" s="131"/>
      <c r="Z52" s="67"/>
      <c r="AA52" s="90"/>
      <c r="AB52" s="51"/>
      <c r="AC52" s="45"/>
      <c r="AD52" s="45"/>
      <c r="AE52" s="45"/>
      <c r="AF52" s="52"/>
      <c r="AG52" s="131"/>
      <c r="AH52" s="53"/>
      <c r="AI52" s="90"/>
      <c r="AJ52" s="130"/>
      <c r="AK52" s="131"/>
      <c r="AL52" s="131"/>
      <c r="AM52" s="131"/>
      <c r="AN52" s="66"/>
      <c r="AO52" s="131"/>
      <c r="AP52" s="67"/>
      <c r="AQ52" s="90"/>
      <c r="AR52" s="245"/>
      <c r="AS52" s="246"/>
      <c r="AT52" s="246"/>
      <c r="AU52" s="246"/>
      <c r="AV52" s="66"/>
      <c r="AW52" s="246"/>
      <c r="AX52" s="67"/>
      <c r="AY52" s="90"/>
      <c r="AZ52" s="245"/>
      <c r="BA52" s="246"/>
      <c r="BB52" s="246"/>
      <c r="BC52" s="246"/>
      <c r="BD52" s="66"/>
      <c r="BE52" s="246"/>
      <c r="BF52" s="67"/>
      <c r="BG52" s="90"/>
      <c r="BH52" s="245"/>
      <c r="BI52" s="246"/>
      <c r="BJ52" s="246"/>
      <c r="BK52" s="246"/>
      <c r="BL52" s="66"/>
      <c r="BM52" s="246"/>
      <c r="BN52" s="67"/>
      <c r="BO52" s="190"/>
      <c r="BP52" s="90"/>
      <c r="BQ52" s="130"/>
      <c r="BR52" s="131"/>
      <c r="BS52" s="131"/>
      <c r="BT52" s="131"/>
      <c r="BU52" s="66"/>
      <c r="BV52" s="131"/>
      <c r="BW52" s="67"/>
      <c r="BX52" s="294"/>
      <c r="BY52" s="90"/>
      <c r="BZ52" s="130"/>
      <c r="CA52" s="131"/>
      <c r="CB52" s="131"/>
      <c r="CC52" s="131"/>
      <c r="CD52" s="66"/>
      <c r="CE52" s="131"/>
      <c r="CF52" s="67"/>
      <c r="CG52" s="294"/>
      <c r="CH52" s="90"/>
      <c r="CI52" s="133"/>
      <c r="CJ52" s="134"/>
      <c r="CK52" s="134"/>
      <c r="CL52" s="134"/>
      <c r="CM52" s="121"/>
      <c r="CN52" s="134"/>
      <c r="CO52" s="122"/>
      <c r="CP52" s="90"/>
      <c r="CQ52" s="133"/>
      <c r="CR52" s="134"/>
      <c r="CS52" s="134"/>
      <c r="CT52" s="134"/>
      <c r="CU52" s="121"/>
      <c r="CV52" s="134"/>
      <c r="CW52" s="122"/>
      <c r="CX52" s="90"/>
      <c r="CY52" s="133"/>
      <c r="CZ52" s="134"/>
      <c r="DA52" s="134"/>
      <c r="DB52" s="134"/>
      <c r="DC52" s="121"/>
      <c r="DD52" s="134"/>
      <c r="DE52" s="122"/>
      <c r="DF52" s="6"/>
      <c r="DG52" s="289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</row>
    <row r="53" spans="1:135" s="7" customFormat="1" ht="13" customHeight="1">
      <c r="A53" s="330"/>
      <c r="B53" s="49" t="s">
        <v>42</v>
      </c>
      <c r="C53" s="45"/>
      <c r="D53" s="45"/>
      <c r="E53" s="45"/>
      <c r="F53" s="45"/>
      <c r="G53" s="14"/>
      <c r="H53" s="125"/>
      <c r="I53" s="14"/>
      <c r="J53" s="190"/>
      <c r="K53" s="90"/>
      <c r="L53" s="51"/>
      <c r="M53" s="45"/>
      <c r="N53" s="45"/>
      <c r="O53" s="45"/>
      <c r="P53" s="52"/>
      <c r="Q53" s="45"/>
      <c r="R53" s="53"/>
      <c r="S53" s="90"/>
      <c r="T53" s="130"/>
      <c r="U53" s="131"/>
      <c r="V53" s="131"/>
      <c r="W53" s="131"/>
      <c r="X53" s="66"/>
      <c r="Y53" s="131"/>
      <c r="Z53" s="67"/>
      <c r="AA53" s="90"/>
      <c r="AB53" s="51"/>
      <c r="AC53" s="45"/>
      <c r="AD53" s="45"/>
      <c r="AE53" s="45"/>
      <c r="AF53" s="52"/>
      <c r="AG53" s="131"/>
      <c r="AH53" s="53"/>
      <c r="AI53" s="90"/>
      <c r="AJ53" s="130"/>
      <c r="AK53" s="131"/>
      <c r="AL53" s="131"/>
      <c r="AM53" s="131"/>
      <c r="AN53" s="66"/>
      <c r="AO53" s="131"/>
      <c r="AP53" s="67"/>
      <c r="AQ53" s="90"/>
      <c r="AR53" s="245"/>
      <c r="AS53" s="246"/>
      <c r="AT53" s="246"/>
      <c r="AU53" s="246"/>
      <c r="AV53" s="66"/>
      <c r="AW53" s="246"/>
      <c r="AX53" s="67"/>
      <c r="AY53" s="90"/>
      <c r="AZ53" s="245"/>
      <c r="BA53" s="246"/>
      <c r="BB53" s="246"/>
      <c r="BC53" s="246"/>
      <c r="BD53" s="66"/>
      <c r="BE53" s="246"/>
      <c r="BF53" s="67"/>
      <c r="BG53" s="90"/>
      <c r="BH53" s="245"/>
      <c r="BI53" s="246"/>
      <c r="BJ53" s="246"/>
      <c r="BK53" s="246"/>
      <c r="BL53" s="66"/>
      <c r="BM53" s="246"/>
      <c r="BN53" s="67"/>
      <c r="BO53" s="190"/>
      <c r="BP53" s="90"/>
      <c r="BQ53" s="130"/>
      <c r="BR53" s="131"/>
      <c r="BS53" s="131"/>
      <c r="BT53" s="131"/>
      <c r="BU53" s="66"/>
      <c r="BV53" s="131"/>
      <c r="BW53" s="67"/>
      <c r="BX53" s="294"/>
      <c r="BY53" s="90"/>
      <c r="BZ53" s="130"/>
      <c r="CA53" s="131"/>
      <c r="CB53" s="131"/>
      <c r="CC53" s="131"/>
      <c r="CD53" s="66"/>
      <c r="CE53" s="131"/>
      <c r="CF53" s="67"/>
      <c r="CG53" s="294"/>
      <c r="CH53" s="90"/>
      <c r="CI53" s="133"/>
      <c r="CJ53" s="134"/>
      <c r="CK53" s="134"/>
      <c r="CL53" s="134"/>
      <c r="CM53" s="121"/>
      <c r="CN53" s="134"/>
      <c r="CO53" s="122"/>
      <c r="CP53" s="90"/>
      <c r="CQ53" s="133"/>
      <c r="CR53" s="134"/>
      <c r="CS53" s="134"/>
      <c r="CT53" s="134"/>
      <c r="CU53" s="121"/>
      <c r="CV53" s="134"/>
      <c r="CW53" s="122"/>
      <c r="CX53" s="90"/>
      <c r="CY53" s="133"/>
      <c r="CZ53" s="134"/>
      <c r="DA53" s="134"/>
      <c r="DB53" s="134"/>
      <c r="DC53" s="121"/>
      <c r="DD53" s="134"/>
      <c r="DE53" s="122"/>
      <c r="DF53" s="6"/>
      <c r="DG53" s="289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</row>
    <row r="54" spans="1:135" s="7" customFormat="1" ht="13" customHeight="1">
      <c r="A54" s="330"/>
      <c r="B54" s="49" t="s">
        <v>43</v>
      </c>
      <c r="C54" s="45"/>
      <c r="D54" s="45"/>
      <c r="E54" s="45"/>
      <c r="F54" s="45"/>
      <c r="G54" s="14"/>
      <c r="H54" s="125"/>
      <c r="I54" s="14"/>
      <c r="J54" s="190"/>
      <c r="K54" s="90"/>
      <c r="L54" s="51"/>
      <c r="M54" s="45"/>
      <c r="N54" s="45"/>
      <c r="O54" s="45"/>
      <c r="P54" s="52"/>
      <c r="Q54" s="45"/>
      <c r="R54" s="53"/>
      <c r="S54" s="90"/>
      <c r="T54" s="130"/>
      <c r="U54" s="131"/>
      <c r="V54" s="131"/>
      <c r="W54" s="131"/>
      <c r="X54" s="66"/>
      <c r="Y54" s="131"/>
      <c r="Z54" s="67"/>
      <c r="AA54" s="90"/>
      <c r="AB54" s="51"/>
      <c r="AC54" s="45"/>
      <c r="AD54" s="45"/>
      <c r="AE54" s="45"/>
      <c r="AF54" s="52"/>
      <c r="AG54" s="131"/>
      <c r="AH54" s="53"/>
      <c r="AI54" s="90"/>
      <c r="AJ54" s="130"/>
      <c r="AK54" s="131"/>
      <c r="AL54" s="131"/>
      <c r="AM54" s="131"/>
      <c r="AN54" s="66"/>
      <c r="AO54" s="131"/>
      <c r="AP54" s="67"/>
      <c r="AQ54" s="90"/>
      <c r="AR54" s="245"/>
      <c r="AS54" s="246"/>
      <c r="AT54" s="246"/>
      <c r="AU54" s="246"/>
      <c r="AV54" s="66"/>
      <c r="AW54" s="246"/>
      <c r="AX54" s="67"/>
      <c r="AY54" s="90"/>
      <c r="AZ54" s="245"/>
      <c r="BA54" s="246"/>
      <c r="BB54" s="246"/>
      <c r="BC54" s="246"/>
      <c r="BD54" s="66"/>
      <c r="BE54" s="246"/>
      <c r="BF54" s="67"/>
      <c r="BG54" s="90"/>
      <c r="BH54" s="245"/>
      <c r="BI54" s="246"/>
      <c r="BJ54" s="246"/>
      <c r="BK54" s="246"/>
      <c r="BL54" s="66"/>
      <c r="BM54" s="246"/>
      <c r="BN54" s="67"/>
      <c r="BO54" s="190"/>
      <c r="BP54" s="90"/>
      <c r="BQ54" s="130"/>
      <c r="BR54" s="131"/>
      <c r="BS54" s="131"/>
      <c r="BT54" s="131"/>
      <c r="BU54" s="66"/>
      <c r="BV54" s="131"/>
      <c r="BW54" s="67"/>
      <c r="BX54" s="294"/>
      <c r="BY54" s="90"/>
      <c r="BZ54" s="130"/>
      <c r="CA54" s="131"/>
      <c r="CB54" s="131"/>
      <c r="CC54" s="131"/>
      <c r="CD54" s="66"/>
      <c r="CE54" s="131"/>
      <c r="CF54" s="67"/>
      <c r="CG54" s="294"/>
      <c r="CH54" s="90"/>
      <c r="CI54" s="133"/>
      <c r="CJ54" s="134"/>
      <c r="CK54" s="134"/>
      <c r="CL54" s="134"/>
      <c r="CM54" s="121"/>
      <c r="CN54" s="134"/>
      <c r="CO54" s="122"/>
      <c r="CP54" s="90"/>
      <c r="CQ54" s="133"/>
      <c r="CR54" s="134"/>
      <c r="CS54" s="134"/>
      <c r="CT54" s="134"/>
      <c r="CU54" s="121"/>
      <c r="CV54" s="134"/>
      <c r="CW54" s="122"/>
      <c r="CX54" s="90"/>
      <c r="CY54" s="133"/>
      <c r="CZ54" s="134"/>
      <c r="DA54" s="134"/>
      <c r="DB54" s="134"/>
      <c r="DC54" s="121"/>
      <c r="DD54" s="134"/>
      <c r="DE54" s="122"/>
      <c r="DF54" s="6"/>
      <c r="DG54" s="289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</row>
    <row r="55" spans="1:135" s="11" customFormat="1" ht="13.15" customHeight="1">
      <c r="A55" s="330"/>
      <c r="B55" s="49" t="s">
        <v>14</v>
      </c>
      <c r="C55" s="125">
        <f>SUM(L55,T55,AB55,AJ55,AR55,AZ55,BH55,BQ55,BZ55,CI55,CQ55,CY55)</f>
        <v>3605463</v>
      </c>
      <c r="D55" s="125">
        <f t="shared" si="236"/>
        <v>818275.4</v>
      </c>
      <c r="E55" s="125">
        <f t="shared" si="237"/>
        <v>2787187.6</v>
      </c>
      <c r="F55" s="125">
        <f t="shared" si="238"/>
        <v>2787187.6</v>
      </c>
      <c r="G55" s="14">
        <f t="shared" si="239"/>
        <v>0.22695431904307437</v>
      </c>
      <c r="H55" s="125">
        <f t="shared" si="240"/>
        <v>0</v>
      </c>
      <c r="I55" s="14">
        <f>H55/C55</f>
        <v>0</v>
      </c>
      <c r="J55" s="190">
        <f>F55*$A$60</f>
        <v>1087003.1640000001</v>
      </c>
      <c r="K55" s="96"/>
      <c r="L55" s="56">
        <v>649649</v>
      </c>
      <c r="M55" s="47">
        <v>164081.70000000001</v>
      </c>
      <c r="N55" s="47">
        <v>485567.30000000005</v>
      </c>
      <c r="O55" s="47">
        <v>485567.30000000005</v>
      </c>
      <c r="P55" s="52">
        <f t="shared" ref="P55:P58" si="242">M55/L55</f>
        <v>0.25256977229242256</v>
      </c>
      <c r="Q55" s="47">
        <v>0</v>
      </c>
      <c r="R55" s="53">
        <f t="shared" si="193"/>
        <v>0</v>
      </c>
      <c r="S55" s="96"/>
      <c r="T55" s="56">
        <v>422030</v>
      </c>
      <c r="U55" s="47">
        <v>100909</v>
      </c>
      <c r="V55" s="47">
        <v>321121</v>
      </c>
      <c r="W55" s="47">
        <v>321121</v>
      </c>
      <c r="X55" s="52">
        <f t="shared" ref="X55:X58" si="243">U55/T55</f>
        <v>0.2391038551761723</v>
      </c>
      <c r="Y55" s="108">
        <v>0</v>
      </c>
      <c r="Z55" s="53">
        <f t="shared" si="194"/>
        <v>0</v>
      </c>
      <c r="AA55" s="96"/>
      <c r="AB55" s="56">
        <v>605409</v>
      </c>
      <c r="AC55" s="47">
        <v>158714.70000000001</v>
      </c>
      <c r="AD55" s="47">
        <v>446694.3</v>
      </c>
      <c r="AE55" s="47">
        <v>446694.3</v>
      </c>
      <c r="AF55" s="52">
        <f t="shared" ref="AF55:AF58" si="244">AC55/AB55</f>
        <v>0.26216111752550758</v>
      </c>
      <c r="AG55" s="108">
        <v>0</v>
      </c>
      <c r="AH55" s="53">
        <f t="shared" si="195"/>
        <v>0</v>
      </c>
      <c r="AI55" s="96"/>
      <c r="AJ55" s="56">
        <v>338868</v>
      </c>
      <c r="AK55" s="47">
        <v>70508</v>
      </c>
      <c r="AL55" s="47">
        <v>268360</v>
      </c>
      <c r="AM55" s="47">
        <v>268360</v>
      </c>
      <c r="AN55" s="14">
        <f t="shared" ref="AN55:AN58" si="245">AK55/AJ55</f>
        <v>0.20806921869282435</v>
      </c>
      <c r="AO55" s="47">
        <v>0</v>
      </c>
      <c r="AP55" s="17">
        <f t="shared" si="180"/>
        <v>0</v>
      </c>
      <c r="AQ55" s="96"/>
      <c r="AR55" s="243">
        <v>338868</v>
      </c>
      <c r="AS55" s="244">
        <v>70508</v>
      </c>
      <c r="AT55" s="244">
        <v>268360</v>
      </c>
      <c r="AU55" s="244">
        <v>268360</v>
      </c>
      <c r="AV55" s="52">
        <f t="shared" ref="AV55:AV58" si="246">AS55/AR55</f>
        <v>0.20806921869282435</v>
      </c>
      <c r="AW55" s="244">
        <v>0</v>
      </c>
      <c r="AX55" s="53">
        <f t="shared" si="196"/>
        <v>0</v>
      </c>
      <c r="AY55" s="96"/>
      <c r="AZ55" s="243">
        <v>338868</v>
      </c>
      <c r="BA55" s="244">
        <v>70508</v>
      </c>
      <c r="BB55" s="244">
        <v>268360</v>
      </c>
      <c r="BC55" s="244">
        <v>268360</v>
      </c>
      <c r="BD55" s="52">
        <f t="shared" ref="BD55:BD58" si="247">BA55/AZ55</f>
        <v>0.20806921869282435</v>
      </c>
      <c r="BE55" s="244">
        <v>0</v>
      </c>
      <c r="BF55" s="53">
        <f t="shared" si="197"/>
        <v>0</v>
      </c>
      <c r="BG55" s="96"/>
      <c r="BH55" s="245">
        <v>375819</v>
      </c>
      <c r="BI55" s="246">
        <v>75163</v>
      </c>
      <c r="BJ55" s="246">
        <v>300656</v>
      </c>
      <c r="BK55" s="246">
        <v>300656</v>
      </c>
      <c r="BL55" s="66">
        <f t="shared" ref="BL55:BL58" si="248">BI55/BH55</f>
        <v>0.19999787131571314</v>
      </c>
      <c r="BM55" s="246">
        <v>0</v>
      </c>
      <c r="BN55" s="67">
        <f t="shared" si="199"/>
        <v>0</v>
      </c>
      <c r="BO55" s="190">
        <f>BK55*$A$60</f>
        <v>117255.84000000001</v>
      </c>
      <c r="BP55" s="96"/>
      <c r="BQ55" s="297">
        <v>272527</v>
      </c>
      <c r="BR55" s="298">
        <v>55198</v>
      </c>
      <c r="BS55" s="298">
        <v>217329</v>
      </c>
      <c r="BT55" s="298">
        <v>217329</v>
      </c>
      <c r="BU55" s="66">
        <f t="shared" ref="BU55:BU58" si="249">BR55/BQ55</f>
        <v>0.20254139956774925</v>
      </c>
      <c r="BV55" s="298">
        <v>0</v>
      </c>
      <c r="BW55" s="67">
        <f t="shared" si="201"/>
        <v>0</v>
      </c>
      <c r="BX55" s="294">
        <f>BT55*$A$60</f>
        <v>84758.31</v>
      </c>
      <c r="BY55" s="96"/>
      <c r="BZ55" s="297">
        <v>263425</v>
      </c>
      <c r="CA55" s="298">
        <v>52685</v>
      </c>
      <c r="CB55" s="298">
        <v>210740</v>
      </c>
      <c r="CC55" s="298">
        <v>210740</v>
      </c>
      <c r="CD55" s="66">
        <f t="shared" ref="CD55:CD58" si="250">CA55/BZ55</f>
        <v>0.2</v>
      </c>
      <c r="CE55" s="298">
        <v>0</v>
      </c>
      <c r="CF55" s="67">
        <f t="shared" si="202"/>
        <v>0</v>
      </c>
      <c r="CG55" s="294">
        <f>CC55*$A$60</f>
        <v>82188.600000000006</v>
      </c>
      <c r="CH55" s="96"/>
      <c r="CI55" s="249">
        <v>0</v>
      </c>
      <c r="CJ55" s="250">
        <v>0</v>
      </c>
      <c r="CK55" s="250">
        <v>0</v>
      </c>
      <c r="CL55" s="250">
        <v>0</v>
      </c>
      <c r="CM55" s="121" t="e">
        <f t="shared" ref="CM55:CM58" si="251">CJ55/CI55</f>
        <v>#DIV/0!</v>
      </c>
      <c r="CN55" s="250">
        <v>0</v>
      </c>
      <c r="CO55" s="122" t="e">
        <f t="shared" si="203"/>
        <v>#DIV/0!</v>
      </c>
      <c r="CP55" s="96"/>
      <c r="CQ55" s="249">
        <v>0</v>
      </c>
      <c r="CR55" s="250">
        <v>0</v>
      </c>
      <c r="CS55" s="250">
        <v>0</v>
      </c>
      <c r="CT55" s="250">
        <v>0</v>
      </c>
      <c r="CU55" s="121" t="e">
        <f t="shared" ref="CU55:CU58" si="252">CR55/CQ55</f>
        <v>#DIV/0!</v>
      </c>
      <c r="CV55" s="250">
        <v>0</v>
      </c>
      <c r="CW55" s="122" t="e">
        <f t="shared" si="204"/>
        <v>#DIV/0!</v>
      </c>
      <c r="CX55" s="96"/>
      <c r="CY55" s="249">
        <v>0</v>
      </c>
      <c r="CZ55" s="250">
        <v>0</v>
      </c>
      <c r="DA55" s="250">
        <v>0</v>
      </c>
      <c r="DB55" s="250">
        <v>0</v>
      </c>
      <c r="DC55" s="121" t="e">
        <f t="shared" ref="DC55:DC58" si="253">CZ55/CY55</f>
        <v>#DIV/0!</v>
      </c>
      <c r="DD55" s="250">
        <v>0</v>
      </c>
      <c r="DE55" s="122" t="e">
        <f t="shared" si="205"/>
        <v>#DIV/0!</v>
      </c>
      <c r="DF55" s="9"/>
      <c r="DG55" s="290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</row>
    <row r="56" spans="1:135" s="11" customFormat="1" ht="13.15" customHeight="1">
      <c r="A56" s="330"/>
      <c r="B56" s="49" t="s">
        <v>15</v>
      </c>
      <c r="C56" s="125">
        <f>SUM(L56,T56,AB56,AJ56,AR56,AZ56,BH56,BQ56,BZ56,CI56,CQ56,CY56)</f>
        <v>3747445.65</v>
      </c>
      <c r="D56" s="125">
        <f t="shared" si="236"/>
        <v>1635517.25</v>
      </c>
      <c r="E56" s="125">
        <f t="shared" si="237"/>
        <v>2111928.4</v>
      </c>
      <c r="F56" s="125">
        <f t="shared" si="238"/>
        <v>2111928.4</v>
      </c>
      <c r="G56" s="14">
        <f t="shared" si="239"/>
        <v>0.43643521554475379</v>
      </c>
      <c r="H56" s="125">
        <f t="shared" si="240"/>
        <v>0</v>
      </c>
      <c r="I56" s="14">
        <f>H56/C56</f>
        <v>0</v>
      </c>
      <c r="J56" s="190">
        <f>F56*$A$60</f>
        <v>823652.076</v>
      </c>
      <c r="K56" s="96"/>
      <c r="L56" s="56">
        <v>121550</v>
      </c>
      <c r="M56" s="47">
        <v>28992.5</v>
      </c>
      <c r="N56" s="47">
        <v>92557.5</v>
      </c>
      <c r="O56" s="47">
        <v>92557.5</v>
      </c>
      <c r="P56" s="52">
        <f t="shared" si="242"/>
        <v>0.23852324146441795</v>
      </c>
      <c r="Q56" s="47">
        <v>0</v>
      </c>
      <c r="R56" s="53">
        <f t="shared" si="193"/>
        <v>0</v>
      </c>
      <c r="S56" s="96"/>
      <c r="T56" s="56">
        <v>177851.15</v>
      </c>
      <c r="U56" s="47">
        <v>26991.25</v>
      </c>
      <c r="V56" s="47">
        <v>150859.9</v>
      </c>
      <c r="W56" s="47">
        <v>150859.9</v>
      </c>
      <c r="X56" s="52">
        <f t="shared" si="243"/>
        <v>0.15176314575418826</v>
      </c>
      <c r="Y56" s="108">
        <v>0</v>
      </c>
      <c r="Z56" s="53">
        <f t="shared" si="194"/>
        <v>0</v>
      </c>
      <c r="AA56" s="96"/>
      <c r="AB56" s="56">
        <v>1239625</v>
      </c>
      <c r="AC56" s="47">
        <v>356175</v>
      </c>
      <c r="AD56" s="47">
        <v>883450</v>
      </c>
      <c r="AE56" s="47">
        <v>883450</v>
      </c>
      <c r="AF56" s="52">
        <f t="shared" si="244"/>
        <v>0.287324795805183</v>
      </c>
      <c r="AG56" s="108">
        <v>0</v>
      </c>
      <c r="AH56" s="53">
        <f t="shared" si="195"/>
        <v>0</v>
      </c>
      <c r="AI56" s="96"/>
      <c r="AJ56" s="56">
        <v>608024</v>
      </c>
      <c r="AK56" s="47">
        <v>393606</v>
      </c>
      <c r="AL56" s="47">
        <v>214418</v>
      </c>
      <c r="AM56" s="47">
        <v>214418</v>
      </c>
      <c r="AN56" s="14">
        <f t="shared" si="245"/>
        <v>0.64735273607620747</v>
      </c>
      <c r="AO56" s="47">
        <v>0</v>
      </c>
      <c r="AP56" s="17">
        <f t="shared" si="180"/>
        <v>0</v>
      </c>
      <c r="AQ56" s="96"/>
      <c r="AR56" s="243">
        <v>608024</v>
      </c>
      <c r="AS56" s="244">
        <v>393606</v>
      </c>
      <c r="AT56" s="244">
        <v>214418</v>
      </c>
      <c r="AU56" s="244">
        <v>214418</v>
      </c>
      <c r="AV56" s="52">
        <f t="shared" si="246"/>
        <v>0.64735273607620747</v>
      </c>
      <c r="AW56" s="244">
        <v>0</v>
      </c>
      <c r="AX56" s="53">
        <f t="shared" si="196"/>
        <v>0</v>
      </c>
      <c r="AY56" s="96"/>
      <c r="AZ56" s="243">
        <v>608024</v>
      </c>
      <c r="BA56" s="244">
        <v>393606</v>
      </c>
      <c r="BB56" s="244">
        <v>214418</v>
      </c>
      <c r="BC56" s="244">
        <v>214418</v>
      </c>
      <c r="BD56" s="52">
        <f t="shared" si="247"/>
        <v>0.64735273607620747</v>
      </c>
      <c r="BE56" s="244">
        <v>0</v>
      </c>
      <c r="BF56" s="53">
        <f t="shared" si="197"/>
        <v>0</v>
      </c>
      <c r="BG56" s="96"/>
      <c r="BH56" s="245">
        <v>55362</v>
      </c>
      <c r="BI56" s="246">
        <v>7872</v>
      </c>
      <c r="BJ56" s="246">
        <v>47490</v>
      </c>
      <c r="BK56" s="246">
        <v>47490</v>
      </c>
      <c r="BL56" s="66">
        <f t="shared" si="248"/>
        <v>0.14219139481955131</v>
      </c>
      <c r="BM56" s="246">
        <v>0</v>
      </c>
      <c r="BN56" s="67">
        <f t="shared" si="199"/>
        <v>0</v>
      </c>
      <c r="BO56" s="190">
        <f>BK56*$A$60</f>
        <v>18521.100000000002</v>
      </c>
      <c r="BP56" s="96"/>
      <c r="BQ56" s="297">
        <v>29531</v>
      </c>
      <c r="BR56" s="298">
        <v>5906</v>
      </c>
      <c r="BS56" s="298">
        <v>23625</v>
      </c>
      <c r="BT56" s="298">
        <v>23625</v>
      </c>
      <c r="BU56" s="66">
        <f t="shared" si="249"/>
        <v>0.19999322745589382</v>
      </c>
      <c r="BV56" s="298">
        <v>0</v>
      </c>
      <c r="BW56" s="67">
        <f t="shared" si="201"/>
        <v>0</v>
      </c>
      <c r="BX56" s="294">
        <f>BT56*$A$60</f>
        <v>9213.75</v>
      </c>
      <c r="BY56" s="96"/>
      <c r="BZ56" s="297">
        <v>299454.5</v>
      </c>
      <c r="CA56" s="298">
        <v>28762.5</v>
      </c>
      <c r="CB56" s="298">
        <v>270692</v>
      </c>
      <c r="CC56" s="298">
        <v>270692</v>
      </c>
      <c r="CD56" s="66">
        <f t="shared" si="250"/>
        <v>9.6049650280760512E-2</v>
      </c>
      <c r="CE56" s="298">
        <v>0</v>
      </c>
      <c r="CF56" s="67">
        <f t="shared" si="202"/>
        <v>0</v>
      </c>
      <c r="CG56" s="294">
        <f>CC56*$A$60</f>
        <v>105569.88</v>
      </c>
      <c r="CH56" s="96"/>
      <c r="CI56" s="249">
        <v>0</v>
      </c>
      <c r="CJ56" s="250">
        <v>0</v>
      </c>
      <c r="CK56" s="250">
        <v>0</v>
      </c>
      <c r="CL56" s="250">
        <v>0</v>
      </c>
      <c r="CM56" s="121" t="e">
        <f t="shared" si="251"/>
        <v>#DIV/0!</v>
      </c>
      <c r="CN56" s="250">
        <v>0</v>
      </c>
      <c r="CO56" s="122" t="e">
        <f t="shared" si="203"/>
        <v>#DIV/0!</v>
      </c>
      <c r="CP56" s="96"/>
      <c r="CQ56" s="249">
        <v>0</v>
      </c>
      <c r="CR56" s="250">
        <v>0</v>
      </c>
      <c r="CS56" s="250">
        <v>0</v>
      </c>
      <c r="CT56" s="250">
        <v>0</v>
      </c>
      <c r="CU56" s="121" t="e">
        <f t="shared" si="252"/>
        <v>#DIV/0!</v>
      </c>
      <c r="CV56" s="250">
        <v>0</v>
      </c>
      <c r="CW56" s="122" t="e">
        <f t="shared" si="204"/>
        <v>#DIV/0!</v>
      </c>
      <c r="CX56" s="96"/>
      <c r="CY56" s="249">
        <v>0</v>
      </c>
      <c r="CZ56" s="250">
        <v>0</v>
      </c>
      <c r="DA56" s="250">
        <v>0</v>
      </c>
      <c r="DB56" s="250">
        <v>0</v>
      </c>
      <c r="DC56" s="121" t="e">
        <f t="shared" si="253"/>
        <v>#DIV/0!</v>
      </c>
      <c r="DD56" s="250">
        <v>0</v>
      </c>
      <c r="DE56" s="122" t="e">
        <f t="shared" si="205"/>
        <v>#DIV/0!</v>
      </c>
      <c r="DF56" s="9"/>
      <c r="DG56" s="290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</row>
    <row r="57" spans="1:135" s="11" customFormat="1" ht="13.15" customHeight="1">
      <c r="A57" s="330"/>
      <c r="B57" s="49" t="s">
        <v>16</v>
      </c>
      <c r="C57" s="125">
        <f>SUM(L57,T57,AB57,AJ57,AR57,AZ57,BH57,BQ57,BZ57,CI57,CQ57,CY57)</f>
        <v>4388890.0033333339</v>
      </c>
      <c r="D57" s="125">
        <f t="shared" si="236"/>
        <v>803970.5</v>
      </c>
      <c r="E57" s="125">
        <f t="shared" si="237"/>
        <v>3582002.5033333334</v>
      </c>
      <c r="F57" s="125">
        <f t="shared" si="238"/>
        <v>3582002.5033333334</v>
      </c>
      <c r="G57" s="14">
        <f t="shared" si="239"/>
        <v>0.18318310538413804</v>
      </c>
      <c r="H57" s="125">
        <f t="shared" si="240"/>
        <v>0</v>
      </c>
      <c r="I57" s="14">
        <f t="shared" ref="I57:I58" si="254">H57/C57</f>
        <v>0</v>
      </c>
      <c r="J57" s="190">
        <f>F57*$A$60</f>
        <v>1396980.9763</v>
      </c>
      <c r="K57" s="96"/>
      <c r="L57" s="56">
        <v>870699</v>
      </c>
      <c r="M57" s="47">
        <v>93250</v>
      </c>
      <c r="N57" s="47">
        <v>774532</v>
      </c>
      <c r="O57" s="47">
        <v>774532</v>
      </c>
      <c r="P57" s="52">
        <f t="shared" si="242"/>
        <v>0.10709786045464621</v>
      </c>
      <c r="Q57" s="47">
        <v>0</v>
      </c>
      <c r="R57" s="53">
        <f t="shared" si="193"/>
        <v>0</v>
      </c>
      <c r="S57" s="96"/>
      <c r="T57" s="56">
        <v>1167917</v>
      </c>
      <c r="U57" s="47">
        <v>317000</v>
      </c>
      <c r="V57" s="47">
        <v>850917</v>
      </c>
      <c r="W57" s="47">
        <v>850917</v>
      </c>
      <c r="X57" s="52">
        <f t="shared" si="243"/>
        <v>0.27142339738183452</v>
      </c>
      <c r="Y57" s="108">
        <v>0</v>
      </c>
      <c r="Z57" s="53">
        <f t="shared" si="194"/>
        <v>0</v>
      </c>
      <c r="AA57" s="96"/>
      <c r="AB57" s="56">
        <v>417345.0033333333</v>
      </c>
      <c r="AC57" s="47">
        <v>36067.5</v>
      </c>
      <c r="AD57" s="47">
        <v>381277.5033333333</v>
      </c>
      <c r="AE57" s="47">
        <v>381277.5033333333</v>
      </c>
      <c r="AF57" s="52">
        <f t="shared" si="244"/>
        <v>8.6421305423400263E-2</v>
      </c>
      <c r="AG57" s="108">
        <v>0</v>
      </c>
      <c r="AH57" s="53">
        <f t="shared" si="195"/>
        <v>0</v>
      </c>
      <c r="AI57" s="96"/>
      <c r="AJ57" s="56">
        <v>323745</v>
      </c>
      <c r="AK57" s="47">
        <v>64749</v>
      </c>
      <c r="AL57" s="47">
        <v>258996</v>
      </c>
      <c r="AM57" s="47">
        <v>258996</v>
      </c>
      <c r="AN57" s="14">
        <f t="shared" si="245"/>
        <v>0.2</v>
      </c>
      <c r="AO57" s="47">
        <v>0</v>
      </c>
      <c r="AP57" s="17">
        <f t="shared" si="180"/>
        <v>0</v>
      </c>
      <c r="AQ57" s="96"/>
      <c r="AR57" s="243">
        <v>323745</v>
      </c>
      <c r="AS57" s="244">
        <v>64749</v>
      </c>
      <c r="AT57" s="244">
        <v>258996</v>
      </c>
      <c r="AU57" s="244">
        <v>258996</v>
      </c>
      <c r="AV57" s="52">
        <f t="shared" si="246"/>
        <v>0.2</v>
      </c>
      <c r="AW57" s="244">
        <v>0</v>
      </c>
      <c r="AX57" s="53">
        <f t="shared" si="196"/>
        <v>0</v>
      </c>
      <c r="AY57" s="96"/>
      <c r="AZ57" s="243">
        <v>323745</v>
      </c>
      <c r="BA57" s="244">
        <v>64749</v>
      </c>
      <c r="BB57" s="244">
        <v>258996</v>
      </c>
      <c r="BC57" s="244">
        <v>258996</v>
      </c>
      <c r="BD57" s="52">
        <f t="shared" si="247"/>
        <v>0.2</v>
      </c>
      <c r="BE57" s="244">
        <v>0</v>
      </c>
      <c r="BF57" s="53">
        <f t="shared" si="197"/>
        <v>0</v>
      </c>
      <c r="BG57" s="96"/>
      <c r="BH57" s="245">
        <v>617601</v>
      </c>
      <c r="BI57" s="246">
        <v>100513</v>
      </c>
      <c r="BJ57" s="246">
        <v>517088</v>
      </c>
      <c r="BK57" s="246">
        <v>517088</v>
      </c>
      <c r="BL57" s="66">
        <f t="shared" si="248"/>
        <v>0.16274746964464112</v>
      </c>
      <c r="BM57" s="246">
        <v>0</v>
      </c>
      <c r="BN57" s="67">
        <f t="shared" si="199"/>
        <v>0</v>
      </c>
      <c r="BO57" s="190">
        <f>BK57*$A$60</f>
        <v>201664.32</v>
      </c>
      <c r="BP57" s="96"/>
      <c r="BQ57" s="297">
        <v>77562</v>
      </c>
      <c r="BR57" s="298">
        <v>15512</v>
      </c>
      <c r="BS57" s="298">
        <v>62050</v>
      </c>
      <c r="BT57" s="298">
        <v>62050</v>
      </c>
      <c r="BU57" s="66">
        <f t="shared" si="249"/>
        <v>0.19999484283540908</v>
      </c>
      <c r="BV57" s="298">
        <v>0</v>
      </c>
      <c r="BW57" s="67">
        <f t="shared" si="201"/>
        <v>0</v>
      </c>
      <c r="BX57" s="294">
        <f>BT57*$A$60</f>
        <v>24199.5</v>
      </c>
      <c r="BY57" s="96"/>
      <c r="BZ57" s="297">
        <v>266531</v>
      </c>
      <c r="CA57" s="298">
        <v>47381</v>
      </c>
      <c r="CB57" s="298">
        <v>219150</v>
      </c>
      <c r="CC57" s="298">
        <v>219150</v>
      </c>
      <c r="CD57" s="66">
        <f t="shared" si="250"/>
        <v>0.17776919007545089</v>
      </c>
      <c r="CE57" s="298">
        <v>0</v>
      </c>
      <c r="CF57" s="67">
        <f t="shared" si="202"/>
        <v>0</v>
      </c>
      <c r="CG57" s="294">
        <f>CC57*$A$60</f>
        <v>85468.5</v>
      </c>
      <c r="CH57" s="96"/>
      <c r="CI57" s="249">
        <v>0</v>
      </c>
      <c r="CJ57" s="250">
        <v>0</v>
      </c>
      <c r="CK57" s="250">
        <v>0</v>
      </c>
      <c r="CL57" s="250">
        <v>0</v>
      </c>
      <c r="CM57" s="121" t="e">
        <f t="shared" si="251"/>
        <v>#DIV/0!</v>
      </c>
      <c r="CN57" s="250">
        <v>0</v>
      </c>
      <c r="CO57" s="122" t="e">
        <f t="shared" si="203"/>
        <v>#DIV/0!</v>
      </c>
      <c r="CP57" s="96"/>
      <c r="CQ57" s="249">
        <v>0</v>
      </c>
      <c r="CR57" s="250">
        <v>0</v>
      </c>
      <c r="CS57" s="250">
        <v>0</v>
      </c>
      <c r="CT57" s="250">
        <v>0</v>
      </c>
      <c r="CU57" s="121" t="e">
        <f t="shared" si="252"/>
        <v>#DIV/0!</v>
      </c>
      <c r="CV57" s="250">
        <v>0</v>
      </c>
      <c r="CW57" s="122" t="e">
        <f t="shared" si="204"/>
        <v>#DIV/0!</v>
      </c>
      <c r="CX57" s="96"/>
      <c r="CY57" s="249">
        <v>0</v>
      </c>
      <c r="CZ57" s="250">
        <v>0</v>
      </c>
      <c r="DA57" s="250">
        <v>0</v>
      </c>
      <c r="DB57" s="250">
        <v>0</v>
      </c>
      <c r="DC57" s="121" t="e">
        <f t="shared" si="253"/>
        <v>#DIV/0!</v>
      </c>
      <c r="DD57" s="250">
        <v>0</v>
      </c>
      <c r="DE57" s="122" t="e">
        <f t="shared" si="205"/>
        <v>#DIV/0!</v>
      </c>
      <c r="DF57" s="9"/>
      <c r="DG57" s="290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</row>
    <row r="58" spans="1:135" s="11" customFormat="1" ht="13.15" customHeight="1">
      <c r="A58" s="330"/>
      <c r="B58" s="49" t="s">
        <v>17</v>
      </c>
      <c r="C58" s="125">
        <f>SUM(L58,T58,AB58,AJ58,AR58,AZ58,BH58,BQ58,BZ58,CI58,CQ58,CY58)</f>
        <v>5631482</v>
      </c>
      <c r="D58" s="125">
        <f t="shared" si="236"/>
        <v>642834</v>
      </c>
      <c r="E58" s="125">
        <f t="shared" si="237"/>
        <v>4988648</v>
      </c>
      <c r="F58" s="125">
        <f t="shared" si="238"/>
        <v>4988648</v>
      </c>
      <c r="G58" s="14">
        <f t="shared" si="239"/>
        <v>0.11415005854586768</v>
      </c>
      <c r="H58" s="125">
        <f t="shared" si="240"/>
        <v>88000</v>
      </c>
      <c r="I58" s="14">
        <f t="shared" si="254"/>
        <v>1.5626437232685818E-2</v>
      </c>
      <c r="J58" s="190">
        <f>F58*$A$60</f>
        <v>1945572.72</v>
      </c>
      <c r="K58" s="96"/>
      <c r="L58" s="56">
        <v>236250</v>
      </c>
      <c r="M58" s="47">
        <v>47250</v>
      </c>
      <c r="N58" s="47">
        <v>189000</v>
      </c>
      <c r="O58" s="47">
        <v>189000</v>
      </c>
      <c r="P58" s="52">
        <f t="shared" si="242"/>
        <v>0.2</v>
      </c>
      <c r="Q58" s="47">
        <v>88000</v>
      </c>
      <c r="R58" s="53">
        <f t="shared" si="193"/>
        <v>0.37248677248677248</v>
      </c>
      <c r="S58" s="96"/>
      <c r="T58" s="56">
        <v>0</v>
      </c>
      <c r="U58" s="47">
        <v>0</v>
      </c>
      <c r="V58" s="47">
        <v>0</v>
      </c>
      <c r="W58" s="47">
        <v>0</v>
      </c>
      <c r="X58" s="52" t="e">
        <f t="shared" si="243"/>
        <v>#DIV/0!</v>
      </c>
      <c r="Y58" s="108">
        <v>0</v>
      </c>
      <c r="Z58" s="53" t="e">
        <f t="shared" si="194"/>
        <v>#DIV/0!</v>
      </c>
      <c r="AA58" s="96"/>
      <c r="AB58" s="56">
        <v>285000</v>
      </c>
      <c r="AC58" s="47">
        <v>0</v>
      </c>
      <c r="AD58" s="47">
        <v>285000</v>
      </c>
      <c r="AE58" s="47">
        <v>285000</v>
      </c>
      <c r="AF58" s="52">
        <f t="shared" si="244"/>
        <v>0</v>
      </c>
      <c r="AG58" s="108">
        <v>0</v>
      </c>
      <c r="AH58" s="53">
        <f t="shared" si="195"/>
        <v>0</v>
      </c>
      <c r="AI58" s="96"/>
      <c r="AJ58" s="56">
        <v>741875</v>
      </c>
      <c r="AK58" s="47">
        <v>91375</v>
      </c>
      <c r="AL58" s="47">
        <v>650500</v>
      </c>
      <c r="AM58" s="47">
        <v>650500</v>
      </c>
      <c r="AN58" s="14">
        <f t="shared" si="245"/>
        <v>0.12316764953664701</v>
      </c>
      <c r="AO58" s="47">
        <v>0</v>
      </c>
      <c r="AP58" s="17">
        <f t="shared" si="180"/>
        <v>0</v>
      </c>
      <c r="AQ58" s="96"/>
      <c r="AR58" s="243">
        <v>741875</v>
      </c>
      <c r="AS58" s="244">
        <v>91375</v>
      </c>
      <c r="AT58" s="244">
        <v>650500</v>
      </c>
      <c r="AU58" s="244">
        <v>650500</v>
      </c>
      <c r="AV58" s="52">
        <f t="shared" si="246"/>
        <v>0.12316764953664701</v>
      </c>
      <c r="AW58" s="244">
        <v>0</v>
      </c>
      <c r="AX58" s="53">
        <f t="shared" si="196"/>
        <v>0</v>
      </c>
      <c r="AY58" s="96"/>
      <c r="AZ58" s="243">
        <v>741875</v>
      </c>
      <c r="BA58" s="244">
        <v>91375</v>
      </c>
      <c r="BB58" s="244">
        <v>650500</v>
      </c>
      <c r="BC58" s="244">
        <v>650500</v>
      </c>
      <c r="BD58" s="52">
        <f t="shared" si="247"/>
        <v>0.12316764953664701</v>
      </c>
      <c r="BE58" s="244">
        <v>0</v>
      </c>
      <c r="BF58" s="53">
        <f t="shared" si="197"/>
        <v>0</v>
      </c>
      <c r="BG58" s="96"/>
      <c r="BH58" s="245">
        <v>685000</v>
      </c>
      <c r="BI58" s="246">
        <v>0</v>
      </c>
      <c r="BJ58" s="246">
        <v>685000</v>
      </c>
      <c r="BK58" s="246">
        <v>685000</v>
      </c>
      <c r="BL58" s="66">
        <f t="shared" si="248"/>
        <v>0</v>
      </c>
      <c r="BM58" s="246">
        <v>0</v>
      </c>
      <c r="BN58" s="67">
        <f t="shared" si="199"/>
        <v>0</v>
      </c>
      <c r="BO58" s="190">
        <f>BK58*$A$60</f>
        <v>267150</v>
      </c>
      <c r="BP58" s="96"/>
      <c r="BQ58" s="297">
        <v>886968</v>
      </c>
      <c r="BR58" s="298">
        <v>120394</v>
      </c>
      <c r="BS58" s="298">
        <v>766574</v>
      </c>
      <c r="BT58" s="298">
        <v>766574</v>
      </c>
      <c r="BU58" s="66">
        <f t="shared" si="249"/>
        <v>0.13573657674234019</v>
      </c>
      <c r="BV58" s="298">
        <v>0</v>
      </c>
      <c r="BW58" s="67">
        <f t="shared" si="201"/>
        <v>0</v>
      </c>
      <c r="BX58" s="294">
        <f>BT58*$A$60</f>
        <v>298963.86</v>
      </c>
      <c r="BY58" s="96"/>
      <c r="BZ58" s="297">
        <v>1312639</v>
      </c>
      <c r="CA58" s="298">
        <v>201065</v>
      </c>
      <c r="CB58" s="298">
        <v>1111574</v>
      </c>
      <c r="CC58" s="298">
        <v>1111574</v>
      </c>
      <c r="CD58" s="66">
        <f t="shared" si="250"/>
        <v>0.15317615886774658</v>
      </c>
      <c r="CE58" s="298">
        <v>0</v>
      </c>
      <c r="CF58" s="67">
        <f t="shared" si="202"/>
        <v>0</v>
      </c>
      <c r="CG58" s="294">
        <f>CC58*$A$60</f>
        <v>433513.86</v>
      </c>
      <c r="CH58" s="96"/>
      <c r="CI58" s="249">
        <v>0</v>
      </c>
      <c r="CJ58" s="250">
        <v>0</v>
      </c>
      <c r="CK58" s="250">
        <v>0</v>
      </c>
      <c r="CL58" s="250">
        <v>0</v>
      </c>
      <c r="CM58" s="121" t="e">
        <f t="shared" si="251"/>
        <v>#DIV/0!</v>
      </c>
      <c r="CN58" s="250">
        <v>0</v>
      </c>
      <c r="CO58" s="122" t="e">
        <f t="shared" si="203"/>
        <v>#DIV/0!</v>
      </c>
      <c r="CP58" s="96"/>
      <c r="CQ58" s="249">
        <v>0</v>
      </c>
      <c r="CR58" s="250">
        <v>0</v>
      </c>
      <c r="CS58" s="250">
        <v>0</v>
      </c>
      <c r="CT58" s="250">
        <v>0</v>
      </c>
      <c r="CU58" s="121" t="e">
        <f t="shared" si="252"/>
        <v>#DIV/0!</v>
      </c>
      <c r="CV58" s="250">
        <v>0</v>
      </c>
      <c r="CW58" s="122" t="e">
        <f t="shared" si="204"/>
        <v>#DIV/0!</v>
      </c>
      <c r="CX58" s="96"/>
      <c r="CY58" s="249">
        <v>0</v>
      </c>
      <c r="CZ58" s="250">
        <v>0</v>
      </c>
      <c r="DA58" s="250">
        <v>0</v>
      </c>
      <c r="DB58" s="250">
        <v>0</v>
      </c>
      <c r="DC58" s="121" t="e">
        <f t="shared" si="253"/>
        <v>#DIV/0!</v>
      </c>
      <c r="DD58" s="250">
        <v>0</v>
      </c>
      <c r="DE58" s="122" t="e">
        <f t="shared" si="205"/>
        <v>#DIV/0!</v>
      </c>
      <c r="DF58" s="9"/>
      <c r="DG58" s="290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</row>
    <row r="59" spans="1:135" s="26" customFormat="1" ht="13" customHeight="1">
      <c r="A59" s="330"/>
      <c r="B59" s="168" t="s">
        <v>18</v>
      </c>
      <c r="C59" s="126">
        <f>SUM(C48:C58)</f>
        <v>22616173.871333335</v>
      </c>
      <c r="D59" s="126">
        <f>SUM(D48:D58)</f>
        <v>4212084.1500000004</v>
      </c>
      <c r="E59" s="126">
        <f>SUM(E48:E58)</f>
        <v>18401102.721333332</v>
      </c>
      <c r="F59" s="126">
        <f>SUM(F48:F58)</f>
        <v>18401102.721333332</v>
      </c>
      <c r="G59" s="15">
        <f>D59/C59</f>
        <v>0.18624211920031888</v>
      </c>
      <c r="H59" s="126">
        <f>SUM(H48:H58)</f>
        <v>98000</v>
      </c>
      <c r="I59" s="15">
        <f>H59/C59</f>
        <v>4.3331821092964752E-3</v>
      </c>
      <c r="J59" s="195" t="b">
        <f>J60=F60</f>
        <v>1</v>
      </c>
      <c r="K59" s="97"/>
      <c r="L59" s="177">
        <f>SUM(L48:L58)</f>
        <v>4317946.9984999998</v>
      </c>
      <c r="M59" s="36">
        <f>SUM(M48:M58)</f>
        <v>434554.2</v>
      </c>
      <c r="N59" s="36">
        <f>SUM(N48:N58)</f>
        <v>2424481.2385</v>
      </c>
      <c r="O59" s="36">
        <f>SUM(O48:O58)</f>
        <v>2424481.2385</v>
      </c>
      <c r="P59" s="15">
        <f>(L59-O59)/L59</f>
        <v>0.43851065347901813</v>
      </c>
      <c r="Q59" s="36">
        <f>SUM(Q48:Q58)</f>
        <v>98000</v>
      </c>
      <c r="R59" s="62">
        <f t="shared" si="193"/>
        <v>2.2695971033003408E-2</v>
      </c>
      <c r="S59" s="97"/>
      <c r="T59" s="74">
        <f>SUM(T48:T58)</f>
        <v>2083568.1600000001</v>
      </c>
      <c r="U59" s="75">
        <f>SUM(U48:U58)</f>
        <v>514740.25</v>
      </c>
      <c r="V59" s="75">
        <f>SUM(V48:V58)</f>
        <v>1568827.9100000001</v>
      </c>
      <c r="W59" s="75">
        <f>SUM(W48:W58)</f>
        <v>1568827.9100000001</v>
      </c>
      <c r="X59" s="15">
        <f>(T59-W59)/T59</f>
        <v>0.24704747359932777</v>
      </c>
      <c r="Y59" s="75">
        <f>SUM(Y48:Y58)</f>
        <v>0</v>
      </c>
      <c r="Z59" s="62">
        <f t="shared" si="194"/>
        <v>0</v>
      </c>
      <c r="AA59" s="97"/>
      <c r="AB59" s="74">
        <f>SUM(AB48:AB58)</f>
        <v>3794273.9228333333</v>
      </c>
      <c r="AC59" s="75">
        <f>SUM(AC48:AC58)</f>
        <v>653017.19999999995</v>
      </c>
      <c r="AD59" s="75">
        <f>SUM(AD48:AD58)</f>
        <v>3141256.7228333331</v>
      </c>
      <c r="AE59" s="75">
        <f>SUM(AE48:AE58)</f>
        <v>3141256.7228333331</v>
      </c>
      <c r="AF59" s="15">
        <f>(AB59-AE59)/AB59</f>
        <v>0.17210597159847821</v>
      </c>
      <c r="AG59" s="75">
        <f>SUM(AG48:AG58)</f>
        <v>0</v>
      </c>
      <c r="AH59" s="62">
        <f t="shared" si="195"/>
        <v>0</v>
      </c>
      <c r="AI59" s="97"/>
      <c r="AJ59" s="74">
        <f>SUM(AJ48:AJ58)</f>
        <v>2419351.4500000002</v>
      </c>
      <c r="AK59" s="75">
        <f>SUM(AK48:AK58)</f>
        <v>620238</v>
      </c>
      <c r="AL59" s="75">
        <f>SUM(AL48:AL58)</f>
        <v>1799113.45</v>
      </c>
      <c r="AM59" s="75">
        <f>SUM(AM48:AM58)</f>
        <v>1799113.45</v>
      </c>
      <c r="AN59" s="15">
        <f>(AJ59-AM59)/AJ59</f>
        <v>0.25636539908246908</v>
      </c>
      <c r="AO59" s="75">
        <f>SUM(AO48:AO58)</f>
        <v>0</v>
      </c>
      <c r="AP59" s="62">
        <f t="shared" si="180"/>
        <v>0</v>
      </c>
      <c r="AQ59" s="97"/>
      <c r="AR59" s="248">
        <f>SUM(AR48:AR58)</f>
        <v>2419351.4500000002</v>
      </c>
      <c r="AS59" s="247">
        <f>SUM(AS48:AS58)</f>
        <v>620238</v>
      </c>
      <c r="AT59" s="247">
        <f>SUM(AT48:AT58)</f>
        <v>1799113.45</v>
      </c>
      <c r="AU59" s="247">
        <f>SUM(AU48:AU58)</f>
        <v>1799113.45</v>
      </c>
      <c r="AV59" s="15">
        <f>(AR59-AU59)/AR59</f>
        <v>0.25636539908246908</v>
      </c>
      <c r="AW59" s="247">
        <f>SUM(AW48:AW58)</f>
        <v>0</v>
      </c>
      <c r="AX59" s="62">
        <f t="shared" si="196"/>
        <v>0</v>
      </c>
      <c r="AY59" s="97"/>
      <c r="AZ59" s="248">
        <f>SUM(AZ48:AZ58)</f>
        <v>2419351.4500000002</v>
      </c>
      <c r="BA59" s="247">
        <f>SUM(BA48:BA58)</f>
        <v>620238</v>
      </c>
      <c r="BB59" s="247">
        <f>SUM(BB48:BB58)</f>
        <v>1799113.45</v>
      </c>
      <c r="BC59" s="247">
        <f>SUM(BC48:BC58)</f>
        <v>1799113.45</v>
      </c>
      <c r="BD59" s="15">
        <f>(AZ59-BC59)/AZ59</f>
        <v>0.25636539908246908</v>
      </c>
      <c r="BE59" s="247">
        <f>SUM(BE48:BE58)</f>
        <v>0</v>
      </c>
      <c r="BF59" s="62">
        <f t="shared" si="197"/>
        <v>0</v>
      </c>
      <c r="BG59" s="97"/>
      <c r="BH59" s="248">
        <f>SUM(BH48:BH58)</f>
        <v>2227252</v>
      </c>
      <c r="BI59" s="247">
        <f>SUM(BI48:BI58)</f>
        <v>202111</v>
      </c>
      <c r="BJ59" s="247">
        <f>SUM(BJ48:BJ58)</f>
        <v>2025141</v>
      </c>
      <c r="BK59" s="247">
        <f>SUM(BK48:BK58)</f>
        <v>2025141</v>
      </c>
      <c r="BL59" s="15">
        <f>(BH59-BK59)/BH59</f>
        <v>9.0744558765689737E-2</v>
      </c>
      <c r="BM59" s="247">
        <f>SUM(BM48:BM58)</f>
        <v>0</v>
      </c>
      <c r="BN59" s="62">
        <f t="shared" si="199"/>
        <v>0</v>
      </c>
      <c r="BO59" s="195" t="b">
        <f>BO60=BK60</f>
        <v>1</v>
      </c>
      <c r="BP59" s="97"/>
      <c r="BQ59" s="74">
        <f>SUM(BQ48:BQ58)</f>
        <v>1715158</v>
      </c>
      <c r="BR59" s="75">
        <f>SUM(BR48:BR58)</f>
        <v>206583</v>
      </c>
      <c r="BS59" s="75">
        <f>SUM(BS48:BS58)</f>
        <v>1508575</v>
      </c>
      <c r="BT59" s="75">
        <f>SUM(BT48:BT58)</f>
        <v>1508575</v>
      </c>
      <c r="BU59" s="15">
        <f>(BQ59-BT59)/BQ59</f>
        <v>0.12044546333340718</v>
      </c>
      <c r="BV59" s="75">
        <f>SUM(BV48:BV58)</f>
        <v>0</v>
      </c>
      <c r="BW59" s="62">
        <f t="shared" si="201"/>
        <v>0</v>
      </c>
      <c r="BX59" s="195" t="b">
        <f>BX60=BT60</f>
        <v>1</v>
      </c>
      <c r="BY59" s="97"/>
      <c r="BZ59" s="74">
        <f>SUM(BZ48:BZ58)</f>
        <v>2675915</v>
      </c>
      <c r="CA59" s="75">
        <f>SUM(CA48:CA58)</f>
        <v>340364.5</v>
      </c>
      <c r="CB59" s="75">
        <f>SUM(CB48:CB58)</f>
        <v>2335480.5</v>
      </c>
      <c r="CC59" s="75">
        <f>SUM(CC48:CC58)</f>
        <v>2335480.5</v>
      </c>
      <c r="CD59" s="15">
        <f>(BZ59-CC59)/BZ59</f>
        <v>0.1272217166838259</v>
      </c>
      <c r="CE59" s="75">
        <f>SUM(CE48:CE58)</f>
        <v>0</v>
      </c>
      <c r="CF59" s="62">
        <f t="shared" si="202"/>
        <v>0</v>
      </c>
      <c r="CG59" s="195" t="b">
        <f>CG60=CC60</f>
        <v>1</v>
      </c>
      <c r="CH59" s="97"/>
      <c r="CI59" s="74">
        <f>SUM(CI48:CI58)</f>
        <v>0</v>
      </c>
      <c r="CJ59" s="75">
        <f>SUM(CJ48:CJ58)</f>
        <v>0</v>
      </c>
      <c r="CK59" s="75">
        <f>SUM(CK48:CK58)</f>
        <v>0</v>
      </c>
      <c r="CL59" s="75">
        <f>SUM(CL48:CL58)</f>
        <v>0</v>
      </c>
      <c r="CM59" s="15" t="e">
        <f>(CI59-CL59)/CI59</f>
        <v>#DIV/0!</v>
      </c>
      <c r="CN59" s="75">
        <f>SUM(CN48:CN58)</f>
        <v>0</v>
      </c>
      <c r="CO59" s="62" t="e">
        <f t="shared" si="203"/>
        <v>#DIV/0!</v>
      </c>
      <c r="CP59" s="97"/>
      <c r="CQ59" s="74">
        <f>SUM(CQ48:CQ58)</f>
        <v>0</v>
      </c>
      <c r="CR59" s="75">
        <f>SUM(CR48:CR58)</f>
        <v>0</v>
      </c>
      <c r="CS59" s="75">
        <f>SUM(CS48:CS58)</f>
        <v>0</v>
      </c>
      <c r="CT59" s="75">
        <f>SUM(CT48:CT58)</f>
        <v>0</v>
      </c>
      <c r="CU59" s="15" t="e">
        <f>(CQ59-CT59)/CQ59</f>
        <v>#DIV/0!</v>
      </c>
      <c r="CV59" s="75">
        <f>SUM(CV48:CV58)</f>
        <v>0</v>
      </c>
      <c r="CW59" s="62" t="e">
        <f t="shared" si="204"/>
        <v>#DIV/0!</v>
      </c>
      <c r="CX59" s="97"/>
      <c r="CY59" s="74">
        <f>SUM(CY48:CY58)</f>
        <v>0</v>
      </c>
      <c r="CZ59" s="75">
        <f>SUM(CZ48:CZ58)</f>
        <v>0</v>
      </c>
      <c r="DA59" s="75">
        <f>SUM(DA48:DA58)</f>
        <v>0</v>
      </c>
      <c r="DB59" s="75">
        <f>SUM(DB48:DB58)</f>
        <v>0</v>
      </c>
      <c r="DC59" s="15" t="e">
        <f>(CY59-DB59)/CY59</f>
        <v>#DIV/0!</v>
      </c>
      <c r="DD59" s="75">
        <f>SUM(DD48:DD58)</f>
        <v>0</v>
      </c>
      <c r="DE59" s="62" t="e">
        <f t="shared" si="205"/>
        <v>#DIV/0!</v>
      </c>
      <c r="DF59" s="18"/>
      <c r="DG59" s="287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</row>
    <row r="60" spans="1:135" s="21" customFormat="1" ht="13" customHeight="1">
      <c r="A60" s="188">
        <v>0.39</v>
      </c>
      <c r="B60" s="165" t="s">
        <v>19</v>
      </c>
      <c r="C60" s="186">
        <f>C59*$A$60</f>
        <v>8820307.8098200001</v>
      </c>
      <c r="D60" s="186">
        <f t="shared" ref="D60:E60" si="255">D59*$A$60</f>
        <v>1642712.8185000003</v>
      </c>
      <c r="E60" s="186">
        <f t="shared" si="255"/>
        <v>7176430.0613200003</v>
      </c>
      <c r="F60" s="186">
        <f>F59*$A$60</f>
        <v>7176430.0613200003</v>
      </c>
      <c r="G60" s="155"/>
      <c r="H60" s="187">
        <f>H59*A60</f>
        <v>38220</v>
      </c>
      <c r="I60" s="155"/>
      <c r="J60" s="191">
        <f>SUM(J48:J58)</f>
        <v>7176430.0613199994</v>
      </c>
      <c r="K60" s="91"/>
      <c r="L60" s="219">
        <f>L59*$A$60</f>
        <v>1683999.329415</v>
      </c>
      <c r="M60" s="187">
        <f t="shared" ref="M60" si="256">M59*$A$60</f>
        <v>169476.13800000001</v>
      </c>
      <c r="N60" s="187">
        <f>N59*$A$60</f>
        <v>945547.68301500008</v>
      </c>
      <c r="O60" s="187">
        <f t="shared" ref="O60" si="257">O59*$A$60</f>
        <v>945547.68301500008</v>
      </c>
      <c r="P60" s="217"/>
      <c r="Q60" s="187">
        <f>Q59*J60</f>
        <v>703290146009.35999</v>
      </c>
      <c r="R60" s="220"/>
      <c r="S60" s="91"/>
      <c r="T60" s="219">
        <f>T59*$A$60</f>
        <v>812591.58240000007</v>
      </c>
      <c r="U60" s="187">
        <f t="shared" ref="U60" si="258">U59*$A$60</f>
        <v>200748.69750000001</v>
      </c>
      <c r="V60" s="187">
        <f t="shared" ref="V60" si="259">V59*$A$60</f>
        <v>611842.88490000006</v>
      </c>
      <c r="W60" s="187">
        <f t="shared" ref="W60" si="260">W59*$A$60</f>
        <v>611842.88490000006</v>
      </c>
      <c r="X60" s="217"/>
      <c r="Y60" s="187">
        <f>Y59*R60</f>
        <v>0</v>
      </c>
      <c r="Z60" s="220"/>
      <c r="AA60" s="91"/>
      <c r="AB60" s="219">
        <f>AB59*$A$60</f>
        <v>1479766.829905</v>
      </c>
      <c r="AC60" s="187">
        <f t="shared" ref="AC60" si="261">AC59*$A$60</f>
        <v>254676.70799999998</v>
      </c>
      <c r="AD60" s="187">
        <f t="shared" ref="AD60" si="262">AD59*$A$60</f>
        <v>1225090.1219049999</v>
      </c>
      <c r="AE60" s="187">
        <f t="shared" ref="AE60" si="263">AE59*$A$60</f>
        <v>1225090.1219049999</v>
      </c>
      <c r="AF60" s="217"/>
      <c r="AG60" s="187">
        <f>AG59*Z60</f>
        <v>0</v>
      </c>
      <c r="AH60" s="220"/>
      <c r="AI60" s="91"/>
      <c r="AJ60" s="219">
        <f>AJ59*$A$60</f>
        <v>943547.06550000014</v>
      </c>
      <c r="AK60" s="187">
        <f t="shared" ref="AK60" si="264">AK59*$A$60</f>
        <v>241892.82</v>
      </c>
      <c r="AL60" s="187">
        <f t="shared" ref="AL60" si="265">AL59*$A$60</f>
        <v>701654.24549999996</v>
      </c>
      <c r="AM60" s="187">
        <f t="shared" ref="AM60" si="266">AM59*$A$60</f>
        <v>701654.24549999996</v>
      </c>
      <c r="AN60" s="217"/>
      <c r="AO60" s="187">
        <f>AO59*AH60</f>
        <v>0</v>
      </c>
      <c r="AP60" s="220"/>
      <c r="AQ60" s="91"/>
      <c r="AR60" s="219">
        <f>AR59*$A$60</f>
        <v>943547.06550000014</v>
      </c>
      <c r="AS60" s="187">
        <f t="shared" ref="AS60" si="267">AS59*$A$60</f>
        <v>241892.82</v>
      </c>
      <c r="AT60" s="187">
        <f t="shared" ref="AT60" si="268">AT59*$A$60</f>
        <v>701654.24549999996</v>
      </c>
      <c r="AU60" s="187">
        <f t="shared" ref="AU60" si="269">AU59*$A$60</f>
        <v>701654.24549999996</v>
      </c>
      <c r="AV60" s="217"/>
      <c r="AW60" s="187">
        <f>AW59*AP60</f>
        <v>0</v>
      </c>
      <c r="AX60" s="220"/>
      <c r="AY60" s="91"/>
      <c r="AZ60" s="219">
        <f>AZ59*$A$60</f>
        <v>943547.06550000014</v>
      </c>
      <c r="BA60" s="187">
        <f t="shared" ref="BA60" si="270">BA59*$A$60</f>
        <v>241892.82</v>
      </c>
      <c r="BB60" s="187">
        <f t="shared" ref="BB60" si="271">BB59*$A$60</f>
        <v>701654.24549999996</v>
      </c>
      <c r="BC60" s="187">
        <f t="shared" ref="BC60" si="272">BC59*$A$60</f>
        <v>701654.24549999996</v>
      </c>
      <c r="BD60" s="217"/>
      <c r="BE60" s="187">
        <f>BE59*AX60</f>
        <v>0</v>
      </c>
      <c r="BF60" s="220"/>
      <c r="BG60" s="91"/>
      <c r="BH60" s="219">
        <f>BH59*$A$60</f>
        <v>868628.28</v>
      </c>
      <c r="BI60" s="187">
        <f t="shared" ref="BI60" si="273">BI59*$A$60</f>
        <v>78823.290000000008</v>
      </c>
      <c r="BJ60" s="187">
        <f t="shared" ref="BJ60" si="274">BJ59*$A$60</f>
        <v>789804.99</v>
      </c>
      <c r="BK60" s="187">
        <f t="shared" ref="BK60" si="275">BK59*$A$60</f>
        <v>789804.99</v>
      </c>
      <c r="BL60" s="217"/>
      <c r="BM60" s="187">
        <f>BM59*BF60</f>
        <v>0</v>
      </c>
      <c r="BN60" s="220"/>
      <c r="BO60" s="191">
        <f>SUM(BO48:BO58)</f>
        <v>789804.99</v>
      </c>
      <c r="BP60" s="91"/>
      <c r="BQ60" s="219">
        <f>BQ59*$A$60</f>
        <v>668911.62</v>
      </c>
      <c r="BR60" s="187">
        <f t="shared" ref="BR60" si="276">BR59*$A$60</f>
        <v>80567.37000000001</v>
      </c>
      <c r="BS60" s="187">
        <f t="shared" ref="BS60" si="277">BS59*$A$60</f>
        <v>588344.25</v>
      </c>
      <c r="BT60" s="187">
        <f>BT59*$A$60</f>
        <v>588344.25</v>
      </c>
      <c r="BU60" s="217"/>
      <c r="BV60" s="187">
        <f>BV59*BN60</f>
        <v>0</v>
      </c>
      <c r="BW60" s="220"/>
      <c r="BX60" s="191">
        <f>SUM(BX48:BX58)</f>
        <v>588344.25</v>
      </c>
      <c r="BY60" s="91"/>
      <c r="BZ60" s="219">
        <f>BZ59*$A$60</f>
        <v>1043606.8500000001</v>
      </c>
      <c r="CA60" s="187">
        <f t="shared" ref="CA60" si="278">CA59*$A$60</f>
        <v>132742.155</v>
      </c>
      <c r="CB60" s="187">
        <f t="shared" ref="CB60" si="279">CB59*$A$60</f>
        <v>910837.39500000002</v>
      </c>
      <c r="CC60" s="187">
        <f t="shared" ref="CC60" si="280">CC59*$A$60</f>
        <v>910837.39500000002</v>
      </c>
      <c r="CD60" s="217"/>
      <c r="CE60" s="187">
        <f>CE59*A60</f>
        <v>0</v>
      </c>
      <c r="CF60" s="220"/>
      <c r="CG60" s="191">
        <f>SUM(CG48:CG58)</f>
        <v>910837.39500000002</v>
      </c>
      <c r="CH60" s="91"/>
      <c r="CI60" s="219">
        <f>CI59*$A$60</f>
        <v>0</v>
      </c>
      <c r="CJ60" s="187">
        <f t="shared" ref="CJ60" si="281">CJ59*$A$60</f>
        <v>0</v>
      </c>
      <c r="CK60" s="187">
        <f t="shared" ref="CK60" si="282">CK59*$A$60</f>
        <v>0</v>
      </c>
      <c r="CL60" s="187">
        <f t="shared" ref="CL60" si="283">CL59*$A$60</f>
        <v>0</v>
      </c>
      <c r="CM60" s="217"/>
      <c r="CN60" s="187">
        <f>CN59*CF60</f>
        <v>0</v>
      </c>
      <c r="CO60" s="220"/>
      <c r="CP60" s="91"/>
      <c r="CQ60" s="219">
        <f>CQ59*$A$60</f>
        <v>0</v>
      </c>
      <c r="CR60" s="187">
        <f t="shared" ref="CR60" si="284">CR59*$A$60</f>
        <v>0</v>
      </c>
      <c r="CS60" s="187">
        <f t="shared" ref="CS60" si="285">CS59*$A$60</f>
        <v>0</v>
      </c>
      <c r="CT60" s="187">
        <f t="shared" ref="CT60" si="286">CT59*$A$60</f>
        <v>0</v>
      </c>
      <c r="CU60" s="217"/>
      <c r="CV60" s="187">
        <f>CV59*CO60</f>
        <v>0</v>
      </c>
      <c r="CW60" s="220"/>
      <c r="CX60" s="91"/>
      <c r="CY60" s="219">
        <f>CY59*$A$60</f>
        <v>0</v>
      </c>
      <c r="CZ60" s="187">
        <f t="shared" ref="CZ60" si="287">CZ59*$A$60</f>
        <v>0</v>
      </c>
      <c r="DA60" s="187">
        <f t="shared" ref="DA60" si="288">DA59*$A$60</f>
        <v>0</v>
      </c>
      <c r="DB60" s="187">
        <f t="shared" ref="DB60" si="289">DB59*$A$60</f>
        <v>0</v>
      </c>
      <c r="DC60" s="217"/>
      <c r="DD60" s="187">
        <f>DD59*CW60</f>
        <v>0</v>
      </c>
      <c r="DE60" s="220"/>
      <c r="DF60" s="8"/>
      <c r="DG60" s="287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</row>
    <row r="61" spans="1:135" s="11" customFormat="1" ht="13.15" customHeight="1">
      <c r="A61" s="329" t="s">
        <v>23</v>
      </c>
      <c r="B61" s="48" t="s">
        <v>12</v>
      </c>
      <c r="C61" s="125">
        <f>SUM(L61,T61,AB61,AJ61,AR61,AZ61,BH61,BQ61,BZ61,CI61,CQ61,CY61)</f>
        <v>0</v>
      </c>
      <c r="D61" s="125">
        <f t="shared" ref="D61:D71" si="290">SUM(M61,U61,AC61,AK61,AS61,BA61,BI61,BR61,CA61,CJ61,CR61,CZ61)</f>
        <v>0</v>
      </c>
      <c r="E61" s="125">
        <f>SUM(N61,V61,AD61,AL61,AT61,BB61,BJ61,BS61,CB61,CK61,CS61,DA61)</f>
        <v>0</v>
      </c>
      <c r="F61" s="125">
        <f t="shared" ref="F61:F71" si="291">SUM(O61,W61,AE61,AM61,AU61,BC61,BK61,BT61,CC61,CL61,CT61,DB61)</f>
        <v>0</v>
      </c>
      <c r="G61" s="14" t="e">
        <f>D61/C61</f>
        <v>#DIV/0!</v>
      </c>
      <c r="H61" s="125">
        <f>SUM(Q61,Y61,AG61,AO61,AW61,BE61,BM61,BV61,CE61,CN61,CV61,DD61)</f>
        <v>0</v>
      </c>
      <c r="I61" s="14" t="e">
        <f>H61/C61</f>
        <v>#DIV/0!</v>
      </c>
      <c r="J61" s="194">
        <f>F61*$A$73</f>
        <v>0</v>
      </c>
      <c r="K61" s="98"/>
      <c r="L61" s="57">
        <v>0</v>
      </c>
      <c r="M61" s="20">
        <v>0</v>
      </c>
      <c r="N61" s="20">
        <v>0</v>
      </c>
      <c r="O61" s="20">
        <v>0</v>
      </c>
      <c r="P61" s="52" t="e">
        <f>M61/L61</f>
        <v>#DIV/0!</v>
      </c>
      <c r="Q61" s="63">
        <v>0</v>
      </c>
      <c r="R61" s="53" t="e">
        <f t="shared" si="193"/>
        <v>#DIV/0!</v>
      </c>
      <c r="S61" s="98">
        <v>0</v>
      </c>
      <c r="T61" s="65">
        <v>0</v>
      </c>
      <c r="U61" s="63">
        <v>0</v>
      </c>
      <c r="V61" s="63">
        <v>0</v>
      </c>
      <c r="W61" s="63">
        <v>0</v>
      </c>
      <c r="X61" s="66" t="e">
        <f>U61/T61</f>
        <v>#DIV/0!</v>
      </c>
      <c r="Y61" s="64">
        <v>0</v>
      </c>
      <c r="Z61" s="17" t="e">
        <f t="shared" si="194"/>
        <v>#DIV/0!</v>
      </c>
      <c r="AA61" s="98">
        <v>0</v>
      </c>
      <c r="AB61" s="65">
        <v>0</v>
      </c>
      <c r="AC61" s="63">
        <v>0</v>
      </c>
      <c r="AD61" s="63">
        <v>0</v>
      </c>
      <c r="AE61" s="63">
        <v>0</v>
      </c>
      <c r="AF61" s="66" t="e">
        <f>AC61/AB61</f>
        <v>#DIV/0!</v>
      </c>
      <c r="AG61" s="63">
        <v>0</v>
      </c>
      <c r="AH61" s="67" t="e">
        <f t="shared" si="195"/>
        <v>#DIV/0!</v>
      </c>
      <c r="AI61" s="98"/>
      <c r="AJ61" s="57">
        <v>0</v>
      </c>
      <c r="AK61" s="20">
        <f t="shared" ref="AK61:AK68" si="292">AJ61-AL61</f>
        <v>0</v>
      </c>
      <c r="AL61" s="20">
        <v>0</v>
      </c>
      <c r="AM61" s="20">
        <v>0</v>
      </c>
      <c r="AN61" s="52" t="e">
        <f t="shared" ref="AN61:AN71" si="293">AK61/AJ61</f>
        <v>#DIV/0!</v>
      </c>
      <c r="AO61" s="20">
        <v>0</v>
      </c>
      <c r="AP61" s="53" t="e">
        <f t="shared" si="180"/>
        <v>#DIV/0!</v>
      </c>
      <c r="AQ61" s="98"/>
      <c r="AR61" s="57">
        <v>0</v>
      </c>
      <c r="AS61" s="20">
        <f t="shared" ref="AS61:AS71" si="294">AR61-AT61</f>
        <v>0</v>
      </c>
      <c r="AT61" s="20">
        <v>0</v>
      </c>
      <c r="AU61" s="20">
        <v>0</v>
      </c>
      <c r="AV61" s="52" t="e">
        <f t="shared" ref="AV61:AV71" si="295">AS61/AR61</f>
        <v>#DIV/0!</v>
      </c>
      <c r="AW61" s="20">
        <v>0</v>
      </c>
      <c r="AX61" s="53" t="e">
        <f t="shared" si="196"/>
        <v>#DIV/0!</v>
      </c>
      <c r="AY61" s="98"/>
      <c r="AZ61" s="57">
        <v>0</v>
      </c>
      <c r="BA61" s="20">
        <v>0</v>
      </c>
      <c r="BB61" s="20">
        <f>AZ61-BA61</f>
        <v>0</v>
      </c>
      <c r="BC61" s="20">
        <v>0</v>
      </c>
      <c r="BD61" s="52" t="e">
        <f t="shared" ref="BD61:BD71" si="296">BA61/AZ61</f>
        <v>#DIV/0!</v>
      </c>
      <c r="BE61" s="20">
        <v>0</v>
      </c>
      <c r="BF61" s="53" t="e">
        <f t="shared" si="197"/>
        <v>#DIV/0!</v>
      </c>
      <c r="BG61" s="98"/>
      <c r="BH61" s="57">
        <v>0</v>
      </c>
      <c r="BI61" s="20">
        <v>0</v>
      </c>
      <c r="BJ61" s="20">
        <v>0</v>
      </c>
      <c r="BK61" s="20">
        <v>0</v>
      </c>
      <c r="BL61" s="52" t="e">
        <f t="shared" ref="BL61:BL71" si="297">BI61/BH61</f>
        <v>#DIV/0!</v>
      </c>
      <c r="BM61" s="20">
        <v>0</v>
      </c>
      <c r="BN61" s="53" t="e">
        <f t="shared" si="199"/>
        <v>#DIV/0!</v>
      </c>
      <c r="BO61" s="194">
        <f>BK61*$A$73</f>
        <v>0</v>
      </c>
      <c r="BP61" s="98"/>
      <c r="BQ61" s="57">
        <v>0</v>
      </c>
      <c r="BR61" s="20">
        <v>0</v>
      </c>
      <c r="BS61" s="20">
        <v>0</v>
      </c>
      <c r="BT61" s="20">
        <v>0</v>
      </c>
      <c r="BU61" s="52" t="e">
        <f t="shared" ref="BU61:BU71" si="298">BR61/BQ61</f>
        <v>#DIV/0!</v>
      </c>
      <c r="BV61" s="20">
        <v>0</v>
      </c>
      <c r="BW61" s="53" t="e">
        <f t="shared" si="201"/>
        <v>#DIV/0!</v>
      </c>
      <c r="BX61" s="294">
        <f>BT61*$A$73</f>
        <v>0</v>
      </c>
      <c r="BY61" s="98"/>
      <c r="BZ61" s="57">
        <v>0</v>
      </c>
      <c r="CA61" s="20">
        <f>BZ61-CB61</f>
        <v>0</v>
      </c>
      <c r="CB61" s="20">
        <v>0</v>
      </c>
      <c r="CC61" s="20">
        <v>0</v>
      </c>
      <c r="CD61" s="52" t="e">
        <f t="shared" ref="CD61:CD71" si="299">CA61/BZ61</f>
        <v>#DIV/0!</v>
      </c>
      <c r="CE61" s="63">
        <v>0</v>
      </c>
      <c r="CF61" s="53" t="e">
        <f t="shared" si="202"/>
        <v>#DIV/0!</v>
      </c>
      <c r="CG61" s="294">
        <f>CC61*$A$73</f>
        <v>0</v>
      </c>
      <c r="CH61" s="98"/>
      <c r="CI61" s="251"/>
      <c r="CJ61" s="252"/>
      <c r="CK61" s="252"/>
      <c r="CL61" s="252"/>
      <c r="CM61" s="111" t="e">
        <f t="shared" ref="CM61:CM71" si="300">CJ61/CI61</f>
        <v>#DIV/0!</v>
      </c>
      <c r="CN61" s="253"/>
      <c r="CO61" s="113" t="e">
        <f t="shared" si="203"/>
        <v>#DIV/0!</v>
      </c>
      <c r="CP61" s="98"/>
      <c r="CQ61" s="251"/>
      <c r="CR61" s="252"/>
      <c r="CS61" s="252"/>
      <c r="CT61" s="252"/>
      <c r="CU61" s="111" t="e">
        <f t="shared" ref="CU61:CU71" si="301">CR61/CQ61</f>
        <v>#DIV/0!</v>
      </c>
      <c r="CV61" s="253"/>
      <c r="CW61" s="113" t="e">
        <f t="shared" si="204"/>
        <v>#DIV/0!</v>
      </c>
      <c r="CX61" s="98"/>
      <c r="CY61" s="251"/>
      <c r="CZ61" s="252"/>
      <c r="DA61" s="252"/>
      <c r="DB61" s="252"/>
      <c r="DC61" s="111" t="e">
        <f t="shared" ref="DC61:DC71" si="302">CZ61/CY61</f>
        <v>#DIV/0!</v>
      </c>
      <c r="DD61" s="253"/>
      <c r="DE61" s="113" t="e">
        <f t="shared" si="205"/>
        <v>#DIV/0!</v>
      </c>
      <c r="DF61" s="9"/>
      <c r="DG61" s="290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</row>
    <row r="62" spans="1:135" s="11" customFormat="1" ht="13.15" customHeight="1">
      <c r="A62" s="330"/>
      <c r="B62" s="49" t="s">
        <v>13</v>
      </c>
      <c r="C62" s="125">
        <f>SUM(L62,T62,AB62,AJ62,AR62,AZ62,BH62,BQ62,BZ62,CI62,CQ62,CY62)</f>
        <v>6138162.4500000011</v>
      </c>
      <c r="D62" s="125">
        <f>SUM(M62,U62,AC62,AK62,AS62,BA62,BI62,BR62,CA62,CJ62,CR62,CZ62)</f>
        <v>785419.75</v>
      </c>
      <c r="E62" s="125">
        <f>SUM(N62,V62,AD62,AL62,AT62,BB62,BJ62,BS62,CB62,CK62,CS62,DA62)</f>
        <v>5300620.6999999993</v>
      </c>
      <c r="F62" s="125">
        <f t="shared" si="291"/>
        <v>5300620.6999999993</v>
      </c>
      <c r="G62" s="14">
        <f>D62/C62</f>
        <v>0.12795682036730713</v>
      </c>
      <c r="H62" s="125">
        <f t="shared" ref="H62:H69" si="303">SUM(Q62,Y62,AG62,AO62,AW62,BE62,BM62,BV62,CE62,CN62,CV62,DD62)</f>
        <v>267948</v>
      </c>
      <c r="I62" s="14">
        <f t="shared" ref="I62" si="304">H62/C62</f>
        <v>4.3652803617147663E-2</v>
      </c>
      <c r="J62" s="194">
        <f>F62*$A$73</f>
        <v>1484173.7959999999</v>
      </c>
      <c r="K62" s="98"/>
      <c r="L62" s="57">
        <v>566629.75</v>
      </c>
      <c r="M62" s="20">
        <v>0</v>
      </c>
      <c r="N62" s="20">
        <v>566629.75</v>
      </c>
      <c r="O62" s="20">
        <v>566629.75</v>
      </c>
      <c r="P62" s="52">
        <f>M62/L62</f>
        <v>0</v>
      </c>
      <c r="Q62" s="63">
        <v>0</v>
      </c>
      <c r="R62" s="53">
        <f t="shared" si="193"/>
        <v>0</v>
      </c>
      <c r="S62" s="98">
        <v>681175.75</v>
      </c>
      <c r="T62" s="65">
        <v>681175.75</v>
      </c>
      <c r="U62" s="63">
        <v>681175.75</v>
      </c>
      <c r="V62" s="63">
        <v>0</v>
      </c>
      <c r="W62" s="63">
        <v>0</v>
      </c>
      <c r="X62" s="66">
        <f>U62/T62</f>
        <v>1</v>
      </c>
      <c r="Y62" s="64">
        <v>0</v>
      </c>
      <c r="Z62" s="17">
        <f t="shared" si="194"/>
        <v>0</v>
      </c>
      <c r="AA62" s="98">
        <v>-267948</v>
      </c>
      <c r="AB62" s="65">
        <v>681175.75</v>
      </c>
      <c r="AC62" s="63">
        <v>0</v>
      </c>
      <c r="AD62" s="63">
        <f>AB62</f>
        <v>681175.75</v>
      </c>
      <c r="AE62" s="63">
        <f>AB62</f>
        <v>681175.75</v>
      </c>
      <c r="AF62" s="66">
        <f>AC62/AB62</f>
        <v>0</v>
      </c>
      <c r="AG62" s="63">
        <v>267948</v>
      </c>
      <c r="AH62" s="67">
        <f t="shared" si="195"/>
        <v>0.39336103788192694</v>
      </c>
      <c r="AI62" s="98"/>
      <c r="AJ62" s="57">
        <v>949123.75</v>
      </c>
      <c r="AK62" s="20">
        <f t="shared" si="292"/>
        <v>0</v>
      </c>
      <c r="AL62" s="20">
        <v>949123.75</v>
      </c>
      <c r="AM62" s="20">
        <v>949123.75</v>
      </c>
      <c r="AN62" s="52">
        <f t="shared" si="293"/>
        <v>0</v>
      </c>
      <c r="AO62" s="20">
        <v>0</v>
      </c>
      <c r="AP62" s="53">
        <f t="shared" si="180"/>
        <v>0</v>
      </c>
      <c r="AQ62" s="98"/>
      <c r="AR62" s="57">
        <v>663617</v>
      </c>
      <c r="AS62" s="20">
        <f t="shared" si="294"/>
        <v>0</v>
      </c>
      <c r="AT62" s="20">
        <v>663617</v>
      </c>
      <c r="AU62" s="20">
        <v>663617</v>
      </c>
      <c r="AV62" s="52">
        <f t="shared" si="295"/>
        <v>0</v>
      </c>
      <c r="AW62" s="20">
        <v>0</v>
      </c>
      <c r="AX62" s="53">
        <f t="shared" si="196"/>
        <v>0</v>
      </c>
      <c r="AY62" s="98"/>
      <c r="AZ62" s="57">
        <v>788828.48</v>
      </c>
      <c r="BA62" s="20">
        <v>52122</v>
      </c>
      <c r="BB62" s="20">
        <f t="shared" ref="BB62:BB71" si="305">AZ62-BA62</f>
        <v>736706.48</v>
      </c>
      <c r="BC62" s="20">
        <v>736706.48</v>
      </c>
      <c r="BD62" s="52">
        <f t="shared" si="296"/>
        <v>6.6075200530285108E-2</v>
      </c>
      <c r="BE62" s="20">
        <v>0</v>
      </c>
      <c r="BF62" s="53">
        <f t="shared" si="197"/>
        <v>0</v>
      </c>
      <c r="BG62" s="98"/>
      <c r="BH62" s="57">
        <v>788828.48</v>
      </c>
      <c r="BI62" s="20">
        <v>52122</v>
      </c>
      <c r="BJ62" s="20">
        <v>736706.48</v>
      </c>
      <c r="BK62" s="20">
        <v>736706.48</v>
      </c>
      <c r="BL62" s="52">
        <f t="shared" si="297"/>
        <v>6.6075200530285108E-2</v>
      </c>
      <c r="BM62" s="20">
        <v>0</v>
      </c>
      <c r="BN62" s="53">
        <f>BM62/BH62</f>
        <v>0</v>
      </c>
      <c r="BO62" s="194">
        <f>BK62*$A$73</f>
        <v>206277.8144</v>
      </c>
      <c r="BP62" s="98"/>
      <c r="BQ62" s="57">
        <v>788828.48</v>
      </c>
      <c r="BR62" s="20">
        <v>0</v>
      </c>
      <c r="BS62" s="20">
        <v>736706.48</v>
      </c>
      <c r="BT62" s="20">
        <v>736706.48</v>
      </c>
      <c r="BU62" s="52">
        <f t="shared" si="298"/>
        <v>0</v>
      </c>
      <c r="BV62" s="20">
        <v>0</v>
      </c>
      <c r="BW62" s="53">
        <f t="shared" si="201"/>
        <v>0</v>
      </c>
      <c r="BX62" s="294">
        <f>BT62*$A$73</f>
        <v>206277.8144</v>
      </c>
      <c r="BY62" s="98"/>
      <c r="BZ62" s="57">
        <v>229955.01</v>
      </c>
      <c r="CA62" s="20">
        <f t="shared" ref="CA62:CA70" si="306">BZ62-CB62</f>
        <v>0</v>
      </c>
      <c r="CB62" s="20">
        <v>229955.01</v>
      </c>
      <c r="CC62" s="20">
        <v>229955.01</v>
      </c>
      <c r="CD62" s="52">
        <f t="shared" si="299"/>
        <v>0</v>
      </c>
      <c r="CE62" s="63">
        <v>0</v>
      </c>
      <c r="CF62" s="53">
        <f t="shared" si="202"/>
        <v>0</v>
      </c>
      <c r="CG62" s="294">
        <f>CC62*$A$73</f>
        <v>64387.402800000011</v>
      </c>
      <c r="CH62" s="98"/>
      <c r="CI62" s="251"/>
      <c r="CJ62" s="252"/>
      <c r="CK62" s="252"/>
      <c r="CL62" s="252"/>
      <c r="CM62" s="111" t="e">
        <f t="shared" si="300"/>
        <v>#DIV/0!</v>
      </c>
      <c r="CN62" s="253"/>
      <c r="CO62" s="113" t="e">
        <f t="shared" si="203"/>
        <v>#DIV/0!</v>
      </c>
      <c r="CP62" s="98"/>
      <c r="CQ62" s="251"/>
      <c r="CR62" s="252"/>
      <c r="CS62" s="252"/>
      <c r="CT62" s="252"/>
      <c r="CU62" s="111" t="e">
        <f t="shared" si="301"/>
        <v>#DIV/0!</v>
      </c>
      <c r="CV62" s="253"/>
      <c r="CW62" s="113" t="e">
        <f t="shared" si="204"/>
        <v>#DIV/0!</v>
      </c>
      <c r="CX62" s="98"/>
      <c r="CY62" s="251"/>
      <c r="CZ62" s="252"/>
      <c r="DA62" s="252"/>
      <c r="DB62" s="252"/>
      <c r="DC62" s="111" t="e">
        <f t="shared" si="302"/>
        <v>#DIV/0!</v>
      </c>
      <c r="DD62" s="253"/>
      <c r="DE62" s="113" t="e">
        <f t="shared" si="205"/>
        <v>#DIV/0!</v>
      </c>
      <c r="DF62" s="9"/>
      <c r="DG62" s="290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</row>
    <row r="63" spans="1:135" s="11" customFormat="1" ht="13.15" customHeight="1">
      <c r="A63" s="330"/>
      <c r="B63" s="49" t="s">
        <v>62</v>
      </c>
      <c r="C63" s="125"/>
      <c r="D63" s="125"/>
      <c r="E63" s="125"/>
      <c r="F63" s="125"/>
      <c r="G63" s="14"/>
      <c r="H63" s="125"/>
      <c r="I63" s="14"/>
      <c r="J63" s="194"/>
      <c r="K63" s="98"/>
      <c r="L63" s="57"/>
      <c r="M63" s="20"/>
      <c r="N63" s="20"/>
      <c r="O63" s="20"/>
      <c r="P63" s="52"/>
      <c r="Q63" s="63"/>
      <c r="R63" s="53"/>
      <c r="S63" s="98"/>
      <c r="T63" s="65"/>
      <c r="U63" s="63"/>
      <c r="V63" s="63"/>
      <c r="W63" s="63"/>
      <c r="X63" s="66"/>
      <c r="Y63" s="64"/>
      <c r="Z63" s="17"/>
      <c r="AA63" s="98"/>
      <c r="AB63" s="65"/>
      <c r="AC63" s="63"/>
      <c r="AD63" s="63"/>
      <c r="AE63" s="63"/>
      <c r="AF63" s="66"/>
      <c r="AG63" s="63"/>
      <c r="AH63" s="67"/>
      <c r="AI63" s="98"/>
      <c r="AJ63" s="57"/>
      <c r="AK63" s="20"/>
      <c r="AL63" s="20"/>
      <c r="AM63" s="20"/>
      <c r="AN63" s="52"/>
      <c r="AO63" s="20"/>
      <c r="AP63" s="53"/>
      <c r="AQ63" s="98"/>
      <c r="AR63" s="57"/>
      <c r="AS63" s="20"/>
      <c r="AT63" s="20"/>
      <c r="AU63" s="20"/>
      <c r="AV63" s="52"/>
      <c r="AW63" s="20"/>
      <c r="AX63" s="53"/>
      <c r="AY63" s="98"/>
      <c r="AZ63" s="57"/>
      <c r="BA63" s="20"/>
      <c r="BB63" s="20"/>
      <c r="BC63" s="20"/>
      <c r="BD63" s="52"/>
      <c r="BE63" s="20"/>
      <c r="BF63" s="53"/>
      <c r="BG63" s="98"/>
      <c r="BH63" s="57"/>
      <c r="BI63" s="20"/>
      <c r="BJ63" s="20"/>
      <c r="BK63" s="20"/>
      <c r="BL63" s="52"/>
      <c r="BM63" s="20"/>
      <c r="BN63" s="53"/>
      <c r="BO63" s="194"/>
      <c r="BP63" s="98"/>
      <c r="BQ63" s="57"/>
      <c r="BR63" s="20"/>
      <c r="BS63" s="20"/>
      <c r="BT63" s="20"/>
      <c r="BU63" s="52"/>
      <c r="BV63" s="20"/>
      <c r="BW63" s="53"/>
      <c r="BX63" s="294"/>
      <c r="BY63" s="98"/>
      <c r="BZ63" s="57"/>
      <c r="CA63" s="20"/>
      <c r="CB63" s="20"/>
      <c r="CC63" s="20"/>
      <c r="CD63" s="52"/>
      <c r="CE63" s="63"/>
      <c r="CF63" s="53"/>
      <c r="CG63" s="294"/>
      <c r="CH63" s="98"/>
      <c r="CI63" s="251"/>
      <c r="CJ63" s="252"/>
      <c r="CK63" s="252"/>
      <c r="CL63" s="252"/>
      <c r="CM63" s="111"/>
      <c r="CN63" s="253"/>
      <c r="CO63" s="113"/>
      <c r="CP63" s="98"/>
      <c r="CQ63" s="251"/>
      <c r="CR63" s="252"/>
      <c r="CS63" s="252"/>
      <c r="CT63" s="252"/>
      <c r="CU63" s="111"/>
      <c r="CV63" s="253"/>
      <c r="CW63" s="113"/>
      <c r="CX63" s="98"/>
      <c r="CY63" s="251"/>
      <c r="CZ63" s="252"/>
      <c r="DA63" s="252"/>
      <c r="DB63" s="252"/>
      <c r="DC63" s="111"/>
      <c r="DD63" s="253"/>
      <c r="DE63" s="113"/>
      <c r="DF63" s="9"/>
      <c r="DG63" s="290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</row>
    <row r="64" spans="1:135" s="7" customFormat="1" ht="13" customHeight="1">
      <c r="A64" s="330"/>
      <c r="B64" s="49" t="s">
        <v>40</v>
      </c>
      <c r="C64" s="45"/>
      <c r="D64" s="45"/>
      <c r="E64" s="45"/>
      <c r="F64" s="45"/>
      <c r="G64" s="14"/>
      <c r="H64" s="45"/>
      <c r="I64" s="14"/>
      <c r="J64" s="190"/>
      <c r="K64" s="90"/>
      <c r="L64" s="51"/>
      <c r="M64" s="45"/>
      <c r="N64" s="45"/>
      <c r="O64" s="45"/>
      <c r="P64" s="52"/>
      <c r="Q64" s="45"/>
      <c r="R64" s="53"/>
      <c r="S64" s="90"/>
      <c r="T64" s="130"/>
      <c r="U64" s="131"/>
      <c r="V64" s="131"/>
      <c r="W64" s="131"/>
      <c r="X64" s="66"/>
      <c r="Y64" s="131"/>
      <c r="Z64" s="67"/>
      <c r="AA64" s="90"/>
      <c r="AB64" s="51"/>
      <c r="AC64" s="45"/>
      <c r="AD64" s="45"/>
      <c r="AE64" s="45"/>
      <c r="AF64" s="52"/>
      <c r="AG64" s="131"/>
      <c r="AH64" s="53"/>
      <c r="AI64" s="90"/>
      <c r="AJ64" s="130"/>
      <c r="AK64" s="131"/>
      <c r="AL64" s="131"/>
      <c r="AM64" s="131"/>
      <c r="AN64" s="66"/>
      <c r="AO64" s="131"/>
      <c r="AP64" s="67"/>
      <c r="AQ64" s="90"/>
      <c r="AR64" s="130"/>
      <c r="AS64" s="131"/>
      <c r="AT64" s="131"/>
      <c r="AU64" s="131"/>
      <c r="AV64" s="66"/>
      <c r="AW64" s="131"/>
      <c r="AX64" s="67"/>
      <c r="AY64" s="90"/>
      <c r="AZ64" s="130"/>
      <c r="BA64" s="131"/>
      <c r="BB64" s="131"/>
      <c r="BC64" s="131"/>
      <c r="BD64" s="66"/>
      <c r="BE64" s="131"/>
      <c r="BF64" s="67"/>
      <c r="BG64" s="90"/>
      <c r="BH64" s="51"/>
      <c r="BI64" s="45"/>
      <c r="BJ64" s="45"/>
      <c r="BK64" s="45"/>
      <c r="BL64" s="52"/>
      <c r="BM64" s="45"/>
      <c r="BN64" s="53"/>
      <c r="BO64" s="190"/>
      <c r="BP64" s="90"/>
      <c r="BQ64" s="130"/>
      <c r="BR64" s="131"/>
      <c r="BS64" s="131"/>
      <c r="BT64" s="131"/>
      <c r="BU64" s="66"/>
      <c r="BV64" s="131"/>
      <c r="BW64" s="67"/>
      <c r="BX64" s="294"/>
      <c r="BY64" s="90"/>
      <c r="BZ64" s="57">
        <v>41642.36</v>
      </c>
      <c r="CA64" s="20">
        <f t="shared" si="306"/>
        <v>1.0000000002037268E-2</v>
      </c>
      <c r="CB64" s="20">
        <v>41642.35</v>
      </c>
      <c r="CC64" s="20">
        <v>41642.35</v>
      </c>
      <c r="CD64" s="52">
        <f t="shared" si="299"/>
        <v>2.4014008817072969E-7</v>
      </c>
      <c r="CE64" s="63">
        <v>0</v>
      </c>
      <c r="CF64" s="53">
        <f t="shared" si="202"/>
        <v>0</v>
      </c>
      <c r="CG64" s="294">
        <f t="shared" ref="CG64:CG68" si="307">CC64*$A$73</f>
        <v>11659.858</v>
      </c>
      <c r="CH64" s="90"/>
      <c r="CI64" s="133"/>
      <c r="CJ64" s="134"/>
      <c r="CK64" s="134"/>
      <c r="CL64" s="134"/>
      <c r="CM64" s="121"/>
      <c r="CN64" s="134"/>
      <c r="CO64" s="122"/>
      <c r="CP64" s="90"/>
      <c r="CQ64" s="133"/>
      <c r="CR64" s="134"/>
      <c r="CS64" s="134"/>
      <c r="CT64" s="134"/>
      <c r="CU64" s="121"/>
      <c r="CV64" s="134"/>
      <c r="CW64" s="122"/>
      <c r="CX64" s="90"/>
      <c r="CY64" s="133"/>
      <c r="CZ64" s="134"/>
      <c r="DA64" s="134"/>
      <c r="DB64" s="134"/>
      <c r="DC64" s="121"/>
      <c r="DD64" s="134"/>
      <c r="DE64" s="122"/>
      <c r="DF64" s="6"/>
      <c r="DG64" s="289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</row>
    <row r="65" spans="1:135" s="7" customFormat="1" ht="13" customHeight="1">
      <c r="A65" s="330"/>
      <c r="B65" s="49" t="s">
        <v>41</v>
      </c>
      <c r="C65" s="45"/>
      <c r="D65" s="45"/>
      <c r="E65" s="45"/>
      <c r="F65" s="45"/>
      <c r="G65" s="14"/>
      <c r="H65" s="45"/>
      <c r="I65" s="14"/>
      <c r="J65" s="190"/>
      <c r="K65" s="90"/>
      <c r="L65" s="51"/>
      <c r="M65" s="45"/>
      <c r="N65" s="45"/>
      <c r="O65" s="45"/>
      <c r="P65" s="52"/>
      <c r="Q65" s="45"/>
      <c r="R65" s="53"/>
      <c r="S65" s="90"/>
      <c r="T65" s="130"/>
      <c r="U65" s="131"/>
      <c r="V65" s="131"/>
      <c r="W65" s="131"/>
      <c r="X65" s="66"/>
      <c r="Y65" s="131"/>
      <c r="Z65" s="67"/>
      <c r="AA65" s="90"/>
      <c r="AB65" s="51"/>
      <c r="AC65" s="45"/>
      <c r="AD65" s="45"/>
      <c r="AE65" s="45"/>
      <c r="AF65" s="52"/>
      <c r="AG65" s="131"/>
      <c r="AH65" s="53"/>
      <c r="AI65" s="90"/>
      <c r="AJ65" s="130"/>
      <c r="AK65" s="131"/>
      <c r="AL65" s="131"/>
      <c r="AM65" s="131"/>
      <c r="AN65" s="66"/>
      <c r="AO65" s="131"/>
      <c r="AP65" s="67"/>
      <c r="AQ65" s="90"/>
      <c r="AR65" s="130"/>
      <c r="AS65" s="131"/>
      <c r="AT65" s="131"/>
      <c r="AU65" s="131"/>
      <c r="AV65" s="66"/>
      <c r="AW65" s="131"/>
      <c r="AX65" s="67"/>
      <c r="AY65" s="90"/>
      <c r="AZ65" s="130"/>
      <c r="BA65" s="131"/>
      <c r="BB65" s="131"/>
      <c r="BC65" s="131"/>
      <c r="BD65" s="66"/>
      <c r="BE65" s="131"/>
      <c r="BF65" s="67"/>
      <c r="BG65" s="90"/>
      <c r="BH65" s="51"/>
      <c r="BI65" s="45"/>
      <c r="BJ65" s="45"/>
      <c r="BK65" s="45"/>
      <c r="BL65" s="52"/>
      <c r="BM65" s="45"/>
      <c r="BN65" s="53"/>
      <c r="BO65" s="190"/>
      <c r="BP65" s="90"/>
      <c r="BQ65" s="130"/>
      <c r="BR65" s="131"/>
      <c r="BS65" s="131"/>
      <c r="BT65" s="131"/>
      <c r="BU65" s="66"/>
      <c r="BV65" s="131"/>
      <c r="BW65" s="67"/>
      <c r="BX65" s="294"/>
      <c r="BY65" s="90"/>
      <c r="BZ65" s="57">
        <v>118693.61</v>
      </c>
      <c r="CA65" s="20">
        <v>0</v>
      </c>
      <c r="CB65" s="20">
        <v>118693.81</v>
      </c>
      <c r="CC65" s="20">
        <v>118693.81</v>
      </c>
      <c r="CD65" s="52">
        <f t="shared" si="299"/>
        <v>0</v>
      </c>
      <c r="CE65" s="63">
        <v>0</v>
      </c>
      <c r="CF65" s="53">
        <f t="shared" si="202"/>
        <v>0</v>
      </c>
      <c r="CG65" s="294">
        <f t="shared" si="307"/>
        <v>33234.266800000005</v>
      </c>
      <c r="CH65" s="90"/>
      <c r="CI65" s="133"/>
      <c r="CJ65" s="134"/>
      <c r="CK65" s="134"/>
      <c r="CL65" s="134"/>
      <c r="CM65" s="121"/>
      <c r="CN65" s="134"/>
      <c r="CO65" s="122"/>
      <c r="CP65" s="90"/>
      <c r="CQ65" s="133"/>
      <c r="CR65" s="134"/>
      <c r="CS65" s="134"/>
      <c r="CT65" s="134"/>
      <c r="CU65" s="121"/>
      <c r="CV65" s="134"/>
      <c r="CW65" s="122"/>
      <c r="CX65" s="90"/>
      <c r="CY65" s="133"/>
      <c r="CZ65" s="134"/>
      <c r="DA65" s="134"/>
      <c r="DB65" s="134"/>
      <c r="DC65" s="121"/>
      <c r="DD65" s="134"/>
      <c r="DE65" s="122"/>
      <c r="DF65" s="6"/>
      <c r="DG65" s="289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</row>
    <row r="66" spans="1:135" s="7" customFormat="1" ht="13" customHeight="1">
      <c r="A66" s="330"/>
      <c r="B66" s="49" t="s">
        <v>42</v>
      </c>
      <c r="C66" s="45"/>
      <c r="D66" s="45"/>
      <c r="E66" s="45"/>
      <c r="F66" s="45"/>
      <c r="G66" s="14"/>
      <c r="H66" s="45"/>
      <c r="I66" s="14"/>
      <c r="J66" s="190"/>
      <c r="K66" s="90"/>
      <c r="L66" s="51"/>
      <c r="M66" s="45"/>
      <c r="N66" s="45"/>
      <c r="O66" s="45"/>
      <c r="P66" s="52"/>
      <c r="Q66" s="45"/>
      <c r="R66" s="53"/>
      <c r="S66" s="90"/>
      <c r="T66" s="130"/>
      <c r="U66" s="131"/>
      <c r="V66" s="131"/>
      <c r="W66" s="131"/>
      <c r="X66" s="66"/>
      <c r="Y66" s="131"/>
      <c r="Z66" s="67"/>
      <c r="AA66" s="90"/>
      <c r="AB66" s="51"/>
      <c r="AC66" s="45"/>
      <c r="AD66" s="45"/>
      <c r="AE66" s="45"/>
      <c r="AF66" s="52"/>
      <c r="AG66" s="131"/>
      <c r="AH66" s="53"/>
      <c r="AI66" s="90"/>
      <c r="AJ66" s="130"/>
      <c r="AK66" s="131"/>
      <c r="AL66" s="131"/>
      <c r="AM66" s="131"/>
      <c r="AN66" s="66"/>
      <c r="AO66" s="131"/>
      <c r="AP66" s="67"/>
      <c r="AQ66" s="90"/>
      <c r="AR66" s="130"/>
      <c r="AS66" s="131"/>
      <c r="AT66" s="131"/>
      <c r="AU66" s="131"/>
      <c r="AV66" s="66"/>
      <c r="AW66" s="131"/>
      <c r="AX66" s="67"/>
      <c r="AY66" s="90"/>
      <c r="AZ66" s="130"/>
      <c r="BA66" s="131"/>
      <c r="BB66" s="131"/>
      <c r="BC66" s="131"/>
      <c r="BD66" s="66"/>
      <c r="BE66" s="131"/>
      <c r="BF66" s="67"/>
      <c r="BG66" s="90"/>
      <c r="BH66" s="51"/>
      <c r="BI66" s="45"/>
      <c r="BJ66" s="45"/>
      <c r="BK66" s="45"/>
      <c r="BL66" s="52"/>
      <c r="BM66" s="45"/>
      <c r="BN66" s="53"/>
      <c r="BO66" s="190"/>
      <c r="BP66" s="90"/>
      <c r="BQ66" s="130"/>
      <c r="BR66" s="131"/>
      <c r="BS66" s="131"/>
      <c r="BT66" s="131"/>
      <c r="BU66" s="66"/>
      <c r="BV66" s="131"/>
      <c r="BW66" s="67"/>
      <c r="BX66" s="294"/>
      <c r="BY66" s="90"/>
      <c r="BZ66" s="57">
        <v>0</v>
      </c>
      <c r="CA66" s="20">
        <f t="shared" si="306"/>
        <v>0</v>
      </c>
      <c r="CB66" s="20">
        <v>0</v>
      </c>
      <c r="CC66" s="20">
        <v>0</v>
      </c>
      <c r="CD66" s="52" t="e">
        <f t="shared" si="299"/>
        <v>#DIV/0!</v>
      </c>
      <c r="CE66" s="63">
        <v>0</v>
      </c>
      <c r="CF66" s="53" t="e">
        <f t="shared" si="202"/>
        <v>#DIV/0!</v>
      </c>
      <c r="CG66" s="294">
        <f t="shared" si="307"/>
        <v>0</v>
      </c>
      <c r="CH66" s="90"/>
      <c r="CI66" s="133"/>
      <c r="CJ66" s="134"/>
      <c r="CK66" s="134"/>
      <c r="CL66" s="134"/>
      <c r="CM66" s="121"/>
      <c r="CN66" s="134"/>
      <c r="CO66" s="122"/>
      <c r="CP66" s="90"/>
      <c r="CQ66" s="133"/>
      <c r="CR66" s="134"/>
      <c r="CS66" s="134"/>
      <c r="CT66" s="134"/>
      <c r="CU66" s="121"/>
      <c r="CV66" s="134"/>
      <c r="CW66" s="122"/>
      <c r="CX66" s="90"/>
      <c r="CY66" s="133"/>
      <c r="CZ66" s="134"/>
      <c r="DA66" s="134"/>
      <c r="DB66" s="134"/>
      <c r="DC66" s="121"/>
      <c r="DD66" s="134"/>
      <c r="DE66" s="122"/>
      <c r="DF66" s="6"/>
      <c r="DG66" s="289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</row>
    <row r="67" spans="1:135" s="7" customFormat="1" ht="13" customHeight="1">
      <c r="A67" s="330"/>
      <c r="B67" s="49" t="s">
        <v>43</v>
      </c>
      <c r="C67" s="45"/>
      <c r="D67" s="45"/>
      <c r="E67" s="45"/>
      <c r="F67" s="45"/>
      <c r="G67" s="14"/>
      <c r="H67" s="45"/>
      <c r="I67" s="14"/>
      <c r="J67" s="190"/>
      <c r="K67" s="90"/>
      <c r="L67" s="51"/>
      <c r="M67" s="45"/>
      <c r="N67" s="45"/>
      <c r="O67" s="45"/>
      <c r="P67" s="52"/>
      <c r="Q67" s="45"/>
      <c r="R67" s="53"/>
      <c r="S67" s="90"/>
      <c r="T67" s="130"/>
      <c r="U67" s="131"/>
      <c r="V67" s="131"/>
      <c r="W67" s="131"/>
      <c r="X67" s="66"/>
      <c r="Y67" s="131"/>
      <c r="Z67" s="67"/>
      <c r="AA67" s="90"/>
      <c r="AB67" s="51"/>
      <c r="AC67" s="45"/>
      <c r="AD67" s="45"/>
      <c r="AE67" s="45"/>
      <c r="AF67" s="52"/>
      <c r="AG67" s="131"/>
      <c r="AH67" s="53"/>
      <c r="AI67" s="90"/>
      <c r="AJ67" s="130"/>
      <c r="AK67" s="131"/>
      <c r="AL67" s="131"/>
      <c r="AM67" s="131"/>
      <c r="AN67" s="66"/>
      <c r="AO67" s="131"/>
      <c r="AP67" s="67"/>
      <c r="AQ67" s="90"/>
      <c r="AR67" s="130"/>
      <c r="AS67" s="131"/>
      <c r="AT67" s="131"/>
      <c r="AU67" s="131"/>
      <c r="AV67" s="66"/>
      <c r="AW67" s="131"/>
      <c r="AX67" s="67"/>
      <c r="AY67" s="90"/>
      <c r="AZ67" s="130"/>
      <c r="BA67" s="131"/>
      <c r="BB67" s="131"/>
      <c r="BC67" s="131"/>
      <c r="BD67" s="66"/>
      <c r="BE67" s="131"/>
      <c r="BF67" s="67"/>
      <c r="BG67" s="90"/>
      <c r="BH67" s="51"/>
      <c r="BI67" s="45"/>
      <c r="BJ67" s="45"/>
      <c r="BK67" s="45"/>
      <c r="BL67" s="52"/>
      <c r="BM67" s="45"/>
      <c r="BN67" s="53"/>
      <c r="BO67" s="190"/>
      <c r="BP67" s="90"/>
      <c r="BQ67" s="130"/>
      <c r="BR67" s="131"/>
      <c r="BS67" s="131"/>
      <c r="BT67" s="131"/>
      <c r="BU67" s="66"/>
      <c r="BV67" s="131"/>
      <c r="BW67" s="67"/>
      <c r="BX67" s="294"/>
      <c r="BY67" s="90"/>
      <c r="BZ67" s="57">
        <v>69619.05</v>
      </c>
      <c r="CA67" s="20">
        <f t="shared" si="306"/>
        <v>0</v>
      </c>
      <c r="CB67" s="20">
        <v>69619.05</v>
      </c>
      <c r="CC67" s="20">
        <v>69619.05</v>
      </c>
      <c r="CD67" s="52">
        <f t="shared" si="299"/>
        <v>0</v>
      </c>
      <c r="CE67" s="63">
        <v>0</v>
      </c>
      <c r="CF67" s="53">
        <f t="shared" si="202"/>
        <v>0</v>
      </c>
      <c r="CG67" s="294">
        <f t="shared" si="307"/>
        <v>19493.334000000003</v>
      </c>
      <c r="CH67" s="90"/>
      <c r="CI67" s="133"/>
      <c r="CJ67" s="134"/>
      <c r="CK67" s="134"/>
      <c r="CL67" s="134"/>
      <c r="CM67" s="121"/>
      <c r="CN67" s="134"/>
      <c r="CO67" s="122"/>
      <c r="CP67" s="90"/>
      <c r="CQ67" s="133"/>
      <c r="CR67" s="134"/>
      <c r="CS67" s="134"/>
      <c r="CT67" s="134"/>
      <c r="CU67" s="121"/>
      <c r="CV67" s="134"/>
      <c r="CW67" s="122"/>
      <c r="CX67" s="90"/>
      <c r="CY67" s="133"/>
      <c r="CZ67" s="134"/>
      <c r="DA67" s="134"/>
      <c r="DB67" s="134"/>
      <c r="DC67" s="121"/>
      <c r="DD67" s="134"/>
      <c r="DE67" s="122"/>
      <c r="DF67" s="6"/>
      <c r="DG67" s="289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</row>
    <row r="68" spans="1:135" s="11" customFormat="1" ht="13.15" customHeight="1">
      <c r="A68" s="330"/>
      <c r="B68" s="49" t="s">
        <v>14</v>
      </c>
      <c r="C68" s="125">
        <f>SUM(L68,T68,AB68,AJ68,AR68,AZ68,BH68,BQ68,BZ68,CI68,CQ68,CY68)</f>
        <v>324689.2</v>
      </c>
      <c r="D68" s="125">
        <f t="shared" si="290"/>
        <v>54206.200000000012</v>
      </c>
      <c r="E68" s="125">
        <f t="shared" ref="E68:E71" si="308">SUM(N68,V68,AD68,AL68,AT68,BB68,BJ68,BS68,CB68,CK68,CS68,DA68)</f>
        <v>270483</v>
      </c>
      <c r="F68" s="125">
        <f>SUM(O68,W68,AE68,AM68,AU68,BC68,BK68,BT68,CC68,CL68,CT68,DB68)</f>
        <v>270483</v>
      </c>
      <c r="G68" s="14">
        <f>D68/C68</f>
        <v>0.16694796131192541</v>
      </c>
      <c r="H68" s="125">
        <f t="shared" si="303"/>
        <v>0</v>
      </c>
      <c r="I68" s="14">
        <f>H68/C68</f>
        <v>0</v>
      </c>
      <c r="J68" s="194">
        <f>F68*$A$73</f>
        <v>75735.240000000005</v>
      </c>
      <c r="K68" s="98"/>
      <c r="L68" s="57">
        <v>0</v>
      </c>
      <c r="M68" s="20">
        <v>0</v>
      </c>
      <c r="N68" s="20">
        <v>0</v>
      </c>
      <c r="O68" s="20">
        <v>0</v>
      </c>
      <c r="P68" s="52" t="e">
        <f t="shared" ref="P68:P71" si="309">M68/L68</f>
        <v>#DIV/0!</v>
      </c>
      <c r="Q68" s="63">
        <v>0</v>
      </c>
      <c r="R68" s="53" t="e">
        <f t="shared" si="193"/>
        <v>#DIV/0!</v>
      </c>
      <c r="S68" s="98">
        <v>0</v>
      </c>
      <c r="T68" s="65">
        <v>53116</v>
      </c>
      <c r="U68" s="63">
        <f>T68-V68</f>
        <v>8944</v>
      </c>
      <c r="V68" s="63">
        <v>44172</v>
      </c>
      <c r="W68" s="63">
        <v>44172</v>
      </c>
      <c r="X68" s="66">
        <f>U68/T68</f>
        <v>0.16838617365765493</v>
      </c>
      <c r="Y68" s="64">
        <v>0</v>
      </c>
      <c r="Z68" s="17">
        <f t="shared" si="194"/>
        <v>0</v>
      </c>
      <c r="AA68" s="98">
        <v>0</v>
      </c>
      <c r="AB68" s="65">
        <v>0</v>
      </c>
      <c r="AC68" s="63">
        <v>0</v>
      </c>
      <c r="AD68" s="63">
        <v>0</v>
      </c>
      <c r="AE68" s="63">
        <v>0</v>
      </c>
      <c r="AF68" s="66" t="e">
        <f>AC68/AB68</f>
        <v>#DIV/0!</v>
      </c>
      <c r="AG68" s="63">
        <v>0</v>
      </c>
      <c r="AH68" s="67" t="e">
        <f t="shared" si="195"/>
        <v>#DIV/0!</v>
      </c>
      <c r="AI68" s="98"/>
      <c r="AJ68" s="57">
        <v>0</v>
      </c>
      <c r="AK68" s="20">
        <f t="shared" si="292"/>
        <v>0</v>
      </c>
      <c r="AL68" s="20">
        <v>0</v>
      </c>
      <c r="AM68" s="20">
        <v>0</v>
      </c>
      <c r="AN68" s="52" t="e">
        <f t="shared" si="293"/>
        <v>#DIV/0!</v>
      </c>
      <c r="AO68" s="20">
        <v>0</v>
      </c>
      <c r="AP68" s="53" t="e">
        <f t="shared" si="180"/>
        <v>#DIV/0!</v>
      </c>
      <c r="AQ68" s="98"/>
      <c r="AR68" s="57">
        <v>271573.2</v>
      </c>
      <c r="AS68" s="20">
        <f t="shared" si="294"/>
        <v>45262.200000000012</v>
      </c>
      <c r="AT68" s="20">
        <v>226311</v>
      </c>
      <c r="AU68" s="20">
        <v>226311</v>
      </c>
      <c r="AV68" s="52">
        <f t="shared" si="295"/>
        <v>0.16666666666666671</v>
      </c>
      <c r="AW68" s="20">
        <v>0</v>
      </c>
      <c r="AX68" s="53">
        <f t="shared" si="196"/>
        <v>0</v>
      </c>
      <c r="AY68" s="98"/>
      <c r="AZ68" s="57">
        <v>0</v>
      </c>
      <c r="BA68" s="20">
        <v>0</v>
      </c>
      <c r="BB68" s="20">
        <f t="shared" si="305"/>
        <v>0</v>
      </c>
      <c r="BC68" s="20">
        <v>0</v>
      </c>
      <c r="BD68" s="52" t="e">
        <f t="shared" si="296"/>
        <v>#DIV/0!</v>
      </c>
      <c r="BE68" s="20">
        <v>0</v>
      </c>
      <c r="BF68" s="53" t="e">
        <f t="shared" si="197"/>
        <v>#DIV/0!</v>
      </c>
      <c r="BG68" s="98"/>
      <c r="BH68" s="57"/>
      <c r="BI68" s="20"/>
      <c r="BJ68" s="20"/>
      <c r="BK68" s="20"/>
      <c r="BL68" s="52"/>
      <c r="BM68" s="20"/>
      <c r="BN68" s="53"/>
      <c r="BO68" s="194">
        <f>BK68*$A$73</f>
        <v>0</v>
      </c>
      <c r="BP68" s="98"/>
      <c r="BQ68" s="57">
        <v>0</v>
      </c>
      <c r="BR68" s="20">
        <v>0</v>
      </c>
      <c r="BS68" s="20">
        <v>0</v>
      </c>
      <c r="BT68" s="20">
        <v>0</v>
      </c>
      <c r="BU68" s="52" t="e">
        <f t="shared" si="298"/>
        <v>#DIV/0!</v>
      </c>
      <c r="BV68" s="20">
        <v>0</v>
      </c>
      <c r="BW68" s="53" t="e">
        <f t="shared" si="201"/>
        <v>#DIV/0!</v>
      </c>
      <c r="BX68" s="294">
        <f>BT68*$A$73</f>
        <v>0</v>
      </c>
      <c r="BY68" s="98"/>
      <c r="BZ68" s="57">
        <v>0</v>
      </c>
      <c r="CA68" s="20">
        <f t="shared" si="306"/>
        <v>0</v>
      </c>
      <c r="CB68" s="20">
        <v>0</v>
      </c>
      <c r="CC68" s="20">
        <v>0</v>
      </c>
      <c r="CD68" s="52" t="e">
        <f t="shared" si="299"/>
        <v>#DIV/0!</v>
      </c>
      <c r="CE68" s="63">
        <v>0</v>
      </c>
      <c r="CF68" s="53" t="e">
        <f t="shared" si="202"/>
        <v>#DIV/0!</v>
      </c>
      <c r="CG68" s="294">
        <f t="shared" si="307"/>
        <v>0</v>
      </c>
      <c r="CH68" s="90"/>
      <c r="CI68" s="133"/>
      <c r="CJ68" s="134"/>
      <c r="CK68" s="134"/>
      <c r="CL68" s="134"/>
      <c r="CM68" s="121"/>
      <c r="CN68" s="134"/>
      <c r="CO68" s="122"/>
      <c r="CP68" s="90"/>
      <c r="CQ68" s="133"/>
      <c r="CR68" s="134"/>
      <c r="CS68" s="134"/>
      <c r="CT68" s="134"/>
      <c r="CU68" s="121"/>
      <c r="CV68" s="134"/>
      <c r="CW68" s="122"/>
      <c r="CX68" s="90"/>
      <c r="CY68" s="133"/>
      <c r="CZ68" s="134"/>
      <c r="DA68" s="134"/>
      <c r="DB68" s="134"/>
      <c r="DC68" s="121"/>
      <c r="DD68" s="134"/>
      <c r="DE68" s="122"/>
      <c r="DF68" s="9"/>
      <c r="DG68" s="290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</row>
    <row r="69" spans="1:135" s="11" customFormat="1" ht="13.15" customHeight="1">
      <c r="A69" s="330"/>
      <c r="B69" s="49" t="s">
        <v>15</v>
      </c>
      <c r="C69" s="125">
        <f>SUM(L69,T69,AB69,AJ69,AR69,AZ69,BH69,BQ69,BZ69,CI69,CQ69,CY69)</f>
        <v>2297696.88</v>
      </c>
      <c r="D69" s="125">
        <f t="shared" si="290"/>
        <v>224517.88</v>
      </c>
      <c r="E69" s="125">
        <f t="shared" si="308"/>
        <v>1862491.2</v>
      </c>
      <c r="F69" s="125">
        <f t="shared" si="291"/>
        <v>2012619.2</v>
      </c>
      <c r="G69" s="14">
        <f t="shared" ref="G69:G71" si="310">D69/C69</f>
        <v>9.7714316433245116E-2</v>
      </c>
      <c r="H69" s="125">
        <f t="shared" si="303"/>
        <v>770608.2</v>
      </c>
      <c r="I69" s="14">
        <f>H69/C69</f>
        <v>0.33538288131374405</v>
      </c>
      <c r="J69" s="194">
        <f>F69*$A$73</f>
        <v>563533.37600000005</v>
      </c>
      <c r="K69" s="98"/>
      <c r="L69" s="57">
        <v>334172</v>
      </c>
      <c r="M69" s="20">
        <v>66834.400000000023</v>
      </c>
      <c r="N69" s="20">
        <v>267337.59999999998</v>
      </c>
      <c r="O69" s="20">
        <v>267337.59999999998</v>
      </c>
      <c r="P69" s="52">
        <f t="shared" si="309"/>
        <v>0.20000000000000007</v>
      </c>
      <c r="Q69" s="63">
        <v>0</v>
      </c>
      <c r="R69" s="53">
        <f t="shared" si="193"/>
        <v>0</v>
      </c>
      <c r="S69" s="98">
        <v>405625.2</v>
      </c>
      <c r="T69" s="65">
        <v>150128</v>
      </c>
      <c r="U69" s="63">
        <v>0</v>
      </c>
      <c r="V69" s="63">
        <v>0</v>
      </c>
      <c r="W69" s="63">
        <f>T69</f>
        <v>150128</v>
      </c>
      <c r="X69" s="66">
        <f t="shared" ref="X69:X71" si="311">U69/T69</f>
        <v>0</v>
      </c>
      <c r="Y69" s="64">
        <v>255497.2</v>
      </c>
      <c r="Z69" s="17">
        <f t="shared" si="194"/>
        <v>1.7018624107428328</v>
      </c>
      <c r="AA69" s="98">
        <v>-515111</v>
      </c>
      <c r="AB69" s="65">
        <v>150128</v>
      </c>
      <c r="AC69" s="63">
        <v>0</v>
      </c>
      <c r="AD69" s="63">
        <f>AB69</f>
        <v>150128</v>
      </c>
      <c r="AE69" s="63">
        <f>AB69</f>
        <v>150128</v>
      </c>
      <c r="AF69" s="66">
        <f>AC69/AB69</f>
        <v>0</v>
      </c>
      <c r="AG69" s="63">
        <v>515111</v>
      </c>
      <c r="AH69" s="67">
        <f t="shared" si="195"/>
        <v>3.431145422572738</v>
      </c>
      <c r="AI69" s="98"/>
      <c r="AJ69" s="57">
        <v>464663.03999999998</v>
      </c>
      <c r="AK69" s="20">
        <f>AJ69-AL69</f>
        <v>77443.839999999967</v>
      </c>
      <c r="AL69" s="20">
        <v>387219.20000000001</v>
      </c>
      <c r="AM69" s="20">
        <v>387219.20000000001</v>
      </c>
      <c r="AN69" s="52">
        <f t="shared" si="293"/>
        <v>0.1666666666666666</v>
      </c>
      <c r="AO69" s="20">
        <v>0</v>
      </c>
      <c r="AP69" s="53">
        <f t="shared" si="180"/>
        <v>0</v>
      </c>
      <c r="AQ69" s="98"/>
      <c r="AR69" s="57">
        <v>381357.84</v>
      </c>
      <c r="AS69" s="20">
        <f t="shared" si="294"/>
        <v>63559.640000000014</v>
      </c>
      <c r="AT69" s="20">
        <v>317798.2</v>
      </c>
      <c r="AU69" s="20">
        <v>317798.2</v>
      </c>
      <c r="AV69" s="52">
        <f t="shared" si="295"/>
        <v>0.16666666666666669</v>
      </c>
      <c r="AW69" s="20">
        <v>0</v>
      </c>
      <c r="AX69" s="53">
        <f t="shared" si="196"/>
        <v>0</v>
      </c>
      <c r="AY69" s="98"/>
      <c r="AZ69" s="57">
        <v>6000</v>
      </c>
      <c r="BA69" s="20">
        <v>300</v>
      </c>
      <c r="BB69" s="20">
        <f>AZ69-BA69</f>
        <v>5700</v>
      </c>
      <c r="BC69" s="20">
        <v>5700</v>
      </c>
      <c r="BD69" s="52">
        <f t="shared" si="296"/>
        <v>0.05</v>
      </c>
      <c r="BE69" s="20">
        <v>0</v>
      </c>
      <c r="BF69" s="53">
        <f t="shared" si="197"/>
        <v>0</v>
      </c>
      <c r="BG69" s="98"/>
      <c r="BH69" s="57"/>
      <c r="BI69" s="20"/>
      <c r="BJ69" s="20"/>
      <c r="BK69" s="20"/>
      <c r="BL69" s="52"/>
      <c r="BM69" s="20"/>
      <c r="BN69" s="53"/>
      <c r="BO69" s="194">
        <f>BK69*$A$73</f>
        <v>0</v>
      </c>
      <c r="BP69" s="98"/>
      <c r="BQ69" s="57">
        <v>605598</v>
      </c>
      <c r="BR69" s="20">
        <v>0</v>
      </c>
      <c r="BS69" s="20">
        <v>545038.19999999995</v>
      </c>
      <c r="BT69" s="20">
        <v>545038.19999999995</v>
      </c>
      <c r="BU69" s="52">
        <f t="shared" si="298"/>
        <v>0</v>
      </c>
      <c r="BV69" s="20">
        <v>0</v>
      </c>
      <c r="BW69" s="53">
        <f t="shared" si="201"/>
        <v>0</v>
      </c>
      <c r="BX69" s="294">
        <f>BT69*$A$73</f>
        <v>152610.696</v>
      </c>
      <c r="BY69" s="98"/>
      <c r="BZ69" s="57">
        <v>205650</v>
      </c>
      <c r="CA69" s="20">
        <f t="shared" si="306"/>
        <v>16380</v>
      </c>
      <c r="CB69" s="20">
        <v>189270</v>
      </c>
      <c r="CC69" s="20">
        <v>189270</v>
      </c>
      <c r="CD69" s="52">
        <f t="shared" si="299"/>
        <v>7.9649890590809624E-2</v>
      </c>
      <c r="CE69" s="63">
        <v>0</v>
      </c>
      <c r="CF69" s="53">
        <f t="shared" si="202"/>
        <v>0</v>
      </c>
      <c r="CG69" s="294">
        <f>CC69*$A$73</f>
        <v>52995.600000000006</v>
      </c>
      <c r="CH69" s="90"/>
      <c r="CI69" s="251"/>
      <c r="CJ69" s="252"/>
      <c r="CK69" s="252"/>
      <c r="CL69" s="252"/>
      <c r="CM69" s="111" t="e">
        <f t="shared" si="300"/>
        <v>#DIV/0!</v>
      </c>
      <c r="CN69" s="253"/>
      <c r="CO69" s="113" t="e">
        <f t="shared" si="203"/>
        <v>#DIV/0!</v>
      </c>
      <c r="CP69" s="90"/>
      <c r="CQ69" s="251"/>
      <c r="CR69" s="252"/>
      <c r="CS69" s="252"/>
      <c r="CT69" s="252"/>
      <c r="CU69" s="111" t="e">
        <f t="shared" si="301"/>
        <v>#DIV/0!</v>
      </c>
      <c r="CV69" s="253"/>
      <c r="CW69" s="113" t="e">
        <f t="shared" si="204"/>
        <v>#DIV/0!</v>
      </c>
      <c r="CX69" s="98"/>
      <c r="CY69" s="251"/>
      <c r="CZ69" s="252"/>
      <c r="DA69" s="252"/>
      <c r="DB69" s="252"/>
      <c r="DC69" s="111" t="e">
        <f t="shared" si="302"/>
        <v>#DIV/0!</v>
      </c>
      <c r="DD69" s="253"/>
      <c r="DE69" s="113" t="e">
        <f t="shared" si="205"/>
        <v>#DIV/0!</v>
      </c>
      <c r="DF69" s="9"/>
      <c r="DG69" s="290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</row>
    <row r="70" spans="1:135" s="11" customFormat="1" ht="13.15" customHeight="1">
      <c r="A70" s="330"/>
      <c r="B70" s="49" t="s">
        <v>16</v>
      </c>
      <c r="C70" s="125">
        <f>SUM(L70,T70,AB70,AJ70,AR70,AZ70,BH70,BQ70,BZ70,CI70,CQ70,CY70)</f>
        <v>12457813.68</v>
      </c>
      <c r="D70" s="125">
        <f t="shared" si="290"/>
        <v>913400.39199999976</v>
      </c>
      <c r="E70" s="125">
        <f t="shared" si="308"/>
        <v>11516621.088000001</v>
      </c>
      <c r="F70" s="125">
        <f t="shared" si="291"/>
        <v>11516621.088000001</v>
      </c>
      <c r="G70" s="14">
        <f t="shared" si="310"/>
        <v>7.3319477675797107E-2</v>
      </c>
      <c r="H70" s="125">
        <f>SUM(Q70,Y70,AG70,AO70,AW70,BE70,BM71,BV70,CE70,CN70,CV70,DD70)</f>
        <v>844357.8</v>
      </c>
      <c r="I70" s="14">
        <f t="shared" ref="I70:I71" si="312">H70/C70</f>
        <v>6.7777366212784781E-2</v>
      </c>
      <c r="J70" s="194">
        <f>F70*$A$73</f>
        <v>3224653.9046400008</v>
      </c>
      <c r="K70" s="98"/>
      <c r="L70" s="57">
        <v>642250</v>
      </c>
      <c r="M70" s="20">
        <v>129250</v>
      </c>
      <c r="N70" s="20">
        <v>513000</v>
      </c>
      <c r="O70" s="20">
        <v>513000</v>
      </c>
      <c r="P70" s="52">
        <f t="shared" si="309"/>
        <v>0.20124562086414949</v>
      </c>
      <c r="Q70" s="63">
        <v>0</v>
      </c>
      <c r="R70" s="53">
        <f t="shared" si="193"/>
        <v>0</v>
      </c>
      <c r="S70" s="98">
        <v>27500</v>
      </c>
      <c r="T70" s="65">
        <v>901375</v>
      </c>
      <c r="U70" s="63">
        <v>27500</v>
      </c>
      <c r="V70" s="63">
        <v>873875</v>
      </c>
      <c r="W70" s="63">
        <v>873875</v>
      </c>
      <c r="X70" s="66">
        <f>U70/T70</f>
        <v>3.0508944667868534E-2</v>
      </c>
      <c r="Y70" s="64">
        <v>0</v>
      </c>
      <c r="Z70" s="17">
        <f t="shared" si="194"/>
        <v>0</v>
      </c>
      <c r="AA70" s="98">
        <v>-844357.79999999981</v>
      </c>
      <c r="AB70" s="65">
        <v>1062237</v>
      </c>
      <c r="AC70" s="63">
        <v>0</v>
      </c>
      <c r="AD70" s="63">
        <f>AB70</f>
        <v>1062237</v>
      </c>
      <c r="AE70" s="63">
        <f>AB70</f>
        <v>1062237</v>
      </c>
      <c r="AF70" s="66">
        <f>AC70/AB70</f>
        <v>0</v>
      </c>
      <c r="AG70" s="63">
        <v>844357.8</v>
      </c>
      <c r="AH70" s="67">
        <f t="shared" si="195"/>
        <v>0.79488645189350404</v>
      </c>
      <c r="AI70" s="98"/>
      <c r="AJ70" s="57">
        <v>1906594.7999999998</v>
      </c>
      <c r="AK70" s="20">
        <f t="shared" ref="AK70:AK71" si="313">AJ70-AL70</f>
        <v>317765.79999999981</v>
      </c>
      <c r="AL70" s="20">
        <v>1588829</v>
      </c>
      <c r="AM70" s="20">
        <v>1588829</v>
      </c>
      <c r="AN70" s="52">
        <f t="shared" si="293"/>
        <v>0.16666666666666657</v>
      </c>
      <c r="AO70" s="20">
        <v>0</v>
      </c>
      <c r="AP70" s="53">
        <f t="shared" si="180"/>
        <v>0</v>
      </c>
      <c r="AQ70" s="98"/>
      <c r="AR70" s="57">
        <v>1906594.7999999998</v>
      </c>
      <c r="AS70" s="20">
        <f t="shared" si="294"/>
        <v>317765.79999999981</v>
      </c>
      <c r="AT70" s="20">
        <v>1588829</v>
      </c>
      <c r="AU70" s="20">
        <v>1588829</v>
      </c>
      <c r="AV70" s="52">
        <f t="shared" si="295"/>
        <v>0.16666666666666657</v>
      </c>
      <c r="AW70" s="20">
        <v>0</v>
      </c>
      <c r="AX70" s="53">
        <f t="shared" si="196"/>
        <v>0</v>
      </c>
      <c r="AY70" s="98"/>
      <c r="AZ70" s="57">
        <v>1949662</v>
      </c>
      <c r="BA70" s="20">
        <v>69327.592000000179</v>
      </c>
      <c r="BB70" s="20">
        <f t="shared" si="305"/>
        <v>1880334.4079999998</v>
      </c>
      <c r="BC70" s="20">
        <v>1880334.4079999998</v>
      </c>
      <c r="BD70" s="52">
        <f t="shared" si="296"/>
        <v>3.555877480301723E-2</v>
      </c>
      <c r="BE70" s="20">
        <v>0</v>
      </c>
      <c r="BF70" s="53">
        <f t="shared" si="197"/>
        <v>0</v>
      </c>
      <c r="BG70" s="98"/>
      <c r="BH70" s="57">
        <v>1559596.08</v>
      </c>
      <c r="BI70" s="20">
        <v>23999</v>
      </c>
      <c r="BJ70" s="20">
        <v>1535597.08</v>
      </c>
      <c r="BK70" s="20">
        <v>1535597.08</v>
      </c>
      <c r="BL70" s="52">
        <f t="shared" si="297"/>
        <v>1.5387958656577284E-2</v>
      </c>
      <c r="BM70" s="270">
        <v>0</v>
      </c>
      <c r="BN70" s="53">
        <f>BM71/BH70</f>
        <v>0</v>
      </c>
      <c r="BO70" s="194">
        <f>BK70*$A$73</f>
        <v>429967.18240000005</v>
      </c>
      <c r="BP70" s="98"/>
      <c r="BQ70" s="57">
        <v>1395022</v>
      </c>
      <c r="BR70" s="20">
        <v>0</v>
      </c>
      <c r="BS70" s="20">
        <v>1367229.8</v>
      </c>
      <c r="BT70" s="20">
        <v>1367229.8</v>
      </c>
      <c r="BU70" s="52">
        <f t="shared" si="298"/>
        <v>0</v>
      </c>
      <c r="BV70" s="20">
        <v>0</v>
      </c>
      <c r="BW70" s="53">
        <f t="shared" si="201"/>
        <v>0</v>
      </c>
      <c r="BX70" s="294">
        <f>BT70*$A$73</f>
        <v>382824.34400000004</v>
      </c>
      <c r="BY70" s="98"/>
      <c r="BZ70" s="57">
        <v>1134482</v>
      </c>
      <c r="CA70" s="20">
        <f t="shared" si="306"/>
        <v>27792.199999999953</v>
      </c>
      <c r="CB70" s="20">
        <v>1106689.8</v>
      </c>
      <c r="CC70" s="20">
        <v>1106689.8</v>
      </c>
      <c r="CD70" s="52">
        <f t="shared" si="299"/>
        <v>2.4497700272018377E-2</v>
      </c>
      <c r="CE70" s="63">
        <v>0</v>
      </c>
      <c r="CF70" s="53">
        <f t="shared" si="202"/>
        <v>0</v>
      </c>
      <c r="CG70" s="294">
        <f>CC70*$A$73</f>
        <v>309873.14400000003</v>
      </c>
      <c r="CH70" s="98"/>
      <c r="CI70" s="251"/>
      <c r="CJ70" s="252"/>
      <c r="CK70" s="252"/>
      <c r="CL70" s="252"/>
      <c r="CM70" s="111" t="e">
        <f t="shared" si="300"/>
        <v>#DIV/0!</v>
      </c>
      <c r="CN70" s="253"/>
      <c r="CO70" s="113" t="e">
        <f t="shared" si="203"/>
        <v>#DIV/0!</v>
      </c>
      <c r="CP70" s="98"/>
      <c r="CQ70" s="251"/>
      <c r="CR70" s="252"/>
      <c r="CS70" s="252"/>
      <c r="CT70" s="252"/>
      <c r="CU70" s="111" t="e">
        <f t="shared" si="301"/>
        <v>#DIV/0!</v>
      </c>
      <c r="CV70" s="253"/>
      <c r="CW70" s="113" t="e">
        <f t="shared" si="204"/>
        <v>#DIV/0!</v>
      </c>
      <c r="CX70" s="98"/>
      <c r="CY70" s="251"/>
      <c r="CZ70" s="252"/>
      <c r="DA70" s="252"/>
      <c r="DB70" s="252"/>
      <c r="DC70" s="111" t="e">
        <f t="shared" si="302"/>
        <v>#DIV/0!</v>
      </c>
      <c r="DD70" s="253"/>
      <c r="DE70" s="113" t="e">
        <f t="shared" si="205"/>
        <v>#DIV/0!</v>
      </c>
      <c r="DF70" s="9"/>
      <c r="DG70" s="290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</row>
    <row r="71" spans="1:135" s="11" customFormat="1" ht="13.15" customHeight="1">
      <c r="A71" s="330"/>
      <c r="B71" s="49" t="s">
        <v>17</v>
      </c>
      <c r="C71" s="125">
        <f>SUM(L71,T71,AB71,AJ71,AR71,AZ71,BH71,BQ71,BZ71,CI71,CQ71,CY71)</f>
        <v>3935299.1599999997</v>
      </c>
      <c r="D71" s="125">
        <f t="shared" si="290"/>
        <v>439582.97999999992</v>
      </c>
      <c r="E71" s="125">
        <f t="shared" si="308"/>
        <v>3450387.5900000003</v>
      </c>
      <c r="F71" s="125">
        <f t="shared" si="291"/>
        <v>3450387.5900000003</v>
      </c>
      <c r="G71" s="14">
        <f t="shared" si="310"/>
        <v>0.11170255732222401</v>
      </c>
      <c r="H71" s="125">
        <f>SUM(Q71,Y71,AG71,AO71,AW71,BE71,BM72,BV71,CE71,CN71,CV71,DD71)</f>
        <v>460265.8</v>
      </c>
      <c r="I71" s="14">
        <f t="shared" si="312"/>
        <v>0.1169582746537623</v>
      </c>
      <c r="J71" s="194">
        <f>F71*$A$73</f>
        <v>966108.52520000015</v>
      </c>
      <c r="K71" s="98"/>
      <c r="L71" s="57">
        <v>418000</v>
      </c>
      <c r="M71" s="20">
        <v>83600</v>
      </c>
      <c r="N71" s="20">
        <v>334400</v>
      </c>
      <c r="O71" s="20">
        <v>334400</v>
      </c>
      <c r="P71" s="52">
        <f t="shared" si="309"/>
        <v>0.2</v>
      </c>
      <c r="Q71" s="63">
        <v>0</v>
      </c>
      <c r="R71" s="53">
        <f t="shared" si="193"/>
        <v>0</v>
      </c>
      <c r="S71" s="98">
        <v>66834.400000000023</v>
      </c>
      <c r="T71" s="65">
        <v>334172</v>
      </c>
      <c r="U71" s="63">
        <v>66834.400000000023</v>
      </c>
      <c r="V71" s="63">
        <v>267337.59999999998</v>
      </c>
      <c r="W71" s="63">
        <v>267337.59999999998</v>
      </c>
      <c r="X71" s="66">
        <f t="shared" si="311"/>
        <v>0.20000000000000007</v>
      </c>
      <c r="Y71" s="64">
        <v>0</v>
      </c>
      <c r="Z71" s="17">
        <f t="shared" si="194"/>
        <v>0</v>
      </c>
      <c r="AA71" s="98">
        <v>-460265.79999999993</v>
      </c>
      <c r="AB71" s="65">
        <v>338021</v>
      </c>
      <c r="AC71" s="63">
        <v>0</v>
      </c>
      <c r="AD71" s="63">
        <f>AB71</f>
        <v>338021</v>
      </c>
      <c r="AE71" s="63">
        <f>AB71</f>
        <v>338021</v>
      </c>
      <c r="AF71" s="66">
        <f t="shared" ref="AF71" si="314">AC71/AB71</f>
        <v>0</v>
      </c>
      <c r="AG71" s="63">
        <v>460265.8</v>
      </c>
      <c r="AH71" s="67">
        <f t="shared" si="195"/>
        <v>1.3616485366293809</v>
      </c>
      <c r="AI71" s="98"/>
      <c r="AJ71" s="57">
        <v>798286.79999999993</v>
      </c>
      <c r="AK71" s="20">
        <f t="shared" si="313"/>
        <v>133047.79999999993</v>
      </c>
      <c r="AL71" s="20">
        <v>665239</v>
      </c>
      <c r="AM71" s="20">
        <v>665239</v>
      </c>
      <c r="AN71" s="52">
        <f t="shared" si="293"/>
        <v>0.1666666666666666</v>
      </c>
      <c r="AO71" s="20">
        <v>0</v>
      </c>
      <c r="AP71" s="53">
        <f t="shared" si="180"/>
        <v>0</v>
      </c>
      <c r="AQ71" s="98"/>
      <c r="AR71" s="57">
        <v>392661.6</v>
      </c>
      <c r="AS71" s="20">
        <f t="shared" si="294"/>
        <v>65443.599999999977</v>
      </c>
      <c r="AT71" s="20">
        <v>327218</v>
      </c>
      <c r="AU71" s="20">
        <v>327218</v>
      </c>
      <c r="AV71" s="52">
        <f t="shared" si="295"/>
        <v>0.16666666666666663</v>
      </c>
      <c r="AW71" s="20">
        <v>0</v>
      </c>
      <c r="AX71" s="53">
        <f t="shared" si="196"/>
        <v>0</v>
      </c>
      <c r="AY71" s="98"/>
      <c r="AZ71" s="57">
        <v>0</v>
      </c>
      <c r="BA71" s="20">
        <v>0</v>
      </c>
      <c r="BB71" s="20">
        <f t="shared" si="305"/>
        <v>0</v>
      </c>
      <c r="BC71" s="20">
        <v>0</v>
      </c>
      <c r="BD71" s="52" t="e">
        <f t="shared" si="296"/>
        <v>#DIV/0!</v>
      </c>
      <c r="BE71" s="20">
        <v>0</v>
      </c>
      <c r="BF71" s="53" t="e">
        <f t="shared" si="197"/>
        <v>#DIV/0!</v>
      </c>
      <c r="BG71" s="98"/>
      <c r="BH71" s="57">
        <v>551385.92000000004</v>
      </c>
      <c r="BI71" s="20">
        <v>45328.59</v>
      </c>
      <c r="BJ71" s="20">
        <v>506057.33</v>
      </c>
      <c r="BK71" s="20">
        <v>506057.33</v>
      </c>
      <c r="BL71" s="52">
        <f t="shared" si="297"/>
        <v>8.220846480809664E-2</v>
      </c>
      <c r="BM71" s="20">
        <v>0</v>
      </c>
      <c r="BN71" s="53">
        <f>BM72/BH71</f>
        <v>0</v>
      </c>
      <c r="BO71" s="194">
        <f>BK71*$A$73</f>
        <v>141696.05240000002</v>
      </c>
      <c r="BP71" s="98"/>
      <c r="BQ71" s="57">
        <v>551385.92000000004</v>
      </c>
      <c r="BR71" s="20">
        <v>0</v>
      </c>
      <c r="BS71" s="20">
        <v>506057.33</v>
      </c>
      <c r="BT71" s="20">
        <v>506057.33</v>
      </c>
      <c r="BU71" s="52">
        <f t="shared" si="298"/>
        <v>0</v>
      </c>
      <c r="BV71" s="20">
        <v>0</v>
      </c>
      <c r="BW71" s="53">
        <f t="shared" si="201"/>
        <v>0</v>
      </c>
      <c r="BX71" s="294">
        <f>BT71*$A$73</f>
        <v>141696.05240000002</v>
      </c>
      <c r="BY71" s="98"/>
      <c r="BZ71" s="57">
        <v>551385.92000000004</v>
      </c>
      <c r="CA71" s="20">
        <f>BZ71-CB71</f>
        <v>45328.590000000026</v>
      </c>
      <c r="CB71" s="20">
        <v>506057.33</v>
      </c>
      <c r="CC71" s="20">
        <v>506057.33</v>
      </c>
      <c r="CD71" s="52">
        <f t="shared" si="299"/>
        <v>8.2208464808096696E-2</v>
      </c>
      <c r="CE71" s="63">
        <v>0</v>
      </c>
      <c r="CF71" s="53">
        <f t="shared" si="202"/>
        <v>0</v>
      </c>
      <c r="CG71" s="294">
        <f>CC71*$A$73</f>
        <v>141696.05240000002</v>
      </c>
      <c r="CH71" s="98"/>
      <c r="CI71" s="251"/>
      <c r="CJ71" s="252"/>
      <c r="CK71" s="252"/>
      <c r="CL71" s="252"/>
      <c r="CM71" s="111" t="e">
        <f t="shared" si="300"/>
        <v>#DIV/0!</v>
      </c>
      <c r="CN71" s="253"/>
      <c r="CO71" s="113" t="e">
        <f t="shared" si="203"/>
        <v>#DIV/0!</v>
      </c>
      <c r="CP71" s="98"/>
      <c r="CQ71" s="251"/>
      <c r="CR71" s="252"/>
      <c r="CS71" s="252"/>
      <c r="CT71" s="252"/>
      <c r="CU71" s="111" t="e">
        <f t="shared" si="301"/>
        <v>#DIV/0!</v>
      </c>
      <c r="CV71" s="253"/>
      <c r="CW71" s="113" t="e">
        <f t="shared" si="204"/>
        <v>#DIV/0!</v>
      </c>
      <c r="CX71" s="98"/>
      <c r="CY71" s="251"/>
      <c r="CZ71" s="252"/>
      <c r="DA71" s="252"/>
      <c r="DB71" s="252"/>
      <c r="DC71" s="111" t="e">
        <f t="shared" si="302"/>
        <v>#DIV/0!</v>
      </c>
      <c r="DD71" s="253"/>
      <c r="DE71" s="113" t="e">
        <f t="shared" si="205"/>
        <v>#DIV/0!</v>
      </c>
      <c r="DF71" s="9"/>
      <c r="DG71" s="290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</row>
    <row r="72" spans="1:135" s="35" customFormat="1" ht="13" customHeight="1">
      <c r="A72" s="330"/>
      <c r="B72" s="169" t="s">
        <v>18</v>
      </c>
      <c r="C72" s="126">
        <f>SUM(C61:C71)</f>
        <v>25153661.370000001</v>
      </c>
      <c r="D72" s="126">
        <f t="shared" ref="D72:E72" si="315">SUM(D61:D71)</f>
        <v>2417127.2019999996</v>
      </c>
      <c r="E72" s="126">
        <f t="shared" si="315"/>
        <v>22400603.578000002</v>
      </c>
      <c r="F72" s="126">
        <f>SUM(F61:F71)</f>
        <v>22550731.578000002</v>
      </c>
      <c r="G72" s="15">
        <f>D72/C72</f>
        <v>9.6094447899455024E-2</v>
      </c>
      <c r="H72" s="126">
        <f>SUM(H61:H71)</f>
        <v>2343179.7999999998</v>
      </c>
      <c r="I72" s="15">
        <f>H72/C72</f>
        <v>9.3154621330580459E-2</v>
      </c>
      <c r="J72" s="195" t="b">
        <f>J73=F73</f>
        <v>1</v>
      </c>
      <c r="K72" s="99"/>
      <c r="L72" s="178">
        <f>SUM(L61:L71)</f>
        <v>1961051.75</v>
      </c>
      <c r="M72" s="173">
        <f>SUM(M61:M71)</f>
        <v>279684.40000000002</v>
      </c>
      <c r="N72" s="173">
        <f>SUM(N61:N71)</f>
        <v>1681367.35</v>
      </c>
      <c r="O72" s="173">
        <f>SUM(O61:O71)</f>
        <v>1681367.35</v>
      </c>
      <c r="P72" s="15">
        <f>(L72-O72)/L72</f>
        <v>0.14261959175733119</v>
      </c>
      <c r="Q72" s="173">
        <f>SUM(Q61:Q71)</f>
        <v>0</v>
      </c>
      <c r="R72" s="62">
        <f t="shared" si="193"/>
        <v>0</v>
      </c>
      <c r="S72" s="99">
        <v>1181135.3500000001</v>
      </c>
      <c r="T72" s="76">
        <f>SUM(T61:T71)</f>
        <v>2119966.75</v>
      </c>
      <c r="U72" s="77">
        <f t="shared" ref="U72:W72" si="316">SUM(U61:U71)</f>
        <v>784454.15</v>
      </c>
      <c r="V72" s="77">
        <f t="shared" si="316"/>
        <v>1185384.6000000001</v>
      </c>
      <c r="W72" s="77">
        <f t="shared" si="316"/>
        <v>1335512.6000000001</v>
      </c>
      <c r="X72" s="15">
        <f>(T72-W72)/T72</f>
        <v>0.37003134601049753</v>
      </c>
      <c r="Y72" s="77">
        <f>SUM(Y61:Y71)</f>
        <v>255497.2</v>
      </c>
      <c r="Z72" s="62">
        <f t="shared" si="194"/>
        <v>0.12051943739211948</v>
      </c>
      <c r="AA72" s="99">
        <v>-2087682.5999999996</v>
      </c>
      <c r="AB72" s="76">
        <f>SUM(AB61:AB71)</f>
        <v>2231561.75</v>
      </c>
      <c r="AC72" s="77">
        <f t="shared" ref="AC72:AE72" si="317">SUM(AC61:AC71)</f>
        <v>0</v>
      </c>
      <c r="AD72" s="77">
        <f t="shared" si="317"/>
        <v>2231561.75</v>
      </c>
      <c r="AE72" s="77">
        <f t="shared" si="317"/>
        <v>2231561.75</v>
      </c>
      <c r="AF72" s="15">
        <f>(AB72-AE72)/AB72</f>
        <v>0</v>
      </c>
      <c r="AG72" s="77">
        <f>SUM(AG61:AG71)</f>
        <v>2087682.6</v>
      </c>
      <c r="AH72" s="62">
        <f t="shared" si="195"/>
        <v>0.93552535572900908</v>
      </c>
      <c r="AI72" s="99"/>
      <c r="AJ72" s="76">
        <f>SUM(AJ61:AJ71)</f>
        <v>4118668.3899999997</v>
      </c>
      <c r="AK72" s="77">
        <f t="shared" ref="AK72" si="318">SUM(AK61:AK71)</f>
        <v>528257.43999999971</v>
      </c>
      <c r="AL72" s="77">
        <f t="shared" ref="AL72" si="319">SUM(AL61:AL71)</f>
        <v>3590410.95</v>
      </c>
      <c r="AM72" s="77">
        <f t="shared" ref="AM72" si="320">SUM(AM61:AM71)</f>
        <v>3590410.95</v>
      </c>
      <c r="AN72" s="15">
        <f>(AJ72-AM72)/AJ72</f>
        <v>0.12825927945124019</v>
      </c>
      <c r="AO72" s="77">
        <f>SUM(AO61:AO71)</f>
        <v>0</v>
      </c>
      <c r="AP72" s="62">
        <f t="shared" si="180"/>
        <v>0</v>
      </c>
      <c r="AQ72" s="99"/>
      <c r="AR72" s="76">
        <f>SUM(AR61:AR71)</f>
        <v>3615804.44</v>
      </c>
      <c r="AS72" s="77">
        <f t="shared" ref="AS72" si="321">AR72-AT72</f>
        <v>492031.23999999976</v>
      </c>
      <c r="AT72" s="77">
        <f t="shared" ref="AT72" si="322">SUM(AT61:AT71)</f>
        <v>3123773.2</v>
      </c>
      <c r="AU72" s="77">
        <f t="shared" ref="AU72" si="323">SUM(AU61:AU71)</f>
        <v>3123773.2</v>
      </c>
      <c r="AV72" s="15">
        <f>(AR72-AU72)/AR72</f>
        <v>0.13607794563137374</v>
      </c>
      <c r="AW72" s="77">
        <f>SUM(AW61:AW71)</f>
        <v>0</v>
      </c>
      <c r="AX72" s="62">
        <f t="shared" si="196"/>
        <v>0</v>
      </c>
      <c r="AY72" s="99"/>
      <c r="AZ72" s="76">
        <f>SUM(AZ61:AZ71)</f>
        <v>2744490.48</v>
      </c>
      <c r="BA72" s="184">
        <f t="shared" ref="BA72" si="324">AZ72-BB72</f>
        <v>121749.59200000018</v>
      </c>
      <c r="BB72" s="77">
        <f>SUM(BB61:BB71)</f>
        <v>2622740.8879999998</v>
      </c>
      <c r="BC72" s="77">
        <f t="shared" ref="BC72" si="325">SUM(BC61:BC71)</f>
        <v>2622740.8879999998</v>
      </c>
      <c r="BD72" s="15">
        <f>(AZ72-BC72)/AZ72</f>
        <v>4.4361455391166149E-2</v>
      </c>
      <c r="BE72" s="77">
        <f>SUM(BE61:BE71)</f>
        <v>0</v>
      </c>
      <c r="BF72" s="62">
        <f t="shared" si="197"/>
        <v>0</v>
      </c>
      <c r="BG72" s="99"/>
      <c r="BH72" s="76">
        <f>SUM(BH61:BH71)</f>
        <v>2899810.48</v>
      </c>
      <c r="BI72" s="77">
        <f t="shared" ref="BI72" si="326">BH72-BJ72</f>
        <v>121449.58999999985</v>
      </c>
      <c r="BJ72" s="77">
        <f>SUM(BJ61:BJ71)</f>
        <v>2778360.89</v>
      </c>
      <c r="BK72" s="77">
        <f t="shared" ref="BK72" si="327">SUM(BK61:BK71)</f>
        <v>2778360.89</v>
      </c>
      <c r="BL72" s="15">
        <f>(BH72-BK72)/BH72</f>
        <v>4.1881906020285797E-2</v>
      </c>
      <c r="BM72" s="77">
        <f>SUM(BM61:BM71)</f>
        <v>0</v>
      </c>
      <c r="BN72" s="62">
        <f t="shared" si="199"/>
        <v>0</v>
      </c>
      <c r="BO72" s="195" t="b">
        <f>BO73=BK73</f>
        <v>1</v>
      </c>
      <c r="BP72" s="99"/>
      <c r="BQ72" s="76">
        <f>SUM(BQ61:BQ71)</f>
        <v>3340834.4</v>
      </c>
      <c r="BR72" s="77">
        <f t="shared" ref="BR72" si="328">BQ72-BS72</f>
        <v>185802.58999999985</v>
      </c>
      <c r="BS72" s="77">
        <f>SUM(BS61:BS71)</f>
        <v>3155031.81</v>
      </c>
      <c r="BT72" s="77">
        <f>SUM(BT61:BT71)</f>
        <v>3155031.81</v>
      </c>
      <c r="BU72" s="15">
        <f>(BQ72-BT72)/BQ72</f>
        <v>5.5615624048890255E-2</v>
      </c>
      <c r="BV72" s="77">
        <f>SUM(BV61:BV71)</f>
        <v>0</v>
      </c>
      <c r="BW72" s="62">
        <f t="shared" si="201"/>
        <v>0</v>
      </c>
      <c r="BX72" s="195" t="b">
        <f>BX73=BT73</f>
        <v>1</v>
      </c>
      <c r="BY72" s="99"/>
      <c r="BZ72" s="76">
        <f>SUM(BZ61:BZ71)</f>
        <v>2351427.9500000002</v>
      </c>
      <c r="CA72" s="77">
        <f>BZ72-CB72</f>
        <v>89500.600000000093</v>
      </c>
      <c r="CB72" s="77">
        <f>SUM(CB61:CB71)</f>
        <v>2261927.35</v>
      </c>
      <c r="CC72" s="77">
        <f>SUM(CC61:CC62,CC68:CC71)</f>
        <v>2031972.1400000001</v>
      </c>
      <c r="CD72" s="15">
        <f>(BZ72-CC72)/BZ72</f>
        <v>0.13585609118918571</v>
      </c>
      <c r="CE72" s="77">
        <f>SUM(CE61:CE71)</f>
        <v>0</v>
      </c>
      <c r="CF72" s="62">
        <f t="shared" si="202"/>
        <v>0</v>
      </c>
      <c r="CG72" s="195" t="b">
        <f>CG73=CC73</f>
        <v>1</v>
      </c>
      <c r="CH72" s="99"/>
      <c r="CI72" s="76">
        <f>SUM(CI61:CI71)</f>
        <v>0</v>
      </c>
      <c r="CJ72" s="77">
        <f t="shared" ref="CJ72" si="329">CI72-CK72</f>
        <v>0</v>
      </c>
      <c r="CK72" s="77">
        <f>SUM(CK61:CK71)</f>
        <v>0</v>
      </c>
      <c r="CL72" s="77">
        <f t="shared" ref="CL72" si="330">SUM(CL61:CL71)</f>
        <v>0</v>
      </c>
      <c r="CM72" s="15" t="e">
        <f>(CI72-CL72)/CI72</f>
        <v>#DIV/0!</v>
      </c>
      <c r="CN72" s="77">
        <f>SUM(CN61:CN71)</f>
        <v>0</v>
      </c>
      <c r="CO72" s="62" t="e">
        <f t="shared" si="203"/>
        <v>#DIV/0!</v>
      </c>
      <c r="CP72" s="99"/>
      <c r="CQ72" s="76">
        <f>SUM(CQ61:CQ71)</f>
        <v>0</v>
      </c>
      <c r="CR72" s="77">
        <f t="shared" ref="CR72" si="331">CQ72-CS72</f>
        <v>0</v>
      </c>
      <c r="CS72" s="77">
        <f>SUM(CS61:CS71)</f>
        <v>0</v>
      </c>
      <c r="CT72" s="77">
        <f t="shared" ref="CT72" si="332">SUM(CT61:CT71)</f>
        <v>0</v>
      </c>
      <c r="CU72" s="15" t="e">
        <f>(CQ72-CT72)/CQ72</f>
        <v>#DIV/0!</v>
      </c>
      <c r="CV72" s="77">
        <f>SUM(CV61:CV71)</f>
        <v>0</v>
      </c>
      <c r="CW72" s="62" t="e">
        <f t="shared" si="204"/>
        <v>#DIV/0!</v>
      </c>
      <c r="CX72" s="99"/>
      <c r="CY72" s="76">
        <f>SUM(CY61:CY71)</f>
        <v>0</v>
      </c>
      <c r="CZ72" s="77">
        <f t="shared" ref="CZ72" si="333">CY72-DA72</f>
        <v>0</v>
      </c>
      <c r="DA72" s="77">
        <f>SUM(DA61:DA71)</f>
        <v>0</v>
      </c>
      <c r="DB72" s="77">
        <f t="shared" ref="DB72" si="334">SUM(DB61:DB71)</f>
        <v>0</v>
      </c>
      <c r="DC72" s="15" t="e">
        <f>(CY72-DB72)/CY72</f>
        <v>#DIV/0!</v>
      </c>
      <c r="DD72" s="77">
        <f>SUM(DD61:DD71)</f>
        <v>0</v>
      </c>
      <c r="DE72" s="62" t="e">
        <f t="shared" si="205"/>
        <v>#DIV/0!</v>
      </c>
      <c r="DF72" s="34"/>
      <c r="DG72" s="287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  <c r="EA72" s="34"/>
      <c r="EB72" s="34"/>
      <c r="EC72" s="34"/>
      <c r="ED72" s="34"/>
      <c r="EE72" s="34"/>
    </row>
    <row r="73" spans="1:135" s="21" customFormat="1" ht="13" customHeight="1">
      <c r="A73" s="188">
        <v>0.28000000000000003</v>
      </c>
      <c r="B73" s="165" t="s">
        <v>19</v>
      </c>
      <c r="C73" s="187">
        <f>C72*$A$73</f>
        <v>7043025.183600001</v>
      </c>
      <c r="D73" s="187">
        <f t="shared" ref="D73:E73" si="335">D72*$A$73</f>
        <v>676795.61655999999</v>
      </c>
      <c r="E73" s="187">
        <f t="shared" si="335"/>
        <v>6272169.001840001</v>
      </c>
      <c r="F73" s="187">
        <f>F72*$A$73</f>
        <v>6314204.8418400008</v>
      </c>
      <c r="G73" s="155"/>
      <c r="H73" s="187">
        <f>H72*A73</f>
        <v>656090.34400000004</v>
      </c>
      <c r="I73" s="155"/>
      <c r="J73" s="191">
        <f>SUM(J61:J71)</f>
        <v>6314204.8418400008</v>
      </c>
      <c r="K73" s="91"/>
      <c r="L73" s="219">
        <f>L72*$A$73</f>
        <v>549094.49000000011</v>
      </c>
      <c r="M73" s="187">
        <f t="shared" ref="M73" si="336">M72*$A$73</f>
        <v>78311.632000000012</v>
      </c>
      <c r="N73" s="187">
        <f>N72*$A$73</f>
        <v>470782.85800000007</v>
      </c>
      <c r="O73" s="187">
        <f>O72*$A$73</f>
        <v>470782.85800000007</v>
      </c>
      <c r="P73" s="217"/>
      <c r="Q73" s="187">
        <f>Q72*J73</f>
        <v>0</v>
      </c>
      <c r="R73" s="220"/>
      <c r="S73" s="91"/>
      <c r="T73" s="219">
        <f>T72*$A$73</f>
        <v>593590.69000000006</v>
      </c>
      <c r="U73" s="187">
        <f t="shared" ref="U73" si="337">U72*$A$73</f>
        <v>219647.16200000004</v>
      </c>
      <c r="V73" s="187">
        <f t="shared" ref="V73" si="338">V72*$A$73</f>
        <v>331907.68800000008</v>
      </c>
      <c r="W73" s="187">
        <f t="shared" ref="W73" si="339">W72*$A$73</f>
        <v>373943.52800000005</v>
      </c>
      <c r="X73" s="217"/>
      <c r="Y73" s="187">
        <f>Y72*R73</f>
        <v>0</v>
      </c>
      <c r="Z73" s="220"/>
      <c r="AA73" s="91"/>
      <c r="AB73" s="219">
        <f>AB72*$A$73</f>
        <v>624837.29</v>
      </c>
      <c r="AC73" s="187">
        <f t="shared" ref="AC73" si="340">AC72*$A$73</f>
        <v>0</v>
      </c>
      <c r="AD73" s="187">
        <f t="shared" ref="AD73" si="341">AD72*$A$73</f>
        <v>624837.29</v>
      </c>
      <c r="AE73" s="187">
        <f t="shared" ref="AE73" si="342">AE72*$A$73</f>
        <v>624837.29</v>
      </c>
      <c r="AF73" s="217"/>
      <c r="AG73" s="187">
        <f>AG72*Z73</f>
        <v>0</v>
      </c>
      <c r="AH73" s="220"/>
      <c r="AI73" s="91"/>
      <c r="AJ73" s="219">
        <f>AJ72*$A$73</f>
        <v>1153227.1492000001</v>
      </c>
      <c r="AK73" s="187">
        <f t="shared" ref="AK73" si="343">AK72*$A$73</f>
        <v>147912.08319999994</v>
      </c>
      <c r="AL73" s="187">
        <f t="shared" ref="AL73" si="344">AL72*$A$73</f>
        <v>1005315.0660000001</v>
      </c>
      <c r="AM73" s="187">
        <f t="shared" ref="AM73" si="345">AM72*$A$73</f>
        <v>1005315.0660000001</v>
      </c>
      <c r="AN73" s="217"/>
      <c r="AO73" s="187">
        <f>AO72*AH73</f>
        <v>0</v>
      </c>
      <c r="AP73" s="220"/>
      <c r="AQ73" s="91"/>
      <c r="AR73" s="219">
        <f>AR72*$A$73</f>
        <v>1012425.2432</v>
      </c>
      <c r="AS73" s="187">
        <f t="shared" ref="AS73" si="346">AS72*$A$73</f>
        <v>137768.74719999995</v>
      </c>
      <c r="AT73" s="187">
        <f t="shared" ref="AT73" si="347">AT72*$A$73</f>
        <v>874656.49600000016</v>
      </c>
      <c r="AU73" s="187">
        <f t="shared" ref="AU73" si="348">AU72*$A$73</f>
        <v>874656.49600000016</v>
      </c>
      <c r="AV73" s="217"/>
      <c r="AW73" s="187">
        <f>AW72*A73</f>
        <v>0</v>
      </c>
      <c r="AX73" s="220"/>
      <c r="AY73" s="91"/>
      <c r="AZ73" s="219">
        <f>AZ72*$A$73</f>
        <v>768457.33440000005</v>
      </c>
      <c r="BA73" s="187">
        <f t="shared" ref="BA73" si="349">BA72*$A$73</f>
        <v>34089.885760000056</v>
      </c>
      <c r="BB73" s="187">
        <f t="shared" ref="BB73" si="350">BB72*$A$73</f>
        <v>734367.44863999996</v>
      </c>
      <c r="BC73" s="187">
        <f t="shared" ref="BC73" si="351">BC72*$A$73</f>
        <v>734367.44863999996</v>
      </c>
      <c r="BD73" s="217"/>
      <c r="BE73" s="187">
        <f>BE72*AX73</f>
        <v>0</v>
      </c>
      <c r="BF73" s="220"/>
      <c r="BG73" s="91"/>
      <c r="BH73" s="219">
        <f>BH72*$A$73</f>
        <v>811946.93440000003</v>
      </c>
      <c r="BI73" s="187">
        <f>BI72*$A$73</f>
        <v>34005.885199999961</v>
      </c>
      <c r="BJ73" s="187">
        <f t="shared" ref="BJ73" si="352">BJ72*$A$73</f>
        <v>777941.04920000012</v>
      </c>
      <c r="BK73" s="187">
        <f t="shared" ref="BK73" si="353">BK72*$A$73</f>
        <v>777941.04920000012</v>
      </c>
      <c r="BL73" s="217"/>
      <c r="BM73" s="187">
        <f>BM72*BF73</f>
        <v>0</v>
      </c>
      <c r="BN73" s="220"/>
      <c r="BO73" s="191">
        <f>SUM(BO61:BO71)</f>
        <v>777941.04920000012</v>
      </c>
      <c r="BP73" s="91"/>
      <c r="BQ73" s="219">
        <f>BQ72*$A$73</f>
        <v>935433.6320000001</v>
      </c>
      <c r="BR73" s="187">
        <f t="shared" ref="BR73" si="354">BR72*$A$73</f>
        <v>52024.725199999964</v>
      </c>
      <c r="BS73" s="187">
        <f t="shared" ref="BS73" si="355">BS72*$A$73</f>
        <v>883408.90680000011</v>
      </c>
      <c r="BT73" s="187">
        <f t="shared" ref="BT73" si="356">BT72*$A$73</f>
        <v>883408.90680000011</v>
      </c>
      <c r="BU73" s="217"/>
      <c r="BV73" s="187">
        <f>BV72*A73</f>
        <v>0</v>
      </c>
      <c r="BW73" s="220"/>
      <c r="BX73" s="191">
        <f>SUM(BX61:BX71)</f>
        <v>883408.90680000011</v>
      </c>
      <c r="BY73" s="91"/>
      <c r="BZ73" s="219">
        <f>BZ72*$A$73</f>
        <v>658399.82600000012</v>
      </c>
      <c r="CA73" s="187">
        <f t="shared" ref="CA73" si="357">CA72*$A$73</f>
        <v>25060.168000000027</v>
      </c>
      <c r="CB73" s="187">
        <f t="shared" ref="CB73" si="358">CB72*$A$73</f>
        <v>633339.65800000005</v>
      </c>
      <c r="CC73" s="187">
        <f t="shared" ref="CC73" si="359">CC72*$A$73</f>
        <v>568952.19920000015</v>
      </c>
      <c r="CD73" s="217"/>
      <c r="CE73" s="187">
        <f>CE72*A73</f>
        <v>0</v>
      </c>
      <c r="CF73" s="220"/>
      <c r="CG73" s="191">
        <f>SUM(CG61:CG62,CG68:CG71)</f>
        <v>568952.19920000003</v>
      </c>
      <c r="CH73" s="91"/>
      <c r="CI73" s="219">
        <f>CI72*$A$73</f>
        <v>0</v>
      </c>
      <c r="CJ73" s="187">
        <f t="shared" ref="CJ73" si="360">CJ72*$A$73</f>
        <v>0</v>
      </c>
      <c r="CK73" s="187">
        <f t="shared" ref="CK73" si="361">CK72*$A$73</f>
        <v>0</v>
      </c>
      <c r="CL73" s="187">
        <f t="shared" ref="CL73" si="362">CL72*$A$73</f>
        <v>0</v>
      </c>
      <c r="CM73" s="217"/>
      <c r="CN73" s="187">
        <f>CN72*CF73</f>
        <v>0</v>
      </c>
      <c r="CO73" s="220"/>
      <c r="CP73" s="91"/>
      <c r="CQ73" s="219">
        <f>CQ72*$A$73</f>
        <v>0</v>
      </c>
      <c r="CR73" s="187">
        <f t="shared" ref="CR73" si="363">CR72*$A$73</f>
        <v>0</v>
      </c>
      <c r="CS73" s="187">
        <f t="shared" ref="CS73" si="364">CS72*$A$73</f>
        <v>0</v>
      </c>
      <c r="CT73" s="187">
        <f t="shared" ref="CT73" si="365">CT72*$A$73</f>
        <v>0</v>
      </c>
      <c r="CU73" s="217"/>
      <c r="CV73" s="187">
        <f>CV72*CO73</f>
        <v>0</v>
      </c>
      <c r="CW73" s="220"/>
      <c r="CX73" s="91"/>
      <c r="CY73" s="219">
        <f>CY72*$A$73</f>
        <v>0</v>
      </c>
      <c r="CZ73" s="187">
        <f t="shared" ref="CZ73" si="366">CZ72*$A$73</f>
        <v>0</v>
      </c>
      <c r="DA73" s="187">
        <f t="shared" ref="DA73" si="367">DA72*$A$73</f>
        <v>0</v>
      </c>
      <c r="DB73" s="187">
        <f t="shared" ref="DB73" si="368">DB72*$A$73</f>
        <v>0</v>
      </c>
      <c r="DC73" s="217"/>
      <c r="DD73" s="187">
        <f>DD72*CW73</f>
        <v>0</v>
      </c>
      <c r="DE73" s="220"/>
      <c r="DF73" s="8"/>
      <c r="DG73" s="287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</row>
    <row r="74" spans="1:135" s="11" customFormat="1" ht="13.15" customHeight="1">
      <c r="A74" s="329" t="s">
        <v>24</v>
      </c>
      <c r="B74" s="48" t="s">
        <v>12</v>
      </c>
      <c r="C74" s="125">
        <f>SUM(L74,T74,AB74,AJ74,AR74,AZ74,BH74,BQ74,BZ74,CI74,CQ74,CY74)</f>
        <v>40840</v>
      </c>
      <c r="D74" s="125">
        <f t="shared" ref="D74:D84" si="369">SUM(M74,U74,AC74,AK74,AS74,BA74,BI74,BR74,CA74,CJ74,CR74,CZ74)</f>
        <v>0</v>
      </c>
      <c r="E74" s="125">
        <f t="shared" ref="E74:E84" si="370">SUM(N74,V74,AD74,AL74,AT74,BB74,BJ74,BS74,CB74,CK74,CS74,DA74)</f>
        <v>40840</v>
      </c>
      <c r="F74" s="125">
        <f>SUM(O74,W74,AE74,AM74,AU74,BC74,BK74,BT74,CC74,CL74,CT74,DB74)</f>
        <v>40840</v>
      </c>
      <c r="G74" s="14">
        <f>D74/C74</f>
        <v>0</v>
      </c>
      <c r="H74" s="125">
        <f>SUM(Q74,Y74,AG74,AO74,AW74,BE74,BM74,BV74,CE74,CN74,CV74,DD74)</f>
        <v>0</v>
      </c>
      <c r="I74" s="14">
        <f>H74/C74</f>
        <v>0</v>
      </c>
      <c r="J74" s="194">
        <f>F74*$A$86</f>
        <v>49444.988000000005</v>
      </c>
      <c r="K74" s="100"/>
      <c r="L74" s="58">
        <v>0</v>
      </c>
      <c r="M74" s="19">
        <v>0</v>
      </c>
      <c r="N74" s="19">
        <v>0</v>
      </c>
      <c r="O74" s="19">
        <v>0</v>
      </c>
      <c r="P74" s="52" t="e">
        <f t="shared" ref="P74:P87" si="371">M74/L74</f>
        <v>#DIV/0!</v>
      </c>
      <c r="Q74" s="118">
        <v>0</v>
      </c>
      <c r="R74" s="53" t="e">
        <f t="shared" si="193"/>
        <v>#DIV/0!</v>
      </c>
      <c r="S74" s="100"/>
      <c r="T74" s="58">
        <v>0</v>
      </c>
      <c r="U74" s="19">
        <v>0</v>
      </c>
      <c r="V74" s="19">
        <v>0</v>
      </c>
      <c r="W74" s="19">
        <v>0</v>
      </c>
      <c r="X74" s="52" t="e">
        <f t="shared" ref="X74:X87" si="372">U74/T74</f>
        <v>#DIV/0!</v>
      </c>
      <c r="Y74" s="119">
        <v>0</v>
      </c>
      <c r="Z74" s="53" t="e">
        <f t="shared" si="194"/>
        <v>#DIV/0!</v>
      </c>
      <c r="AA74" s="100"/>
      <c r="AB74" s="58">
        <v>0</v>
      </c>
      <c r="AC74" s="19">
        <v>0</v>
      </c>
      <c r="AD74" s="19">
        <v>0</v>
      </c>
      <c r="AE74" s="19">
        <v>0</v>
      </c>
      <c r="AF74" s="52" t="e">
        <f t="shared" ref="AF74:AF87" si="373">AC74/AB74</f>
        <v>#DIV/0!</v>
      </c>
      <c r="AG74" s="19">
        <v>0</v>
      </c>
      <c r="AH74" s="53" t="e">
        <f t="shared" si="195"/>
        <v>#DIV/0!</v>
      </c>
      <c r="AI74" s="100"/>
      <c r="AJ74" s="58">
        <v>0</v>
      </c>
      <c r="AK74" s="19">
        <v>0</v>
      </c>
      <c r="AL74" s="19">
        <v>0</v>
      </c>
      <c r="AM74" s="19">
        <v>0</v>
      </c>
      <c r="AN74" s="52" t="e">
        <f t="shared" ref="AN74:AN87" si="374">AK74/AJ74</f>
        <v>#DIV/0!</v>
      </c>
      <c r="AO74" s="19">
        <v>0</v>
      </c>
      <c r="AP74" s="53" t="e">
        <f t="shared" si="180"/>
        <v>#DIV/0!</v>
      </c>
      <c r="AQ74" s="100"/>
      <c r="AR74" s="58">
        <v>18840</v>
      </c>
      <c r="AS74" s="19">
        <v>0</v>
      </c>
      <c r="AT74" s="19">
        <v>18840</v>
      </c>
      <c r="AU74" s="19">
        <v>18840</v>
      </c>
      <c r="AV74" s="52">
        <f t="shared" ref="AV74:AV87" si="375">AS74/AR74</f>
        <v>0</v>
      </c>
      <c r="AW74" s="19">
        <v>0</v>
      </c>
      <c r="AX74" s="17">
        <f t="shared" si="196"/>
        <v>0</v>
      </c>
      <c r="AY74" s="100"/>
      <c r="AZ74" s="58">
        <v>0</v>
      </c>
      <c r="BA74" s="19">
        <v>0</v>
      </c>
      <c r="BB74" s="19">
        <v>0</v>
      </c>
      <c r="BC74" s="19">
        <v>0</v>
      </c>
      <c r="BD74" s="52" t="e">
        <f t="shared" ref="BD74:BD87" si="376">BA74/AZ74</f>
        <v>#DIV/0!</v>
      </c>
      <c r="BE74" s="19">
        <v>0</v>
      </c>
      <c r="BF74" s="53" t="e">
        <f t="shared" si="197"/>
        <v>#DIV/0!</v>
      </c>
      <c r="BG74" s="100"/>
      <c r="BH74" s="269">
        <v>11000</v>
      </c>
      <c r="BI74" s="118">
        <v>0</v>
      </c>
      <c r="BJ74" s="118">
        <v>11000</v>
      </c>
      <c r="BK74" s="118">
        <v>11000</v>
      </c>
      <c r="BL74" s="66">
        <f>BI74/BH74</f>
        <v>0</v>
      </c>
      <c r="BM74" s="118">
        <v>0</v>
      </c>
      <c r="BN74" s="67">
        <f t="shared" si="199"/>
        <v>0</v>
      </c>
      <c r="BO74" s="194">
        <f>BK74*$A$86</f>
        <v>13317.7</v>
      </c>
      <c r="BP74" s="100"/>
      <c r="BQ74" s="269">
        <v>11000</v>
      </c>
      <c r="BR74" s="118">
        <v>0</v>
      </c>
      <c r="BS74" s="118">
        <v>11000</v>
      </c>
      <c r="BT74" s="118">
        <v>11000</v>
      </c>
      <c r="BU74" s="66">
        <f>BR74/BQ74</f>
        <v>0</v>
      </c>
      <c r="BV74" s="118">
        <v>0</v>
      </c>
      <c r="BW74" s="67">
        <f t="shared" si="201"/>
        <v>0</v>
      </c>
      <c r="BX74" s="294">
        <f>BT74*$A$86</f>
        <v>13317.7</v>
      </c>
      <c r="BY74" s="100"/>
      <c r="BZ74" s="269">
        <v>0</v>
      </c>
      <c r="CA74" s="118">
        <v>0</v>
      </c>
      <c r="CB74" s="118">
        <v>0</v>
      </c>
      <c r="CC74" s="118">
        <v>0</v>
      </c>
      <c r="CD74" s="66" t="e">
        <f t="shared" ref="CD74:CD87" si="377">CA74/BZ74</f>
        <v>#DIV/0!</v>
      </c>
      <c r="CE74" s="118">
        <v>0</v>
      </c>
      <c r="CF74" s="67" t="e">
        <f t="shared" si="202"/>
        <v>#DIV/0!</v>
      </c>
      <c r="CG74" s="294">
        <f>CC74*$A$86</f>
        <v>0</v>
      </c>
      <c r="CH74" s="100"/>
      <c r="CI74" s="123">
        <v>0</v>
      </c>
      <c r="CJ74" s="120">
        <v>0</v>
      </c>
      <c r="CK74" s="120">
        <v>0</v>
      </c>
      <c r="CL74" s="120">
        <v>0</v>
      </c>
      <c r="CM74" s="121" t="e">
        <f t="shared" ref="CM74:CM87" si="378">CJ74/CI74</f>
        <v>#DIV/0!</v>
      </c>
      <c r="CN74" s="120">
        <v>0</v>
      </c>
      <c r="CO74" s="122" t="e">
        <f t="shared" si="203"/>
        <v>#DIV/0!</v>
      </c>
      <c r="CP74" s="100"/>
      <c r="CQ74" s="123">
        <v>0</v>
      </c>
      <c r="CR74" s="120">
        <v>0</v>
      </c>
      <c r="CS74" s="120">
        <v>0</v>
      </c>
      <c r="CT74" s="120">
        <v>0</v>
      </c>
      <c r="CU74" s="121" t="e">
        <f t="shared" ref="CU74:CU87" si="379">CR74/CQ74</f>
        <v>#DIV/0!</v>
      </c>
      <c r="CV74" s="120">
        <v>0</v>
      </c>
      <c r="CW74" s="122" t="e">
        <f t="shared" si="204"/>
        <v>#DIV/0!</v>
      </c>
      <c r="CX74" s="100"/>
      <c r="CY74" s="123">
        <v>0</v>
      </c>
      <c r="CZ74" s="120">
        <v>0</v>
      </c>
      <c r="DA74" s="120">
        <v>0</v>
      </c>
      <c r="DB74" s="120">
        <v>0</v>
      </c>
      <c r="DC74" s="121" t="e">
        <f t="shared" ref="DC74:DC87" si="380">CZ74/CY74</f>
        <v>#DIV/0!</v>
      </c>
      <c r="DD74" s="120">
        <v>0</v>
      </c>
      <c r="DE74" s="122" t="e">
        <f t="shared" si="205"/>
        <v>#DIV/0!</v>
      </c>
      <c r="DF74" s="9"/>
      <c r="DG74" s="290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</row>
    <row r="75" spans="1:135" s="11" customFormat="1" ht="13.15" customHeight="1">
      <c r="A75" s="330"/>
      <c r="B75" s="49" t="s">
        <v>13</v>
      </c>
      <c r="C75" s="125">
        <f t="shared" ref="C75:C84" si="381">SUM(L75,T75,AB75,AJ75,AR75,AZ75,BH75,BQ75,BZ75,CI75,CQ75,CY75)</f>
        <v>338501.23864197533</v>
      </c>
      <c r="D75" s="125">
        <f t="shared" si="369"/>
        <v>64315.238641975331</v>
      </c>
      <c r="E75" s="125">
        <f t="shared" si="370"/>
        <v>274186</v>
      </c>
      <c r="F75" s="125">
        <f t="shared" ref="F75:F84" si="382">SUM(O75,W75,AE75,AM75,AU75,BC75,BK75,BT75,CC75,CL75,CT75,DB75)</f>
        <v>274186</v>
      </c>
      <c r="G75" s="14">
        <f t="shared" ref="G75:G84" si="383">D75/C75</f>
        <v>0.19000000974885656</v>
      </c>
      <c r="H75" s="125">
        <f t="shared" ref="H75:H81" si="384">SUM(Q75,Y75,AG75,AO75,AW75,BE75,BM75,BV75,CE75,CN75,CV75,DD75)</f>
        <v>0</v>
      </c>
      <c r="I75" s="14">
        <f t="shared" ref="I75" si="385">H75/C75</f>
        <v>0</v>
      </c>
      <c r="J75" s="194">
        <f>F75*$A$86</f>
        <v>331956.99020000006</v>
      </c>
      <c r="K75" s="100"/>
      <c r="L75" s="58">
        <v>24197.530864197532</v>
      </c>
      <c r="M75" s="19">
        <v>4597.5308641975325</v>
      </c>
      <c r="N75" s="19">
        <v>19600</v>
      </c>
      <c r="O75" s="19">
        <v>19600</v>
      </c>
      <c r="P75" s="52">
        <f t="shared" si="371"/>
        <v>0.19000000000000006</v>
      </c>
      <c r="Q75" s="118">
        <v>0</v>
      </c>
      <c r="R75" s="53">
        <f t="shared" ref="R75" si="386">Q75/L75</f>
        <v>0</v>
      </c>
      <c r="S75" s="100"/>
      <c r="T75" s="58">
        <v>27222.222222222226</v>
      </c>
      <c r="U75" s="19">
        <v>5172.2222222222244</v>
      </c>
      <c r="V75" s="19">
        <v>22050</v>
      </c>
      <c r="W75" s="19">
        <v>22050</v>
      </c>
      <c r="X75" s="52">
        <f t="shared" si="372"/>
        <v>0.19000000000000006</v>
      </c>
      <c r="Y75" s="119">
        <v>0</v>
      </c>
      <c r="Z75" s="53">
        <f t="shared" ref="Z75" si="387">Y75/T75</f>
        <v>0</v>
      </c>
      <c r="AA75" s="100"/>
      <c r="AB75" s="58">
        <v>67407.407407407416</v>
      </c>
      <c r="AC75" s="19">
        <v>12807.407407407412</v>
      </c>
      <c r="AD75" s="19">
        <v>54600</v>
      </c>
      <c r="AE75" s="19">
        <v>54600</v>
      </c>
      <c r="AF75" s="52">
        <f t="shared" si="373"/>
        <v>0.19000000000000006</v>
      </c>
      <c r="AG75" s="19">
        <v>0</v>
      </c>
      <c r="AH75" s="53">
        <f t="shared" ref="AH75" si="388">AG75/AB75</f>
        <v>0</v>
      </c>
      <c r="AI75" s="100"/>
      <c r="AJ75" s="58">
        <v>37382.716049382718</v>
      </c>
      <c r="AK75" s="19">
        <v>7102.7160493827187</v>
      </c>
      <c r="AL75" s="19">
        <v>30280</v>
      </c>
      <c r="AM75" s="19">
        <v>30280</v>
      </c>
      <c r="AN75" s="52">
        <f t="shared" si="374"/>
        <v>0.19000000000000006</v>
      </c>
      <c r="AO75" s="19">
        <v>0</v>
      </c>
      <c r="AP75" s="53">
        <f t="shared" ref="AP75" si="389">AO75/AJ75</f>
        <v>0</v>
      </c>
      <c r="AQ75" s="100"/>
      <c r="AR75" s="58">
        <v>29580.246913580249</v>
      </c>
      <c r="AS75" s="19">
        <v>5620.2469135802494</v>
      </c>
      <c r="AT75" s="19">
        <v>23960</v>
      </c>
      <c r="AU75" s="19">
        <v>23960</v>
      </c>
      <c r="AV75" s="52">
        <f t="shared" si="375"/>
        <v>0.19000000000000006</v>
      </c>
      <c r="AW75" s="19">
        <v>0</v>
      </c>
      <c r="AX75" s="17">
        <f t="shared" si="196"/>
        <v>0</v>
      </c>
      <c r="AY75" s="100"/>
      <c r="AZ75" s="58">
        <v>37382.716049382718</v>
      </c>
      <c r="BA75" s="19">
        <v>7102.7160493827187</v>
      </c>
      <c r="BB75" s="19">
        <v>30280</v>
      </c>
      <c r="BC75" s="19">
        <v>30280</v>
      </c>
      <c r="BD75" s="52">
        <f t="shared" si="376"/>
        <v>0.19000000000000006</v>
      </c>
      <c r="BE75" s="19">
        <v>0</v>
      </c>
      <c r="BF75" s="53">
        <f t="shared" si="197"/>
        <v>0</v>
      </c>
      <c r="BG75" s="100"/>
      <c r="BH75" s="269">
        <v>37382.716049382718</v>
      </c>
      <c r="BI75" s="118">
        <v>7102.7160493827187</v>
      </c>
      <c r="BJ75" s="118">
        <v>30280</v>
      </c>
      <c r="BK75" s="118">
        <v>30280</v>
      </c>
      <c r="BL75" s="66">
        <f t="shared" ref="BL75:BL85" si="390">BI75/BH75</f>
        <v>0.19000000000000006</v>
      </c>
      <c r="BM75" s="118">
        <v>0</v>
      </c>
      <c r="BN75" s="67">
        <f t="shared" si="199"/>
        <v>0</v>
      </c>
      <c r="BO75" s="194">
        <f>BK75*$A$86</f>
        <v>36659.996000000006</v>
      </c>
      <c r="BP75" s="100"/>
      <c r="BQ75" s="269">
        <v>36019.753086419754</v>
      </c>
      <c r="BR75" s="118">
        <v>6843.7530864197561</v>
      </c>
      <c r="BS75" s="118">
        <v>29176</v>
      </c>
      <c r="BT75" s="118">
        <v>29176</v>
      </c>
      <c r="BU75" s="66">
        <f t="shared" ref="BU75:BU85" si="391">BR75/BQ75</f>
        <v>0.19000000000000009</v>
      </c>
      <c r="BV75" s="118">
        <v>0</v>
      </c>
      <c r="BW75" s="67">
        <f t="shared" si="201"/>
        <v>0</v>
      </c>
      <c r="BX75" s="294">
        <f>BT75*$A$86</f>
        <v>35323.383200000004</v>
      </c>
      <c r="BY75" s="100"/>
      <c r="BZ75" s="269">
        <v>41925.93</v>
      </c>
      <c r="CA75" s="118">
        <v>7965.93</v>
      </c>
      <c r="CB75" s="118">
        <v>33960</v>
      </c>
      <c r="CC75" s="118">
        <v>33960</v>
      </c>
      <c r="CD75" s="66">
        <f t="shared" si="377"/>
        <v>0.19000007871023972</v>
      </c>
      <c r="CE75" s="118">
        <v>0</v>
      </c>
      <c r="CF75" s="67">
        <f t="shared" si="202"/>
        <v>0</v>
      </c>
      <c r="CG75" s="294">
        <f>CC75*$A$86</f>
        <v>41115.372000000003</v>
      </c>
      <c r="CH75" s="100"/>
      <c r="CI75" s="123">
        <v>0</v>
      </c>
      <c r="CJ75" s="120">
        <v>0</v>
      </c>
      <c r="CK75" s="120">
        <v>0</v>
      </c>
      <c r="CL75" s="120">
        <v>0</v>
      </c>
      <c r="CM75" s="121" t="e">
        <f t="shared" si="378"/>
        <v>#DIV/0!</v>
      </c>
      <c r="CN75" s="120">
        <v>0</v>
      </c>
      <c r="CO75" s="122" t="e">
        <f t="shared" si="203"/>
        <v>#DIV/0!</v>
      </c>
      <c r="CP75" s="100"/>
      <c r="CQ75" s="123">
        <v>0</v>
      </c>
      <c r="CR75" s="120">
        <v>0</v>
      </c>
      <c r="CS75" s="120">
        <v>0</v>
      </c>
      <c r="CT75" s="120">
        <v>0</v>
      </c>
      <c r="CU75" s="121" t="e">
        <f t="shared" si="379"/>
        <v>#DIV/0!</v>
      </c>
      <c r="CV75" s="120">
        <v>0</v>
      </c>
      <c r="CW75" s="122" t="e">
        <f t="shared" si="204"/>
        <v>#DIV/0!</v>
      </c>
      <c r="CX75" s="100"/>
      <c r="CY75" s="123">
        <v>0</v>
      </c>
      <c r="CZ75" s="120">
        <v>0</v>
      </c>
      <c r="DA75" s="120">
        <v>0</v>
      </c>
      <c r="DB75" s="120">
        <v>0</v>
      </c>
      <c r="DC75" s="121" t="e">
        <f t="shared" si="380"/>
        <v>#DIV/0!</v>
      </c>
      <c r="DD75" s="120">
        <v>0</v>
      </c>
      <c r="DE75" s="122" t="e">
        <f t="shared" si="205"/>
        <v>#DIV/0!</v>
      </c>
      <c r="DF75" s="9"/>
      <c r="DG75" s="290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</row>
    <row r="76" spans="1:135" s="11" customFormat="1" ht="13.15" customHeight="1">
      <c r="A76" s="330"/>
      <c r="B76" s="49" t="s">
        <v>62</v>
      </c>
      <c r="C76" s="125"/>
      <c r="D76" s="125"/>
      <c r="E76" s="125"/>
      <c r="F76" s="125"/>
      <c r="G76" s="14"/>
      <c r="H76" s="125"/>
      <c r="I76" s="14"/>
      <c r="J76" s="194"/>
      <c r="K76" s="98"/>
      <c r="L76" s="57"/>
      <c r="M76" s="20"/>
      <c r="N76" s="20"/>
      <c r="O76" s="20"/>
      <c r="P76" s="52"/>
      <c r="Q76" s="63"/>
      <c r="R76" s="53"/>
      <c r="S76" s="98"/>
      <c r="T76" s="65"/>
      <c r="U76" s="63"/>
      <c r="V76" s="63"/>
      <c r="W76" s="63"/>
      <c r="X76" s="66"/>
      <c r="Y76" s="64"/>
      <c r="Z76" s="17"/>
      <c r="AA76" s="98"/>
      <c r="AB76" s="65"/>
      <c r="AC76" s="63"/>
      <c r="AD76" s="63"/>
      <c r="AE76" s="63"/>
      <c r="AF76" s="66"/>
      <c r="AG76" s="63"/>
      <c r="AH76" s="67"/>
      <c r="AI76" s="98"/>
      <c r="AJ76" s="57"/>
      <c r="AK76" s="20"/>
      <c r="AL76" s="20"/>
      <c r="AM76" s="20"/>
      <c r="AN76" s="52"/>
      <c r="AO76" s="20"/>
      <c r="AP76" s="53"/>
      <c r="AQ76" s="98"/>
      <c r="AR76" s="57"/>
      <c r="AS76" s="20"/>
      <c r="AT76" s="20"/>
      <c r="AU76" s="20"/>
      <c r="AV76" s="52"/>
      <c r="AW76" s="20"/>
      <c r="AX76" s="53"/>
      <c r="AY76" s="98"/>
      <c r="AZ76" s="57"/>
      <c r="BA76" s="20"/>
      <c r="BB76" s="20"/>
      <c r="BC76" s="20"/>
      <c r="BD76" s="52"/>
      <c r="BE76" s="20"/>
      <c r="BF76" s="53"/>
      <c r="BG76" s="98"/>
      <c r="BH76" s="57"/>
      <c r="BI76" s="20"/>
      <c r="BJ76" s="20"/>
      <c r="BK76" s="20"/>
      <c r="BL76" s="52"/>
      <c r="BM76" s="20"/>
      <c r="BN76" s="53"/>
      <c r="BO76" s="194"/>
      <c r="BP76" s="98"/>
      <c r="BQ76" s="57"/>
      <c r="BR76" s="20"/>
      <c r="BS76" s="20"/>
      <c r="BT76" s="20"/>
      <c r="BU76" s="52"/>
      <c r="BV76" s="20"/>
      <c r="BW76" s="53"/>
      <c r="BX76" s="294"/>
      <c r="BY76" s="98"/>
      <c r="BZ76" s="57"/>
      <c r="CA76" s="20"/>
      <c r="CB76" s="20"/>
      <c r="CC76" s="20"/>
      <c r="CD76" s="52"/>
      <c r="CE76" s="63"/>
      <c r="CF76" s="53"/>
      <c r="CG76" s="294"/>
      <c r="CH76" s="98"/>
      <c r="CI76" s="251"/>
      <c r="CJ76" s="252"/>
      <c r="CK76" s="252"/>
      <c r="CL76" s="252"/>
      <c r="CM76" s="111"/>
      <c r="CN76" s="253"/>
      <c r="CO76" s="113"/>
      <c r="CP76" s="98"/>
      <c r="CQ76" s="251"/>
      <c r="CR76" s="252"/>
      <c r="CS76" s="252"/>
      <c r="CT76" s="252"/>
      <c r="CU76" s="111"/>
      <c r="CV76" s="253"/>
      <c r="CW76" s="113"/>
      <c r="CX76" s="98"/>
      <c r="CY76" s="251"/>
      <c r="CZ76" s="252"/>
      <c r="DA76" s="252"/>
      <c r="DB76" s="252"/>
      <c r="DC76" s="111"/>
      <c r="DD76" s="253"/>
      <c r="DE76" s="113"/>
      <c r="DF76" s="9"/>
      <c r="DG76" s="290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</row>
    <row r="77" spans="1:135" s="7" customFormat="1" ht="13" customHeight="1">
      <c r="A77" s="330"/>
      <c r="B77" s="49" t="s">
        <v>40</v>
      </c>
      <c r="C77" s="45"/>
      <c r="D77" s="45"/>
      <c r="E77" s="45"/>
      <c r="F77" s="45"/>
      <c r="G77" s="14"/>
      <c r="H77" s="45"/>
      <c r="I77" s="14"/>
      <c r="J77" s="190"/>
      <c r="K77" s="90"/>
      <c r="L77" s="51"/>
      <c r="M77" s="45"/>
      <c r="N77" s="45"/>
      <c r="O77" s="45"/>
      <c r="P77" s="52"/>
      <c r="Q77" s="45"/>
      <c r="R77" s="53"/>
      <c r="S77" s="90"/>
      <c r="T77" s="130"/>
      <c r="U77" s="131"/>
      <c r="V77" s="131"/>
      <c r="W77" s="131"/>
      <c r="X77" s="66"/>
      <c r="Y77" s="131"/>
      <c r="Z77" s="67"/>
      <c r="AA77" s="90"/>
      <c r="AB77" s="51"/>
      <c r="AC77" s="45"/>
      <c r="AD77" s="45"/>
      <c r="AE77" s="45"/>
      <c r="AF77" s="52"/>
      <c r="AG77" s="131"/>
      <c r="AH77" s="53"/>
      <c r="AI77" s="90"/>
      <c r="AJ77" s="130"/>
      <c r="AK77" s="131"/>
      <c r="AL77" s="131"/>
      <c r="AM77" s="131"/>
      <c r="AN77" s="66"/>
      <c r="AO77" s="131"/>
      <c r="AP77" s="67"/>
      <c r="AQ77" s="90"/>
      <c r="AR77" s="130"/>
      <c r="AS77" s="131"/>
      <c r="AT77" s="131"/>
      <c r="AU77" s="131"/>
      <c r="AV77" s="66"/>
      <c r="AW77" s="131"/>
      <c r="AX77" s="67"/>
      <c r="AY77" s="90"/>
      <c r="AZ77" s="130"/>
      <c r="BA77" s="131"/>
      <c r="BB77" s="131"/>
      <c r="BC77" s="131"/>
      <c r="BD77" s="66"/>
      <c r="BE77" s="131"/>
      <c r="BF77" s="67"/>
      <c r="BG77" s="90"/>
      <c r="BH77" s="130"/>
      <c r="BI77" s="131"/>
      <c r="BJ77" s="131"/>
      <c r="BK77" s="131"/>
      <c r="BL77" s="66" t="e">
        <f t="shared" si="390"/>
        <v>#DIV/0!</v>
      </c>
      <c r="BM77" s="131"/>
      <c r="BN77" s="67" t="e">
        <f t="shared" si="199"/>
        <v>#DIV/0!</v>
      </c>
      <c r="BO77" s="190"/>
      <c r="BP77" s="90"/>
      <c r="BQ77" s="130"/>
      <c r="BR77" s="131"/>
      <c r="BS77" s="131"/>
      <c r="BT77" s="131"/>
      <c r="BU77" s="66"/>
      <c r="BV77" s="131"/>
      <c r="BW77" s="67"/>
      <c r="BX77" s="294"/>
      <c r="BY77" s="90"/>
      <c r="BZ77" s="130"/>
      <c r="CA77" s="131"/>
      <c r="CB77" s="131"/>
      <c r="CC77" s="131"/>
      <c r="CD77" s="66"/>
      <c r="CE77" s="131"/>
      <c r="CF77" s="67"/>
      <c r="CG77" s="294"/>
      <c r="CH77" s="90"/>
      <c r="CI77" s="133"/>
      <c r="CJ77" s="134"/>
      <c r="CK77" s="134"/>
      <c r="CL77" s="134"/>
      <c r="CM77" s="121"/>
      <c r="CN77" s="134"/>
      <c r="CO77" s="122"/>
      <c r="CP77" s="90"/>
      <c r="CQ77" s="133"/>
      <c r="CR77" s="134"/>
      <c r="CS77" s="134"/>
      <c r="CT77" s="134"/>
      <c r="CU77" s="121"/>
      <c r="CV77" s="134"/>
      <c r="CW77" s="122"/>
      <c r="CX77" s="90"/>
      <c r="CY77" s="133"/>
      <c r="CZ77" s="134"/>
      <c r="DA77" s="134"/>
      <c r="DB77" s="134"/>
      <c r="DC77" s="121"/>
      <c r="DD77" s="134"/>
      <c r="DE77" s="122"/>
      <c r="DF77" s="6"/>
      <c r="DG77" s="289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</row>
    <row r="78" spans="1:135" s="7" customFormat="1" ht="13" customHeight="1">
      <c r="A78" s="330"/>
      <c r="B78" s="49" t="s">
        <v>41</v>
      </c>
      <c r="C78" s="45"/>
      <c r="D78" s="45"/>
      <c r="E78" s="45"/>
      <c r="F78" s="45"/>
      <c r="G78" s="14"/>
      <c r="H78" s="45"/>
      <c r="I78" s="14"/>
      <c r="J78" s="190"/>
      <c r="K78" s="90"/>
      <c r="L78" s="51"/>
      <c r="M78" s="45"/>
      <c r="N78" s="45"/>
      <c r="O78" s="45"/>
      <c r="P78" s="52"/>
      <c r="Q78" s="45"/>
      <c r="R78" s="53"/>
      <c r="S78" s="90"/>
      <c r="T78" s="130"/>
      <c r="U78" s="131"/>
      <c r="V78" s="131"/>
      <c r="W78" s="131"/>
      <c r="X78" s="66"/>
      <c r="Y78" s="131"/>
      <c r="Z78" s="67"/>
      <c r="AA78" s="90"/>
      <c r="AB78" s="51"/>
      <c r="AC78" s="45"/>
      <c r="AD78" s="45"/>
      <c r="AE78" s="45"/>
      <c r="AF78" s="52"/>
      <c r="AG78" s="131"/>
      <c r="AH78" s="53"/>
      <c r="AI78" s="90"/>
      <c r="AJ78" s="130"/>
      <c r="AK78" s="131"/>
      <c r="AL78" s="131"/>
      <c r="AM78" s="131"/>
      <c r="AN78" s="66"/>
      <c r="AO78" s="131"/>
      <c r="AP78" s="67"/>
      <c r="AQ78" s="90"/>
      <c r="AR78" s="130"/>
      <c r="AS78" s="131"/>
      <c r="AT78" s="131"/>
      <c r="AU78" s="131"/>
      <c r="AV78" s="66"/>
      <c r="AW78" s="131"/>
      <c r="AX78" s="67"/>
      <c r="AY78" s="90"/>
      <c r="AZ78" s="130"/>
      <c r="BA78" s="131"/>
      <c r="BB78" s="131"/>
      <c r="BC78" s="131"/>
      <c r="BD78" s="66"/>
      <c r="BE78" s="131"/>
      <c r="BF78" s="67"/>
      <c r="BG78" s="90"/>
      <c r="BH78" s="130"/>
      <c r="BI78" s="131"/>
      <c r="BJ78" s="131"/>
      <c r="BK78" s="131"/>
      <c r="BL78" s="66" t="e">
        <f t="shared" si="390"/>
        <v>#DIV/0!</v>
      </c>
      <c r="BM78" s="131"/>
      <c r="BN78" s="67" t="e">
        <f t="shared" si="199"/>
        <v>#DIV/0!</v>
      </c>
      <c r="BO78" s="190"/>
      <c r="BP78" s="90"/>
      <c r="BQ78" s="130"/>
      <c r="BR78" s="131"/>
      <c r="BS78" s="131"/>
      <c r="BT78" s="131"/>
      <c r="BU78" s="66"/>
      <c r="BV78" s="131"/>
      <c r="BW78" s="67"/>
      <c r="BX78" s="294"/>
      <c r="BY78" s="90"/>
      <c r="BZ78" s="130"/>
      <c r="CA78" s="131"/>
      <c r="CB78" s="131"/>
      <c r="CC78" s="131"/>
      <c r="CD78" s="66"/>
      <c r="CE78" s="131"/>
      <c r="CF78" s="67"/>
      <c r="CG78" s="294"/>
      <c r="CH78" s="90"/>
      <c r="CI78" s="133"/>
      <c r="CJ78" s="134"/>
      <c r="CK78" s="134"/>
      <c r="CL78" s="134"/>
      <c r="CM78" s="121"/>
      <c r="CN78" s="134"/>
      <c r="CO78" s="122"/>
      <c r="CP78" s="90"/>
      <c r="CQ78" s="133"/>
      <c r="CR78" s="134"/>
      <c r="CS78" s="134"/>
      <c r="CT78" s="134"/>
      <c r="CU78" s="121"/>
      <c r="CV78" s="134"/>
      <c r="CW78" s="122"/>
      <c r="CX78" s="90"/>
      <c r="CY78" s="133"/>
      <c r="CZ78" s="134"/>
      <c r="DA78" s="134"/>
      <c r="DB78" s="134"/>
      <c r="DC78" s="121"/>
      <c r="DD78" s="134"/>
      <c r="DE78" s="122"/>
      <c r="DF78" s="6"/>
      <c r="DG78" s="289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</row>
    <row r="79" spans="1:135" s="7" customFormat="1" ht="13" customHeight="1">
      <c r="A79" s="330"/>
      <c r="B79" s="49" t="s">
        <v>42</v>
      </c>
      <c r="C79" s="45"/>
      <c r="D79" s="45"/>
      <c r="E79" s="45"/>
      <c r="F79" s="45"/>
      <c r="G79" s="14"/>
      <c r="H79" s="45"/>
      <c r="I79" s="14"/>
      <c r="J79" s="190"/>
      <c r="K79" s="90"/>
      <c r="L79" s="51"/>
      <c r="M79" s="45"/>
      <c r="N79" s="45"/>
      <c r="O79" s="45"/>
      <c r="P79" s="52"/>
      <c r="Q79" s="45"/>
      <c r="R79" s="53"/>
      <c r="S79" s="90"/>
      <c r="T79" s="130"/>
      <c r="U79" s="131"/>
      <c r="V79" s="131"/>
      <c r="W79" s="131"/>
      <c r="X79" s="66"/>
      <c r="Y79" s="131"/>
      <c r="Z79" s="67"/>
      <c r="AA79" s="90"/>
      <c r="AB79" s="51"/>
      <c r="AC79" s="45"/>
      <c r="AD79" s="45"/>
      <c r="AE79" s="45"/>
      <c r="AF79" s="52"/>
      <c r="AG79" s="131"/>
      <c r="AH79" s="53"/>
      <c r="AI79" s="90"/>
      <c r="AJ79" s="130"/>
      <c r="AK79" s="131"/>
      <c r="AL79" s="131"/>
      <c r="AM79" s="131"/>
      <c r="AN79" s="66"/>
      <c r="AO79" s="131"/>
      <c r="AP79" s="67"/>
      <c r="AQ79" s="90"/>
      <c r="AR79" s="130"/>
      <c r="AS79" s="131"/>
      <c r="AT79" s="131"/>
      <c r="AU79" s="131"/>
      <c r="AV79" s="66"/>
      <c r="AW79" s="131"/>
      <c r="AX79" s="67"/>
      <c r="AY79" s="90"/>
      <c r="AZ79" s="130"/>
      <c r="BA79" s="131"/>
      <c r="BB79" s="131"/>
      <c r="BC79" s="131"/>
      <c r="BD79" s="66"/>
      <c r="BE79" s="131"/>
      <c r="BF79" s="67"/>
      <c r="BG79" s="90"/>
      <c r="BH79" s="130"/>
      <c r="BI79" s="131"/>
      <c r="BJ79" s="131"/>
      <c r="BK79" s="131"/>
      <c r="BL79" s="66" t="e">
        <f t="shared" si="390"/>
        <v>#DIV/0!</v>
      </c>
      <c r="BM79" s="131"/>
      <c r="BN79" s="67" t="e">
        <f t="shared" si="199"/>
        <v>#DIV/0!</v>
      </c>
      <c r="BO79" s="190"/>
      <c r="BP79" s="90"/>
      <c r="BQ79" s="130"/>
      <c r="BR79" s="131"/>
      <c r="BS79" s="131"/>
      <c r="BT79" s="131"/>
      <c r="BU79" s="66"/>
      <c r="BV79" s="131"/>
      <c r="BW79" s="67"/>
      <c r="BX79" s="294"/>
      <c r="BY79" s="90"/>
      <c r="BZ79" s="130"/>
      <c r="CA79" s="131"/>
      <c r="CB79" s="131"/>
      <c r="CC79" s="131"/>
      <c r="CD79" s="66"/>
      <c r="CE79" s="131"/>
      <c r="CF79" s="67"/>
      <c r="CG79" s="294"/>
      <c r="CH79" s="90"/>
      <c r="CI79" s="133"/>
      <c r="CJ79" s="134"/>
      <c r="CK79" s="134"/>
      <c r="CL79" s="134"/>
      <c r="CM79" s="121"/>
      <c r="CN79" s="134"/>
      <c r="CO79" s="122"/>
      <c r="CP79" s="90"/>
      <c r="CQ79" s="133"/>
      <c r="CR79" s="134"/>
      <c r="CS79" s="134"/>
      <c r="CT79" s="134"/>
      <c r="CU79" s="121"/>
      <c r="CV79" s="134"/>
      <c r="CW79" s="122"/>
      <c r="CX79" s="90"/>
      <c r="CY79" s="133"/>
      <c r="CZ79" s="134"/>
      <c r="DA79" s="134"/>
      <c r="DB79" s="134"/>
      <c r="DC79" s="121"/>
      <c r="DD79" s="134"/>
      <c r="DE79" s="122"/>
      <c r="DF79" s="6"/>
      <c r="DG79" s="289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</row>
    <row r="80" spans="1:135" s="7" customFormat="1" ht="13" customHeight="1">
      <c r="A80" s="330"/>
      <c r="B80" s="49" t="s">
        <v>43</v>
      </c>
      <c r="C80" s="45"/>
      <c r="D80" s="45"/>
      <c r="E80" s="45"/>
      <c r="F80" s="45"/>
      <c r="G80" s="14"/>
      <c r="H80" s="45"/>
      <c r="I80" s="14"/>
      <c r="J80" s="190"/>
      <c r="K80" s="90"/>
      <c r="L80" s="51"/>
      <c r="M80" s="45"/>
      <c r="N80" s="45"/>
      <c r="O80" s="45"/>
      <c r="P80" s="52"/>
      <c r="Q80" s="45"/>
      <c r="R80" s="53"/>
      <c r="S80" s="90"/>
      <c r="T80" s="130"/>
      <c r="U80" s="131"/>
      <c r="V80" s="131"/>
      <c r="W80" s="131"/>
      <c r="X80" s="66"/>
      <c r="Y80" s="131"/>
      <c r="Z80" s="67"/>
      <c r="AA80" s="90"/>
      <c r="AB80" s="51"/>
      <c r="AC80" s="45"/>
      <c r="AD80" s="45"/>
      <c r="AE80" s="45"/>
      <c r="AF80" s="52"/>
      <c r="AG80" s="131"/>
      <c r="AH80" s="53"/>
      <c r="AI80" s="90"/>
      <c r="AJ80" s="130"/>
      <c r="AK80" s="131"/>
      <c r="AL80" s="131"/>
      <c r="AM80" s="131"/>
      <c r="AN80" s="66"/>
      <c r="AO80" s="131"/>
      <c r="AP80" s="67"/>
      <c r="AQ80" s="90"/>
      <c r="AR80" s="130"/>
      <c r="AS80" s="131"/>
      <c r="AT80" s="131"/>
      <c r="AU80" s="131"/>
      <c r="AV80" s="66"/>
      <c r="AW80" s="131"/>
      <c r="AX80" s="67"/>
      <c r="AY80" s="90"/>
      <c r="AZ80" s="130"/>
      <c r="BA80" s="131"/>
      <c r="BB80" s="131"/>
      <c r="BC80" s="131"/>
      <c r="BD80" s="66"/>
      <c r="BE80" s="131"/>
      <c r="BF80" s="67"/>
      <c r="BG80" s="90"/>
      <c r="BH80" s="130"/>
      <c r="BI80" s="131"/>
      <c r="BJ80" s="131"/>
      <c r="BK80" s="131"/>
      <c r="BL80" s="66" t="e">
        <f t="shared" si="390"/>
        <v>#DIV/0!</v>
      </c>
      <c r="BM80" s="131"/>
      <c r="BN80" s="67" t="e">
        <f t="shared" si="199"/>
        <v>#DIV/0!</v>
      </c>
      <c r="BO80" s="190"/>
      <c r="BP80" s="90"/>
      <c r="BQ80" s="130"/>
      <c r="BR80" s="131"/>
      <c r="BS80" s="131"/>
      <c r="BT80" s="131"/>
      <c r="BU80" s="66"/>
      <c r="BV80" s="131"/>
      <c r="BW80" s="67"/>
      <c r="BX80" s="294"/>
      <c r="BY80" s="90"/>
      <c r="BZ80" s="130"/>
      <c r="CA80" s="131"/>
      <c r="CB80" s="131"/>
      <c r="CC80" s="131"/>
      <c r="CD80" s="66"/>
      <c r="CE80" s="131"/>
      <c r="CF80" s="67"/>
      <c r="CG80" s="294"/>
      <c r="CH80" s="90"/>
      <c r="CI80" s="133"/>
      <c r="CJ80" s="134"/>
      <c r="CK80" s="134"/>
      <c r="CL80" s="134"/>
      <c r="CM80" s="121"/>
      <c r="CN80" s="134"/>
      <c r="CO80" s="122"/>
      <c r="CP80" s="90"/>
      <c r="CQ80" s="133"/>
      <c r="CR80" s="134"/>
      <c r="CS80" s="134"/>
      <c r="CT80" s="134"/>
      <c r="CU80" s="121"/>
      <c r="CV80" s="134"/>
      <c r="CW80" s="122"/>
      <c r="CX80" s="90"/>
      <c r="CY80" s="133"/>
      <c r="CZ80" s="134"/>
      <c r="DA80" s="134"/>
      <c r="DB80" s="134"/>
      <c r="DC80" s="121"/>
      <c r="DD80" s="134"/>
      <c r="DE80" s="122"/>
      <c r="DF80" s="6"/>
      <c r="DG80" s="289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</row>
    <row r="81" spans="1:135" s="11" customFormat="1" ht="13.15" customHeight="1">
      <c r="A81" s="330"/>
      <c r="B81" s="49" t="s">
        <v>14</v>
      </c>
      <c r="C81" s="125">
        <f t="shared" si="381"/>
        <v>354726.7533766235</v>
      </c>
      <c r="D81" s="125">
        <f t="shared" si="369"/>
        <v>81587.153376623464</v>
      </c>
      <c r="E81" s="125">
        <f t="shared" si="370"/>
        <v>273139.60000000003</v>
      </c>
      <c r="F81" s="125">
        <f t="shared" si="382"/>
        <v>273139.60000000003</v>
      </c>
      <c r="G81" s="14">
        <f t="shared" si="383"/>
        <v>0.23000000028190729</v>
      </c>
      <c r="H81" s="125">
        <f t="shared" si="384"/>
        <v>77750</v>
      </c>
      <c r="I81" s="14">
        <f>H81/C81</f>
        <v>0.21918279143002956</v>
      </c>
      <c r="J81" s="194">
        <f>F81*$A$86</f>
        <v>330690.11372000008</v>
      </c>
      <c r="K81" s="100"/>
      <c r="L81" s="58">
        <v>41220.77922077923</v>
      </c>
      <c r="M81" s="19">
        <v>9480.7792207792318</v>
      </c>
      <c r="N81" s="19">
        <v>31740</v>
      </c>
      <c r="O81" s="19">
        <v>31740</v>
      </c>
      <c r="P81" s="52">
        <f t="shared" si="371"/>
        <v>0.2300000000000002</v>
      </c>
      <c r="Q81" s="118">
        <v>7500</v>
      </c>
      <c r="R81" s="53">
        <f>Q81/L81</f>
        <v>0.18194706994328919</v>
      </c>
      <c r="S81" s="100"/>
      <c r="T81" s="58">
        <v>29870.129870129877</v>
      </c>
      <c r="U81" s="19">
        <v>6870.1298701298774</v>
      </c>
      <c r="V81" s="19">
        <v>23000</v>
      </c>
      <c r="W81" s="19">
        <v>23000</v>
      </c>
      <c r="X81" s="52">
        <f t="shared" si="372"/>
        <v>0.2300000000000002</v>
      </c>
      <c r="Y81" s="119">
        <v>7500</v>
      </c>
      <c r="Z81" s="53">
        <f>Y81/T81</f>
        <v>0.25108695652173907</v>
      </c>
      <c r="AA81" s="100"/>
      <c r="AB81" s="58">
        <v>29870.129870129877</v>
      </c>
      <c r="AC81" s="19">
        <v>6870.1298701298774</v>
      </c>
      <c r="AD81" s="19">
        <v>23000</v>
      </c>
      <c r="AE81" s="19">
        <v>23000</v>
      </c>
      <c r="AF81" s="52">
        <f t="shared" si="373"/>
        <v>0.2300000000000002</v>
      </c>
      <c r="AG81" s="19">
        <v>7500</v>
      </c>
      <c r="AH81" s="53">
        <f>AG81/AB81</f>
        <v>0.25108695652173907</v>
      </c>
      <c r="AI81" s="100"/>
      <c r="AJ81" s="58">
        <v>47554.025974025986</v>
      </c>
      <c r="AK81" s="19">
        <v>10937.425974025986</v>
      </c>
      <c r="AL81" s="19">
        <v>36616.6</v>
      </c>
      <c r="AM81" s="19">
        <v>36616.6</v>
      </c>
      <c r="AN81" s="52">
        <f t="shared" si="374"/>
        <v>0.23000000000000018</v>
      </c>
      <c r="AO81" s="19">
        <v>11050</v>
      </c>
      <c r="AP81" s="53">
        <f>AO81/AJ81</f>
        <v>0.23236728696820561</v>
      </c>
      <c r="AQ81" s="100"/>
      <c r="AR81" s="58">
        <v>47554.025974025986</v>
      </c>
      <c r="AS81" s="19">
        <v>10937.425974025986</v>
      </c>
      <c r="AT81" s="19">
        <v>36616.6</v>
      </c>
      <c r="AU81" s="19">
        <v>36616.6</v>
      </c>
      <c r="AV81" s="52">
        <f t="shared" si="375"/>
        <v>0.23000000000000018</v>
      </c>
      <c r="AW81" s="19">
        <v>11050</v>
      </c>
      <c r="AX81" s="17">
        <f t="shared" si="196"/>
        <v>0.23236728696820561</v>
      </c>
      <c r="AY81" s="100"/>
      <c r="AZ81" s="58">
        <v>47532.467532467548</v>
      </c>
      <c r="BA81" s="19">
        <v>10932.467532467545</v>
      </c>
      <c r="BB81" s="19">
        <v>36600</v>
      </c>
      <c r="BC81" s="19">
        <v>36600</v>
      </c>
      <c r="BD81" s="52">
        <f t="shared" si="376"/>
        <v>0.23000000000000018</v>
      </c>
      <c r="BE81" s="19">
        <v>11050</v>
      </c>
      <c r="BF81" s="53">
        <f t="shared" si="197"/>
        <v>0.23247267759562834</v>
      </c>
      <c r="BG81" s="100"/>
      <c r="BH81" s="269">
        <v>40627.532467532481</v>
      </c>
      <c r="BI81" s="118">
        <v>9344.3324675324784</v>
      </c>
      <c r="BJ81" s="118">
        <v>31283.200000000001</v>
      </c>
      <c r="BK81" s="118">
        <v>31283.200000000001</v>
      </c>
      <c r="BL81" s="66">
        <f t="shared" si="390"/>
        <v>0.2300000000000002</v>
      </c>
      <c r="BM81" s="118">
        <v>0</v>
      </c>
      <c r="BN81" s="67">
        <f t="shared" si="199"/>
        <v>0</v>
      </c>
      <c r="BO81" s="194">
        <f>BK81*$A$86</f>
        <v>37874.570240000001</v>
      </c>
      <c r="BP81" s="100"/>
      <c r="BQ81" s="269">
        <v>40627.532467532481</v>
      </c>
      <c r="BR81" s="118">
        <v>9344.3324675324784</v>
      </c>
      <c r="BS81" s="118">
        <v>31283.200000000001</v>
      </c>
      <c r="BT81" s="118">
        <v>31283.200000000001</v>
      </c>
      <c r="BU81" s="66">
        <f t="shared" si="391"/>
        <v>0.2300000000000002</v>
      </c>
      <c r="BV81" s="118">
        <v>11050</v>
      </c>
      <c r="BW81" s="67">
        <f t="shared" si="201"/>
        <v>0.27198304521276589</v>
      </c>
      <c r="BX81" s="294">
        <f>BT81*$A$86</f>
        <v>37874.570240000001</v>
      </c>
      <c r="BY81" s="100"/>
      <c r="BZ81" s="269">
        <v>29870.13</v>
      </c>
      <c r="CA81" s="118">
        <v>6870.13</v>
      </c>
      <c r="CB81" s="118">
        <v>23000</v>
      </c>
      <c r="CC81" s="118">
        <v>23000</v>
      </c>
      <c r="CD81" s="66">
        <f>CA81/BZ81</f>
        <v>0.23000000334782608</v>
      </c>
      <c r="CE81" s="118">
        <v>11050</v>
      </c>
      <c r="CF81" s="67">
        <f>CE81/BZ81</f>
        <v>0.36993478100028354</v>
      </c>
      <c r="CG81" s="294">
        <f>CC81*$A$86</f>
        <v>27846.100000000002</v>
      </c>
      <c r="CH81" s="100"/>
      <c r="CI81" s="123">
        <v>0</v>
      </c>
      <c r="CJ81" s="120">
        <v>0</v>
      </c>
      <c r="CK81" s="120">
        <v>0</v>
      </c>
      <c r="CL81" s="120">
        <v>0</v>
      </c>
      <c r="CM81" s="121" t="e">
        <f t="shared" si="378"/>
        <v>#DIV/0!</v>
      </c>
      <c r="CN81" s="120">
        <v>0</v>
      </c>
      <c r="CO81" s="122" t="e">
        <f t="shared" si="203"/>
        <v>#DIV/0!</v>
      </c>
      <c r="CP81" s="100"/>
      <c r="CQ81" s="123">
        <v>0</v>
      </c>
      <c r="CR81" s="120">
        <v>0</v>
      </c>
      <c r="CS81" s="120">
        <v>0</v>
      </c>
      <c r="CT81" s="120">
        <v>0</v>
      </c>
      <c r="CU81" s="121" t="e">
        <f t="shared" si="379"/>
        <v>#DIV/0!</v>
      </c>
      <c r="CV81" s="120">
        <v>0</v>
      </c>
      <c r="CW81" s="122" t="e">
        <f t="shared" si="204"/>
        <v>#DIV/0!</v>
      </c>
      <c r="CX81" s="100"/>
      <c r="CY81" s="123">
        <v>0</v>
      </c>
      <c r="CZ81" s="120">
        <v>0</v>
      </c>
      <c r="DA81" s="120">
        <v>0</v>
      </c>
      <c r="DB81" s="120">
        <v>0</v>
      </c>
      <c r="DC81" s="121" t="e">
        <f t="shared" si="380"/>
        <v>#DIV/0!</v>
      </c>
      <c r="DD81" s="120">
        <v>0</v>
      </c>
      <c r="DE81" s="122" t="e">
        <f t="shared" si="205"/>
        <v>#DIV/0!</v>
      </c>
      <c r="DF81" s="9"/>
      <c r="DG81" s="290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</row>
    <row r="82" spans="1:135" s="11" customFormat="1" ht="13.15" customHeight="1">
      <c r="A82" s="330"/>
      <c r="B82" s="49" t="s">
        <v>15</v>
      </c>
      <c r="C82" s="125">
        <f t="shared" si="381"/>
        <v>209391.66666666663</v>
      </c>
      <c r="D82" s="125">
        <f t="shared" si="369"/>
        <v>45859.666666666642</v>
      </c>
      <c r="E82" s="125">
        <f t="shared" si="370"/>
        <v>163532</v>
      </c>
      <c r="F82" s="125">
        <f t="shared" si="382"/>
        <v>163532</v>
      </c>
      <c r="G82" s="14">
        <f t="shared" si="383"/>
        <v>0.21901380984598234</v>
      </c>
      <c r="H82" s="125">
        <f>SUM(Q82,Y82,AG82,AO82,AW82,BE82,BM82,BV82,CE82,CN82,CV82,DD82)</f>
        <v>0</v>
      </c>
      <c r="I82" s="14">
        <f>H82/C82</f>
        <v>0</v>
      </c>
      <c r="J82" s="194">
        <f>F82*$A$86</f>
        <v>197988.19240000003</v>
      </c>
      <c r="K82" s="100"/>
      <c r="L82" s="58">
        <v>5520</v>
      </c>
      <c r="M82" s="19">
        <v>1104</v>
      </c>
      <c r="N82" s="19">
        <v>4416</v>
      </c>
      <c r="O82" s="19">
        <v>4416</v>
      </c>
      <c r="P82" s="52">
        <f t="shared" si="371"/>
        <v>0.2</v>
      </c>
      <c r="Q82" s="118">
        <v>0</v>
      </c>
      <c r="R82" s="53">
        <f>Q82/L82</f>
        <v>0</v>
      </c>
      <c r="S82" s="100"/>
      <c r="T82" s="58">
        <v>15520</v>
      </c>
      <c r="U82" s="19">
        <v>3104</v>
      </c>
      <c r="V82" s="19">
        <v>12416</v>
      </c>
      <c r="W82" s="19">
        <v>12416</v>
      </c>
      <c r="X82" s="52">
        <f t="shared" si="372"/>
        <v>0.2</v>
      </c>
      <c r="Y82" s="119">
        <v>0</v>
      </c>
      <c r="Z82" s="53">
        <f>Y82/T82</f>
        <v>0</v>
      </c>
      <c r="AA82" s="100"/>
      <c r="AB82" s="58">
        <v>20520</v>
      </c>
      <c r="AC82" s="19">
        <v>4104</v>
      </c>
      <c r="AD82" s="19">
        <v>16416</v>
      </c>
      <c r="AE82" s="19">
        <v>16416</v>
      </c>
      <c r="AF82" s="52">
        <f t="shared" si="373"/>
        <v>0.2</v>
      </c>
      <c r="AG82" s="19">
        <v>0</v>
      </c>
      <c r="AH82" s="53">
        <f>AG82/AB82</f>
        <v>0</v>
      </c>
      <c r="AI82" s="100"/>
      <c r="AJ82" s="58">
        <v>7705</v>
      </c>
      <c r="AK82" s="19">
        <v>1541</v>
      </c>
      <c r="AL82" s="19">
        <v>6164</v>
      </c>
      <c r="AM82" s="19">
        <v>6164</v>
      </c>
      <c r="AN82" s="52">
        <f t="shared" si="374"/>
        <v>0.2</v>
      </c>
      <c r="AO82" s="19">
        <v>0</v>
      </c>
      <c r="AP82" s="53">
        <f>AO82/AJ82</f>
        <v>0</v>
      </c>
      <c r="AQ82" s="100"/>
      <c r="AR82" s="58">
        <v>33120</v>
      </c>
      <c r="AS82" s="19">
        <v>6624</v>
      </c>
      <c r="AT82" s="19">
        <v>26496</v>
      </c>
      <c r="AU82" s="19">
        <v>26496</v>
      </c>
      <c r="AV82" s="52">
        <f t="shared" si="375"/>
        <v>0.2</v>
      </c>
      <c r="AW82" s="19">
        <v>0</v>
      </c>
      <c r="AX82" s="17">
        <f t="shared" si="196"/>
        <v>0</v>
      </c>
      <c r="AY82" s="100"/>
      <c r="AZ82" s="58">
        <v>10120</v>
      </c>
      <c r="BA82" s="19">
        <v>2024</v>
      </c>
      <c r="BB82" s="19">
        <v>8096</v>
      </c>
      <c r="BC82" s="19">
        <v>8096</v>
      </c>
      <c r="BD82" s="52">
        <f t="shared" si="376"/>
        <v>0.2</v>
      </c>
      <c r="BE82" s="19">
        <v>0</v>
      </c>
      <c r="BF82" s="53">
        <f t="shared" si="197"/>
        <v>0</v>
      </c>
      <c r="BG82" s="100"/>
      <c r="BH82" s="269">
        <v>79626.666666666642</v>
      </c>
      <c r="BI82" s="118">
        <v>19906.666666666646</v>
      </c>
      <c r="BJ82" s="118">
        <v>59720</v>
      </c>
      <c r="BK82" s="118">
        <v>59720</v>
      </c>
      <c r="BL82" s="66">
        <f t="shared" si="390"/>
        <v>0.24999999999999981</v>
      </c>
      <c r="BM82" s="118">
        <v>0</v>
      </c>
      <c r="BN82" s="67">
        <f t="shared" si="199"/>
        <v>0</v>
      </c>
      <c r="BO82" s="194">
        <f>BK82*$A$86</f>
        <v>72303.004000000001</v>
      </c>
      <c r="BP82" s="100"/>
      <c r="BQ82" s="269">
        <v>8740</v>
      </c>
      <c r="BR82" s="118">
        <v>1748</v>
      </c>
      <c r="BS82" s="118">
        <v>6992</v>
      </c>
      <c r="BT82" s="118">
        <v>6992</v>
      </c>
      <c r="BU82" s="66">
        <f t="shared" si="391"/>
        <v>0.2</v>
      </c>
      <c r="BV82" s="118">
        <v>0</v>
      </c>
      <c r="BW82" s="67">
        <f t="shared" si="201"/>
        <v>0</v>
      </c>
      <c r="BX82" s="294">
        <f>BT82*$A$86</f>
        <v>8465.2144000000008</v>
      </c>
      <c r="BY82" s="100"/>
      <c r="BZ82" s="269">
        <v>28520</v>
      </c>
      <c r="CA82" s="118">
        <v>5704</v>
      </c>
      <c r="CB82" s="118">
        <v>22816</v>
      </c>
      <c r="CC82" s="118">
        <v>22816</v>
      </c>
      <c r="CD82" s="66">
        <f t="shared" si="377"/>
        <v>0.2</v>
      </c>
      <c r="CE82" s="118">
        <v>0</v>
      </c>
      <c r="CF82" s="67">
        <f t="shared" si="202"/>
        <v>0</v>
      </c>
      <c r="CG82" s="294">
        <f>CC82*$A$86</f>
        <v>27623.331200000004</v>
      </c>
      <c r="CH82" s="100"/>
      <c r="CI82" s="123">
        <v>0</v>
      </c>
      <c r="CJ82" s="120">
        <v>0</v>
      </c>
      <c r="CK82" s="120">
        <v>0</v>
      </c>
      <c r="CL82" s="120">
        <v>0</v>
      </c>
      <c r="CM82" s="121" t="e">
        <f t="shared" si="378"/>
        <v>#DIV/0!</v>
      </c>
      <c r="CN82" s="120">
        <v>0</v>
      </c>
      <c r="CO82" s="122" t="e">
        <f t="shared" si="203"/>
        <v>#DIV/0!</v>
      </c>
      <c r="CP82" s="100"/>
      <c r="CQ82" s="123">
        <v>0</v>
      </c>
      <c r="CR82" s="120">
        <v>0</v>
      </c>
      <c r="CS82" s="120">
        <v>0</v>
      </c>
      <c r="CT82" s="120">
        <v>0</v>
      </c>
      <c r="CU82" s="121" t="e">
        <f t="shared" si="379"/>
        <v>#DIV/0!</v>
      </c>
      <c r="CV82" s="120">
        <v>0</v>
      </c>
      <c r="CW82" s="122" t="e">
        <f t="shared" si="204"/>
        <v>#DIV/0!</v>
      </c>
      <c r="CX82" s="100"/>
      <c r="CY82" s="123">
        <v>0</v>
      </c>
      <c r="CZ82" s="120">
        <v>0</v>
      </c>
      <c r="DA82" s="120">
        <v>0</v>
      </c>
      <c r="DB82" s="120">
        <v>0</v>
      </c>
      <c r="DC82" s="121" t="e">
        <f t="shared" si="380"/>
        <v>#DIV/0!</v>
      </c>
      <c r="DD82" s="120">
        <v>0</v>
      </c>
      <c r="DE82" s="122" t="e">
        <f t="shared" si="205"/>
        <v>#DIV/0!</v>
      </c>
      <c r="DF82" s="9"/>
      <c r="DG82" s="290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</row>
    <row r="83" spans="1:135" s="11" customFormat="1" ht="13.15" customHeight="1">
      <c r="A83" s="330"/>
      <c r="B83" s="49" t="s">
        <v>16</v>
      </c>
      <c r="C83" s="125">
        <f t="shared" si="381"/>
        <v>703304.42999999982</v>
      </c>
      <c r="D83" s="125">
        <f t="shared" si="369"/>
        <v>174331.10999999987</v>
      </c>
      <c r="E83" s="125">
        <f t="shared" si="370"/>
        <v>528973.32000000007</v>
      </c>
      <c r="F83" s="125">
        <f t="shared" si="382"/>
        <v>528973.32000000007</v>
      </c>
      <c r="G83" s="14">
        <f t="shared" si="383"/>
        <v>0.24787432378322985</v>
      </c>
      <c r="H83" s="125">
        <f>SUM(Q83,Y83,AG83,AO83,AW83,BE83,BM84,BV83,CE83,CN83,CV83,DD83)</f>
        <v>0</v>
      </c>
      <c r="I83" s="14">
        <f t="shared" ref="I83" si="392">H83/C83</f>
        <v>0</v>
      </c>
      <c r="J83" s="194">
        <f>F83*$A$86</f>
        <v>640427.99852400017</v>
      </c>
      <c r="K83" s="100"/>
      <c r="L83" s="58">
        <v>106897.75999999998</v>
      </c>
      <c r="M83" s="19">
        <v>26724.439999999973</v>
      </c>
      <c r="N83" s="19">
        <v>80173.320000000007</v>
      </c>
      <c r="O83" s="19">
        <v>80173.320000000007</v>
      </c>
      <c r="P83" s="52">
        <f t="shared" si="371"/>
        <v>0.24999999999999981</v>
      </c>
      <c r="Q83" s="118">
        <v>0</v>
      </c>
      <c r="R83" s="53">
        <f t="shared" ref="R83" si="393">Q83/L83</f>
        <v>0</v>
      </c>
      <c r="S83" s="100"/>
      <c r="T83" s="58">
        <v>86853.333333333314</v>
      </c>
      <c r="U83" s="19">
        <v>21713.33333333331</v>
      </c>
      <c r="V83" s="19">
        <v>65140</v>
      </c>
      <c r="W83" s="19">
        <v>65140</v>
      </c>
      <c r="X83" s="52">
        <f t="shared" si="372"/>
        <v>0.24999999999999978</v>
      </c>
      <c r="Y83" s="119">
        <v>0</v>
      </c>
      <c r="Z83" s="53">
        <f t="shared" ref="Z83" si="394">Y83/T83</f>
        <v>0</v>
      </c>
      <c r="AA83" s="100"/>
      <c r="AB83" s="58">
        <v>81519.999999999971</v>
      </c>
      <c r="AC83" s="19">
        <v>20379.999999999978</v>
      </c>
      <c r="AD83" s="19">
        <v>61140</v>
      </c>
      <c r="AE83" s="19">
        <v>61140</v>
      </c>
      <c r="AF83" s="52">
        <f t="shared" si="373"/>
        <v>0.24999999999999983</v>
      </c>
      <c r="AG83" s="19">
        <v>0</v>
      </c>
      <c r="AH83" s="53">
        <f t="shared" ref="AH83" si="395">AG83/AB83</f>
        <v>0</v>
      </c>
      <c r="AI83" s="100"/>
      <c r="AJ83" s="58">
        <v>79626.666666666642</v>
      </c>
      <c r="AK83" s="19">
        <v>19906.666666666646</v>
      </c>
      <c r="AL83" s="19">
        <v>59720</v>
      </c>
      <c r="AM83" s="19">
        <v>59720</v>
      </c>
      <c r="AN83" s="52">
        <f t="shared" si="374"/>
        <v>0.24999999999999981</v>
      </c>
      <c r="AO83" s="19">
        <v>0</v>
      </c>
      <c r="AP83" s="53">
        <f t="shared" ref="AP83" si="396">AO83/AJ83</f>
        <v>0</v>
      </c>
      <c r="AQ83" s="100"/>
      <c r="AR83" s="58">
        <v>79626.666666666642</v>
      </c>
      <c r="AS83" s="19">
        <v>19906.666666666646</v>
      </c>
      <c r="AT83" s="19">
        <v>59720</v>
      </c>
      <c r="AU83" s="19">
        <v>59720</v>
      </c>
      <c r="AV83" s="52">
        <f t="shared" si="375"/>
        <v>0.24999999999999981</v>
      </c>
      <c r="AW83" s="19">
        <v>0</v>
      </c>
      <c r="AX83" s="17">
        <f t="shared" ref="AX83" si="397">AW83/AR83</f>
        <v>0</v>
      </c>
      <c r="AY83" s="100"/>
      <c r="AZ83" s="58">
        <v>79626.666666666642</v>
      </c>
      <c r="BA83" s="19">
        <v>19906.666666666646</v>
      </c>
      <c r="BB83" s="19">
        <v>59720</v>
      </c>
      <c r="BC83" s="19">
        <v>59720</v>
      </c>
      <c r="BD83" s="52">
        <f t="shared" si="376"/>
        <v>0.24999999999999981</v>
      </c>
      <c r="BE83" s="19">
        <v>0</v>
      </c>
      <c r="BF83" s="53">
        <f t="shared" ref="BF83" si="398">BE83/AZ83</f>
        <v>0</v>
      </c>
      <c r="BG83" s="100"/>
      <c r="BH83" s="269">
        <v>29900</v>
      </c>
      <c r="BI83" s="118">
        <v>5980</v>
      </c>
      <c r="BJ83" s="118">
        <v>23920</v>
      </c>
      <c r="BK83" s="118">
        <v>23920</v>
      </c>
      <c r="BL83" s="66">
        <f t="shared" si="390"/>
        <v>0.2</v>
      </c>
      <c r="BM83" s="11">
        <v>0</v>
      </c>
      <c r="BN83" s="67">
        <f>BM84/BH83</f>
        <v>0</v>
      </c>
      <c r="BO83" s="194">
        <f>BK83*$A$86</f>
        <v>28959.944000000003</v>
      </c>
      <c r="BP83" s="100"/>
      <c r="BQ83" s="269">
        <v>79626.666666666642</v>
      </c>
      <c r="BR83" s="118">
        <v>19906.666666666646</v>
      </c>
      <c r="BS83" s="118">
        <v>59720</v>
      </c>
      <c r="BT83" s="118">
        <v>59720</v>
      </c>
      <c r="BU83" s="66">
        <f t="shared" si="391"/>
        <v>0.24999999999999981</v>
      </c>
      <c r="BV83" s="118">
        <v>0</v>
      </c>
      <c r="BW83" s="67">
        <f t="shared" ref="BW83" si="399">BV83/BQ83</f>
        <v>0</v>
      </c>
      <c r="BX83" s="294">
        <f>BT83*$A$86</f>
        <v>72303.004000000001</v>
      </c>
      <c r="BY83" s="100"/>
      <c r="BZ83" s="269">
        <v>79626.67</v>
      </c>
      <c r="CA83" s="118">
        <v>19906.669999999998</v>
      </c>
      <c r="CB83" s="118">
        <v>59720</v>
      </c>
      <c r="CC83" s="118">
        <v>59720</v>
      </c>
      <c r="CD83" s="66">
        <f t="shared" si="377"/>
        <v>0.25000003139651578</v>
      </c>
      <c r="CE83" s="118">
        <v>0</v>
      </c>
      <c r="CF83" s="67">
        <f t="shared" ref="CF83" si="400">CE83/BZ83</f>
        <v>0</v>
      </c>
      <c r="CG83" s="294">
        <f>CC83*$A$86</f>
        <v>72303.004000000001</v>
      </c>
      <c r="CH83" s="100"/>
      <c r="CI83" s="123">
        <v>0</v>
      </c>
      <c r="CJ83" s="120">
        <v>0</v>
      </c>
      <c r="CK83" s="120">
        <v>0</v>
      </c>
      <c r="CL83" s="120">
        <v>0</v>
      </c>
      <c r="CM83" s="121" t="e">
        <f t="shared" si="378"/>
        <v>#DIV/0!</v>
      </c>
      <c r="CN83" s="120">
        <v>0</v>
      </c>
      <c r="CO83" s="122" t="e">
        <f t="shared" ref="CO83" si="401">CN83/CI83</f>
        <v>#DIV/0!</v>
      </c>
      <c r="CP83" s="100"/>
      <c r="CQ83" s="123">
        <v>0</v>
      </c>
      <c r="CR83" s="120">
        <v>0</v>
      </c>
      <c r="CS83" s="120">
        <v>0</v>
      </c>
      <c r="CT83" s="120">
        <v>0</v>
      </c>
      <c r="CU83" s="121" t="e">
        <f t="shared" si="379"/>
        <v>#DIV/0!</v>
      </c>
      <c r="CV83" s="120">
        <v>0</v>
      </c>
      <c r="CW83" s="122" t="e">
        <f t="shared" ref="CW83" si="402">CV83/CQ83</f>
        <v>#DIV/0!</v>
      </c>
      <c r="CX83" s="100"/>
      <c r="CY83" s="123">
        <v>0</v>
      </c>
      <c r="CZ83" s="120">
        <v>0</v>
      </c>
      <c r="DA83" s="120">
        <v>0</v>
      </c>
      <c r="DB83" s="120">
        <v>0</v>
      </c>
      <c r="DC83" s="121" t="e">
        <f t="shared" si="380"/>
        <v>#DIV/0!</v>
      </c>
      <c r="DD83" s="120">
        <v>0</v>
      </c>
      <c r="DE83" s="122" t="e">
        <f t="shared" ref="DE83" si="403">DD83/CY83</f>
        <v>#DIV/0!</v>
      </c>
      <c r="DF83" s="9"/>
      <c r="DG83" s="290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</row>
    <row r="84" spans="1:135" s="11" customFormat="1" ht="13.15" customHeight="1">
      <c r="A84" s="330"/>
      <c r="B84" s="49" t="s">
        <v>17</v>
      </c>
      <c r="C84" s="125">
        <f t="shared" si="381"/>
        <v>417891.80700000003</v>
      </c>
      <c r="D84" s="125">
        <f t="shared" si="369"/>
        <v>137427.50700000001</v>
      </c>
      <c r="E84" s="125">
        <f t="shared" si="370"/>
        <v>280464.3</v>
      </c>
      <c r="F84" s="125">
        <f t="shared" si="382"/>
        <v>280464.3</v>
      </c>
      <c r="G84" s="14">
        <f t="shared" si="383"/>
        <v>0.32885906040268459</v>
      </c>
      <c r="H84" s="125">
        <f>SUM(Q84,Y84,AG84,AO84,AW84,BE84,BM85,BV84,CE84,CN84,CV84,DD84)</f>
        <v>0</v>
      </c>
      <c r="I84" s="14">
        <f>H84/C84</f>
        <v>0</v>
      </c>
      <c r="J84" s="194">
        <f>F84*$A$86</f>
        <v>339558.12801000004</v>
      </c>
      <c r="K84" s="100"/>
      <c r="L84" s="58">
        <v>22350</v>
      </c>
      <c r="M84" s="19">
        <v>7350</v>
      </c>
      <c r="N84" s="19">
        <v>15000</v>
      </c>
      <c r="O84" s="19">
        <v>15000</v>
      </c>
      <c r="P84" s="52">
        <f t="shared" si="371"/>
        <v>0.32885906040268459</v>
      </c>
      <c r="Q84" s="118">
        <v>0</v>
      </c>
      <c r="R84" s="53">
        <f>Q84/L84</f>
        <v>0</v>
      </c>
      <c r="S84" s="100"/>
      <c r="T84" s="58">
        <v>22350</v>
      </c>
      <c r="U84" s="19">
        <v>7350</v>
      </c>
      <c r="V84" s="19">
        <v>15000</v>
      </c>
      <c r="W84" s="19">
        <v>15000</v>
      </c>
      <c r="X84" s="52">
        <f t="shared" si="372"/>
        <v>0.32885906040268459</v>
      </c>
      <c r="Y84" s="119">
        <v>0</v>
      </c>
      <c r="Z84" s="53">
        <f>Y84/T84</f>
        <v>0</v>
      </c>
      <c r="AA84" s="100"/>
      <c r="AB84" s="58">
        <v>22350</v>
      </c>
      <c r="AC84" s="19">
        <v>7350</v>
      </c>
      <c r="AD84" s="19">
        <v>15000</v>
      </c>
      <c r="AE84" s="19">
        <v>15000</v>
      </c>
      <c r="AF84" s="52">
        <f t="shared" si="373"/>
        <v>0.32885906040268459</v>
      </c>
      <c r="AG84" s="19">
        <v>0</v>
      </c>
      <c r="AH84" s="53">
        <f>AG84/AB84</f>
        <v>0</v>
      </c>
      <c r="AI84" s="100"/>
      <c r="AJ84" s="58">
        <v>58474.007000000005</v>
      </c>
      <c r="AK84" s="19">
        <v>19229.707000000002</v>
      </c>
      <c r="AL84" s="19">
        <v>39244.300000000003</v>
      </c>
      <c r="AM84" s="19">
        <v>39244.300000000003</v>
      </c>
      <c r="AN84" s="52">
        <f t="shared" si="374"/>
        <v>0.32885906040268459</v>
      </c>
      <c r="AO84" s="19">
        <v>0</v>
      </c>
      <c r="AP84" s="53">
        <f t="shared" ref="AP84:AP96" si="404">AO84/AJ84</f>
        <v>0</v>
      </c>
      <c r="AQ84" s="100"/>
      <c r="AR84" s="58">
        <v>58473.56</v>
      </c>
      <c r="AS84" s="19">
        <v>19229.560000000001</v>
      </c>
      <c r="AT84" s="19">
        <v>39244</v>
      </c>
      <c r="AU84" s="19">
        <v>39244</v>
      </c>
      <c r="AV84" s="52">
        <f t="shared" si="375"/>
        <v>0.32885906040268459</v>
      </c>
      <c r="AW84" s="19">
        <v>0</v>
      </c>
      <c r="AX84" s="17">
        <f t="shared" ref="AX84:AX96" si="405">AW84/AR84</f>
        <v>0</v>
      </c>
      <c r="AY84" s="100"/>
      <c r="AZ84" s="58">
        <v>58473.56</v>
      </c>
      <c r="BA84" s="19">
        <v>19229.560000000001</v>
      </c>
      <c r="BB84" s="19">
        <v>39244</v>
      </c>
      <c r="BC84" s="19">
        <v>39244</v>
      </c>
      <c r="BD84" s="52">
        <f t="shared" si="376"/>
        <v>0.32885906040268459</v>
      </c>
      <c r="BE84" s="19">
        <v>0</v>
      </c>
      <c r="BF84" s="53">
        <f t="shared" ref="BF84:BF96" si="406">BE84/AZ84</f>
        <v>0</v>
      </c>
      <c r="BG84" s="100"/>
      <c r="BH84" s="269">
        <v>58473.56</v>
      </c>
      <c r="BI84" s="118">
        <v>19229.560000000001</v>
      </c>
      <c r="BJ84" s="118">
        <v>39244</v>
      </c>
      <c r="BK84" s="118">
        <v>39244</v>
      </c>
      <c r="BL84" s="66">
        <f t="shared" si="390"/>
        <v>0.32885906040268459</v>
      </c>
      <c r="BM84" s="118">
        <v>0</v>
      </c>
      <c r="BN84" s="67" t="e">
        <f>#REF!/BH84</f>
        <v>#REF!</v>
      </c>
      <c r="BO84" s="194">
        <f>BK84*$A$86</f>
        <v>47512.710800000001</v>
      </c>
      <c r="BP84" s="100"/>
      <c r="BQ84" s="269">
        <v>58473.56</v>
      </c>
      <c r="BR84" s="118">
        <v>19229.560000000001</v>
      </c>
      <c r="BS84" s="118">
        <v>39244</v>
      </c>
      <c r="BT84" s="118">
        <v>39244</v>
      </c>
      <c r="BU84" s="66">
        <f t="shared" si="391"/>
        <v>0.32885906040268459</v>
      </c>
      <c r="BV84" s="118">
        <v>0</v>
      </c>
      <c r="BW84" s="67">
        <f>BV84/BQ84</f>
        <v>0</v>
      </c>
      <c r="BX84" s="294">
        <f>BT84*$A$86</f>
        <v>47512.710800000001</v>
      </c>
      <c r="BY84" s="100"/>
      <c r="BZ84" s="269">
        <v>58473.56</v>
      </c>
      <c r="CA84" s="118">
        <v>19229.560000000001</v>
      </c>
      <c r="CB84" s="118">
        <v>39244</v>
      </c>
      <c r="CC84" s="118">
        <v>39244</v>
      </c>
      <c r="CD84" s="66">
        <f t="shared" si="377"/>
        <v>0.32885906040268459</v>
      </c>
      <c r="CE84" s="118">
        <v>0</v>
      </c>
      <c r="CF84" s="67">
        <f>CE84/BZ84</f>
        <v>0</v>
      </c>
      <c r="CG84" s="294">
        <f>CC84*$A$86</f>
        <v>47512.710800000001</v>
      </c>
      <c r="CH84" s="100"/>
      <c r="CI84" s="123">
        <v>0</v>
      </c>
      <c r="CJ84" s="120">
        <v>0</v>
      </c>
      <c r="CK84" s="120">
        <v>0</v>
      </c>
      <c r="CL84" s="120">
        <v>0</v>
      </c>
      <c r="CM84" s="121" t="e">
        <f t="shared" si="378"/>
        <v>#DIV/0!</v>
      </c>
      <c r="CN84" s="120">
        <v>0</v>
      </c>
      <c r="CO84" s="122" t="e">
        <f>CN84/CI84</f>
        <v>#DIV/0!</v>
      </c>
      <c r="CP84" s="100"/>
      <c r="CQ84" s="123">
        <v>0</v>
      </c>
      <c r="CR84" s="120">
        <v>0</v>
      </c>
      <c r="CS84" s="120">
        <v>0</v>
      </c>
      <c r="CT84" s="120">
        <v>0</v>
      </c>
      <c r="CU84" s="121" t="e">
        <f t="shared" si="379"/>
        <v>#DIV/0!</v>
      </c>
      <c r="CV84" s="120">
        <v>0</v>
      </c>
      <c r="CW84" s="122" t="e">
        <f>CV84/CQ84</f>
        <v>#DIV/0!</v>
      </c>
      <c r="CX84" s="100"/>
      <c r="CY84" s="123">
        <v>0</v>
      </c>
      <c r="CZ84" s="120">
        <v>0</v>
      </c>
      <c r="DA84" s="120">
        <v>0</v>
      </c>
      <c r="DB84" s="120">
        <v>0</v>
      </c>
      <c r="DC84" s="121" t="e">
        <f t="shared" si="380"/>
        <v>#DIV/0!</v>
      </c>
      <c r="DD84" s="120">
        <v>0</v>
      </c>
      <c r="DE84" s="122" t="e">
        <f>DD84/CY84</f>
        <v>#DIV/0!</v>
      </c>
      <c r="DF84" s="9"/>
      <c r="DG84" s="290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</row>
    <row r="85" spans="1:135" s="30" customFormat="1" ht="14.15" customHeight="1">
      <c r="A85" s="330"/>
      <c r="B85" s="170" t="s">
        <v>18</v>
      </c>
      <c r="C85" s="126">
        <f>SUM(C74:C84)</f>
        <v>2064655.8956852653</v>
      </c>
      <c r="D85" s="126">
        <f t="shared" ref="D85:E85" si="407">SUM(D74:D84)</f>
        <v>503520.67568526533</v>
      </c>
      <c r="E85" s="126">
        <f t="shared" si="407"/>
        <v>1561135.2200000002</v>
      </c>
      <c r="F85" s="126">
        <f>SUM(F74:F84)</f>
        <v>1561135.2200000002</v>
      </c>
      <c r="G85" s="15">
        <f>D85/C85</f>
        <v>0.24387631698702283</v>
      </c>
      <c r="H85" s="126">
        <f>SUM(H74:H84)</f>
        <v>77750</v>
      </c>
      <c r="I85" s="15">
        <f>H85/C85</f>
        <v>3.7657606849878754E-2</v>
      </c>
      <c r="J85" s="195" t="b">
        <f>J86=F86</f>
        <v>1</v>
      </c>
      <c r="K85" s="101"/>
      <c r="L85" s="179">
        <f>SUM(L74:L84)</f>
        <v>200186.07008497673</v>
      </c>
      <c r="M85" s="39">
        <f>SUM(M74:M84)</f>
        <v>49256.750084976738</v>
      </c>
      <c r="N85" s="39">
        <f>SUM(N74:N84)</f>
        <v>150929.32</v>
      </c>
      <c r="O85" s="39">
        <f>SUM(O74:O84)</f>
        <v>150929.32</v>
      </c>
      <c r="P85" s="15">
        <f t="shared" si="371"/>
        <v>0.24605483320626556</v>
      </c>
      <c r="Q85" s="39">
        <f>SUM(Q74:Q84)</f>
        <v>7500</v>
      </c>
      <c r="R85" s="62">
        <f>Q85/L85</f>
        <v>3.7465144287094174E-2</v>
      </c>
      <c r="S85" s="101"/>
      <c r="T85" s="78">
        <v>181815.68542568543</v>
      </c>
      <c r="U85" s="79">
        <v>44209.685425685413</v>
      </c>
      <c r="V85" s="79">
        <v>137606</v>
      </c>
      <c r="W85" s="79">
        <v>137606</v>
      </c>
      <c r="X85" s="15">
        <f t="shared" si="372"/>
        <v>0.24315660842009967</v>
      </c>
      <c r="Y85" s="79">
        <f>SUM(Y74:Y84)</f>
        <v>7500</v>
      </c>
      <c r="Z85" s="62">
        <f>Y85/T85</f>
        <v>4.125056637682406E-2</v>
      </c>
      <c r="AA85" s="101"/>
      <c r="AB85" s="78">
        <v>221667.53727753728</v>
      </c>
      <c r="AC85" s="79">
        <v>51511.537277537267</v>
      </c>
      <c r="AD85" s="79">
        <v>170156</v>
      </c>
      <c r="AE85" s="79">
        <v>170156</v>
      </c>
      <c r="AF85" s="15">
        <f t="shared" si="373"/>
        <v>0.23238196224033747</v>
      </c>
      <c r="AG85" s="79">
        <f>SUM(AG74:AG84)</f>
        <v>7500</v>
      </c>
      <c r="AH85" s="62">
        <f>AG85/AB85</f>
        <v>3.3834453579053743E-2</v>
      </c>
      <c r="AI85" s="101"/>
      <c r="AJ85" s="78">
        <f>SUM(AJ74:AJ84)</f>
        <v>230742.41569007534</v>
      </c>
      <c r="AK85" s="79">
        <f>SUM(AK74:AK84)</f>
        <v>58717.515690075357</v>
      </c>
      <c r="AL85" s="79">
        <f>SUM(AL74:AL84)</f>
        <v>172024.90000000002</v>
      </c>
      <c r="AM85" s="79">
        <f>SUM(AM74:AM84)</f>
        <v>172024.90000000002</v>
      </c>
      <c r="AN85" s="15">
        <f t="shared" si="374"/>
        <v>0.25447213731584811</v>
      </c>
      <c r="AO85" s="79">
        <f>SUM(AO74:AO84)</f>
        <v>11050</v>
      </c>
      <c r="AP85" s="62">
        <f t="shared" si="404"/>
        <v>4.7888897959887662E-2</v>
      </c>
      <c r="AQ85" s="101"/>
      <c r="AR85" s="78">
        <f>SUM(AR74:AR84)</f>
        <v>267194.49955427286</v>
      </c>
      <c r="AS85" s="79">
        <f>SUM(AS74:AS84)</f>
        <v>62317.899554272881</v>
      </c>
      <c r="AT85" s="79">
        <f>SUM(AT74:AT84)</f>
        <v>204876.6</v>
      </c>
      <c r="AU85" s="79">
        <f>SUM(AU74:AU84)</f>
        <v>204876.6</v>
      </c>
      <c r="AV85" s="15">
        <f t="shared" si="375"/>
        <v>0.23323047315057022</v>
      </c>
      <c r="AW85" s="79">
        <f>SUM(AW74:AW84)</f>
        <v>11050</v>
      </c>
      <c r="AX85" s="62">
        <f t="shared" si="405"/>
        <v>4.1355641745744513E-2</v>
      </c>
      <c r="AY85" s="101"/>
      <c r="AZ85" s="78">
        <f>SUM(AZ74:AZ84)</f>
        <v>233135.41024851688</v>
      </c>
      <c r="BA85" s="79">
        <f t="shared" ref="BA85:BC85" si="408">SUM(BA74:BA84)</f>
        <v>59195.410248516913</v>
      </c>
      <c r="BB85" s="79">
        <f t="shared" si="408"/>
        <v>173940</v>
      </c>
      <c r="BC85" s="79">
        <f t="shared" si="408"/>
        <v>173940</v>
      </c>
      <c r="BD85" s="15">
        <f t="shared" si="376"/>
        <v>0.25390999241777984</v>
      </c>
      <c r="BE85" s="79">
        <f>SUM(BE74:BE84)</f>
        <v>11050</v>
      </c>
      <c r="BF85" s="62">
        <f t="shared" si="406"/>
        <v>4.739734726792879E-2</v>
      </c>
      <c r="BG85" s="101"/>
      <c r="BH85" s="78">
        <f>SUM(BH74:BH84)</f>
        <v>257010.47518358182</v>
      </c>
      <c r="BI85" s="79">
        <f t="shared" ref="BI85:BK85" si="409">SUM(BI74:BI84)</f>
        <v>61563.275183581849</v>
      </c>
      <c r="BJ85" s="79">
        <f t="shared" si="409"/>
        <v>195447.2</v>
      </c>
      <c r="BK85" s="79">
        <f t="shared" si="409"/>
        <v>195447.2</v>
      </c>
      <c r="BL85" s="15">
        <f t="shared" si="390"/>
        <v>0.23953605447251666</v>
      </c>
      <c r="BM85" s="79">
        <f>SUM(BM74:BM84)</f>
        <v>0</v>
      </c>
      <c r="BN85" s="62">
        <f>BM85/BH85</f>
        <v>0</v>
      </c>
      <c r="BO85" s="195" t="b">
        <f>BO86=BK86</f>
        <v>1</v>
      </c>
      <c r="BP85" s="101"/>
      <c r="BQ85" s="78">
        <f>SUM(BQ74:BQ84)</f>
        <v>234487.5122206189</v>
      </c>
      <c r="BR85" s="79">
        <f>SUM(BR74:BR84)</f>
        <v>57072.312220618885</v>
      </c>
      <c r="BS85" s="79">
        <f>SUM(BS74:BS84)</f>
        <v>177415.2</v>
      </c>
      <c r="BT85" s="79">
        <f>SUM(BT74:BT84)</f>
        <v>177415.2</v>
      </c>
      <c r="BU85" s="15">
        <f t="shared" si="391"/>
        <v>0.24339169143865572</v>
      </c>
      <c r="BV85" s="79">
        <f>SUM(BV74:BV84)</f>
        <v>11050</v>
      </c>
      <c r="BW85" s="62">
        <f>BV85/BQ85</f>
        <v>4.7124044668116677E-2</v>
      </c>
      <c r="BX85" s="195" t="b">
        <f>BX86=BT86</f>
        <v>1</v>
      </c>
      <c r="BY85" s="101"/>
      <c r="BZ85" s="78">
        <f>SUM(BZ74:BZ84)</f>
        <v>238416.28999999998</v>
      </c>
      <c r="CA85" s="79">
        <f>SUM(CA74:CA84)</f>
        <v>59676.289999999994</v>
      </c>
      <c r="CB85" s="79">
        <f>SUM(CB74:CB84)</f>
        <v>178740</v>
      </c>
      <c r="CC85" s="79">
        <f>SUM(CC74:CC84)</f>
        <v>178740</v>
      </c>
      <c r="CD85" s="15">
        <f>CA85/BZ85</f>
        <v>0.25030290505736835</v>
      </c>
      <c r="CE85" s="79">
        <f>SUM(CE74:CE84)</f>
        <v>11050</v>
      </c>
      <c r="CF85" s="62">
        <f>CE85/BZ85</f>
        <v>4.6347504191093659E-2</v>
      </c>
      <c r="CG85" s="195" t="b">
        <f>CG86=CC86</f>
        <v>1</v>
      </c>
      <c r="CH85" s="101"/>
      <c r="CI85" s="78">
        <f>SUM(CI74:CI84)</f>
        <v>0</v>
      </c>
      <c r="CJ85" s="79">
        <f t="shared" ref="CJ85" si="410">SUM(CJ74:CJ84)</f>
        <v>0</v>
      </c>
      <c r="CK85" s="79">
        <f t="shared" ref="CK85" si="411">SUM(CK74:CK84)</f>
        <v>0</v>
      </c>
      <c r="CL85" s="79">
        <f t="shared" ref="CL85" si="412">SUM(CL74:CL84)</f>
        <v>0</v>
      </c>
      <c r="CM85" s="15" t="e">
        <f t="shared" si="378"/>
        <v>#DIV/0!</v>
      </c>
      <c r="CN85" s="79">
        <f>SUM(CN74:CN84)</f>
        <v>0</v>
      </c>
      <c r="CO85" s="62" t="e">
        <f>CN85/CI85</f>
        <v>#DIV/0!</v>
      </c>
      <c r="CP85" s="101"/>
      <c r="CQ85" s="78">
        <f>SUM(CQ74:CQ84)</f>
        <v>0</v>
      </c>
      <c r="CR85" s="79">
        <f t="shared" ref="CR85" si="413">SUM(CR74:CR84)</f>
        <v>0</v>
      </c>
      <c r="CS85" s="79">
        <f t="shared" ref="CS85" si="414">SUM(CS74:CS84)</f>
        <v>0</v>
      </c>
      <c r="CT85" s="79">
        <f t="shared" ref="CT85" si="415">SUM(CT74:CT84)</f>
        <v>0</v>
      </c>
      <c r="CU85" s="15" t="e">
        <f t="shared" si="379"/>
        <v>#DIV/0!</v>
      </c>
      <c r="CV85" s="79">
        <f>SUM(CV74:CV84)</f>
        <v>0</v>
      </c>
      <c r="CW85" s="62" t="e">
        <f>CV85/CQ85</f>
        <v>#DIV/0!</v>
      </c>
      <c r="CX85" s="101"/>
      <c r="CY85" s="78">
        <f>SUM(CY74:CY84)</f>
        <v>0</v>
      </c>
      <c r="CZ85" s="79">
        <f t="shared" ref="CZ85" si="416">SUM(CZ74:CZ84)</f>
        <v>0</v>
      </c>
      <c r="DA85" s="79">
        <f t="shared" ref="DA85" si="417">SUM(DA74:DA84)</f>
        <v>0</v>
      </c>
      <c r="DB85" s="79">
        <f t="shared" ref="DB85" si="418">SUM(DB74:DB84)</f>
        <v>0</v>
      </c>
      <c r="DC85" s="15" t="e">
        <f t="shared" si="380"/>
        <v>#DIV/0!</v>
      </c>
      <c r="DD85" s="79">
        <f>SUM(DD74:DD84)</f>
        <v>0</v>
      </c>
      <c r="DE85" s="62" t="e">
        <f>DD85/CY85</f>
        <v>#DIV/0!</v>
      </c>
      <c r="DF85" s="29"/>
      <c r="DG85" s="287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DZ85" s="29"/>
      <c r="EA85" s="29"/>
      <c r="EB85" s="29"/>
      <c r="EC85" s="29"/>
      <c r="ED85" s="29"/>
      <c r="EE85" s="29"/>
    </row>
    <row r="86" spans="1:135" s="21" customFormat="1" ht="13" customHeight="1">
      <c r="A86" s="188">
        <v>1.2107000000000001</v>
      </c>
      <c r="B86" s="165" t="s">
        <v>19</v>
      </c>
      <c r="C86" s="187">
        <f>C85*$A$86</f>
        <v>2499678.8929061508</v>
      </c>
      <c r="D86" s="187">
        <f t="shared" ref="D86:E86" si="419">D85*$A$86</f>
        <v>609612.48205215076</v>
      </c>
      <c r="E86" s="187">
        <f t="shared" si="419"/>
        <v>1890066.4108540004</v>
      </c>
      <c r="F86" s="187">
        <f>F85*$A$86</f>
        <v>1890066.4108540004</v>
      </c>
      <c r="G86" s="155"/>
      <c r="H86" s="187">
        <f>H85*A86</f>
        <v>94131.925000000003</v>
      </c>
      <c r="I86" s="155"/>
      <c r="J86" s="191">
        <f>SUM(J74:J84)</f>
        <v>1890066.4108540006</v>
      </c>
      <c r="K86" s="91"/>
      <c r="L86" s="219">
        <f>L85*$A$86</f>
        <v>242365.27505188136</v>
      </c>
      <c r="M86" s="187">
        <f t="shared" ref="M86" si="420">M85*$A$86</f>
        <v>59635.147327881343</v>
      </c>
      <c r="N86" s="187">
        <f t="shared" ref="N86" si="421">N85*$A$86</f>
        <v>182730.12772400002</v>
      </c>
      <c r="O86" s="187">
        <f t="shared" ref="O86" si="422">O85*$A$86</f>
        <v>182730.12772400002</v>
      </c>
      <c r="P86" s="217"/>
      <c r="Q86" s="187">
        <f>Q85*J86</f>
        <v>14175498081.405005</v>
      </c>
      <c r="R86" s="156"/>
      <c r="S86" s="91"/>
      <c r="T86" s="219">
        <f>T85*$A$86</f>
        <v>220124.25034487736</v>
      </c>
      <c r="U86" s="187">
        <f t="shared" ref="U86" si="423">U85*$A$86</f>
        <v>53524.666144877338</v>
      </c>
      <c r="V86" s="187">
        <f t="shared" ref="V86" si="424">V85*$A$86</f>
        <v>166599.58420000001</v>
      </c>
      <c r="W86" s="187">
        <f t="shared" ref="W86" si="425">W85*$A$86</f>
        <v>166599.58420000001</v>
      </c>
      <c r="X86" s="217"/>
      <c r="Y86" s="187">
        <f>Y85*R86</f>
        <v>0</v>
      </c>
      <c r="Z86" s="156"/>
      <c r="AA86" s="91"/>
      <c r="AB86" s="219">
        <f>AB85*$A$86</f>
        <v>268372.88738191442</v>
      </c>
      <c r="AC86" s="187">
        <f t="shared" ref="AC86" si="426">AC85*$A$86</f>
        <v>62365.018181914376</v>
      </c>
      <c r="AD86" s="187">
        <f t="shared" ref="AD86" si="427">AD85*$A$86</f>
        <v>206007.86920000002</v>
      </c>
      <c r="AE86" s="187">
        <f t="shared" ref="AE86" si="428">AE85*$A$86</f>
        <v>206007.86920000002</v>
      </c>
      <c r="AF86" s="217"/>
      <c r="AG86" s="187">
        <f>AG85*Z86</f>
        <v>0</v>
      </c>
      <c r="AH86" s="156"/>
      <c r="AI86" s="91"/>
      <c r="AJ86" s="219">
        <f>AJ85*$A$86</f>
        <v>279359.84267597424</v>
      </c>
      <c r="AK86" s="187">
        <f t="shared" ref="AK86" si="429">AK85*$A$86</f>
        <v>71089.296245974241</v>
      </c>
      <c r="AL86" s="187">
        <f t="shared" ref="AL86" si="430">AL85*$A$86</f>
        <v>208270.54643000005</v>
      </c>
      <c r="AM86" s="187">
        <f t="shared" ref="AM86" si="431">AM85*$A$86</f>
        <v>208270.54643000005</v>
      </c>
      <c r="AN86" s="217"/>
      <c r="AO86" s="187">
        <f>AO85*A86</f>
        <v>13378.235000000001</v>
      </c>
      <c r="AP86" s="156"/>
      <c r="AQ86" s="91"/>
      <c r="AR86" s="219">
        <f>AR85*$A$86</f>
        <v>323492.3806103582</v>
      </c>
      <c r="AS86" s="187">
        <f t="shared" ref="AS86" si="432">AS85*$A$86</f>
        <v>75448.28099035818</v>
      </c>
      <c r="AT86" s="187">
        <f t="shared" ref="AT86" si="433">AT85*$A$86</f>
        <v>248044.09962000002</v>
      </c>
      <c r="AU86" s="187">
        <f t="shared" ref="AU86" si="434">AU85*$A$86</f>
        <v>248044.09962000002</v>
      </c>
      <c r="AV86" s="217"/>
      <c r="AW86" s="187">
        <f>AW85*AP86</f>
        <v>0</v>
      </c>
      <c r="AX86" s="156"/>
      <c r="AY86" s="91"/>
      <c r="AZ86" s="219">
        <f>AZ85*$A$86</f>
        <v>282257.0411878794</v>
      </c>
      <c r="BA86" s="187">
        <f t="shared" ref="BA86" si="435">BA85*$A$86</f>
        <v>71667.88318787943</v>
      </c>
      <c r="BB86" s="187">
        <f t="shared" ref="BB86" si="436">BB85*$A$86</f>
        <v>210589.15800000002</v>
      </c>
      <c r="BC86" s="187">
        <f t="shared" ref="BC86" si="437">BC85*$A$86</f>
        <v>210589.15800000002</v>
      </c>
      <c r="BD86" s="217"/>
      <c r="BE86" s="187">
        <f>BE85*A86</f>
        <v>13378.235000000001</v>
      </c>
      <c r="BF86" s="156"/>
      <c r="BG86" s="91"/>
      <c r="BH86" s="219">
        <f>BH85*$A$86</f>
        <v>311162.58230476256</v>
      </c>
      <c r="BI86" s="187">
        <f t="shared" ref="BI86" si="438">BI85*$A$86</f>
        <v>74534.657264762558</v>
      </c>
      <c r="BJ86" s="187">
        <f t="shared" ref="BJ86" si="439">BJ85*$A$86</f>
        <v>236627.92504000003</v>
      </c>
      <c r="BK86" s="187">
        <f t="shared" ref="BK86" si="440">BK85*$A$86</f>
        <v>236627.92504000003</v>
      </c>
      <c r="BL86" s="217"/>
      <c r="BM86" s="187">
        <f>BM85*A86</f>
        <v>0</v>
      </c>
      <c r="BN86" s="156"/>
      <c r="BO86" s="191">
        <f>SUM(BO74:BO84)</f>
        <v>236627.92504</v>
      </c>
      <c r="BP86" s="91"/>
      <c r="BQ86" s="219">
        <f>BQ85*$A$86</f>
        <v>283894.03104550333</v>
      </c>
      <c r="BR86" s="187">
        <f t="shared" ref="BR86" si="441">BR85*$A$86</f>
        <v>69097.448405503295</v>
      </c>
      <c r="BS86" s="187">
        <f t="shared" ref="BS86" si="442">BS85*$A$86</f>
        <v>214796.58264000004</v>
      </c>
      <c r="BT86" s="187">
        <f t="shared" ref="BT86" si="443">BT85*$A$86</f>
        <v>214796.58264000004</v>
      </c>
      <c r="BU86" s="217"/>
      <c r="BV86" s="285">
        <f>BV85*A86</f>
        <v>13378.235000000001</v>
      </c>
      <c r="BW86" s="156"/>
      <c r="BX86" s="191">
        <f>SUM(BX74:BX84)</f>
        <v>214796.58264000001</v>
      </c>
      <c r="BY86" s="91"/>
      <c r="BZ86" s="219">
        <f>BZ85*$A$86</f>
        <v>288650.60230299999</v>
      </c>
      <c r="CA86" s="187">
        <f t="shared" ref="CA86" si="444">CA85*$A$86</f>
        <v>72250.084302999996</v>
      </c>
      <c r="CB86" s="187">
        <f t="shared" ref="CB86" si="445">CB85*$A$86</f>
        <v>216400.51800000001</v>
      </c>
      <c r="CC86" s="187">
        <f>CC85*$A$86</f>
        <v>216400.51800000001</v>
      </c>
      <c r="CD86" s="217"/>
      <c r="CE86" s="187">
        <f>CE85*A86</f>
        <v>13378.235000000001</v>
      </c>
      <c r="CF86" s="156"/>
      <c r="CG86" s="191">
        <f>SUM(CG74:CG84)</f>
        <v>216400.51800000001</v>
      </c>
      <c r="CH86" s="91"/>
      <c r="CI86" s="219">
        <f>CI85*$A$86</f>
        <v>0</v>
      </c>
      <c r="CJ86" s="187">
        <f t="shared" ref="CJ86" si="446">CJ85*$A$86</f>
        <v>0</v>
      </c>
      <c r="CK86" s="187">
        <f t="shared" ref="CK86" si="447">CK85*$A$86</f>
        <v>0</v>
      </c>
      <c r="CL86" s="187">
        <f t="shared" ref="CL86" si="448">CL85*$A$86</f>
        <v>0</v>
      </c>
      <c r="CM86" s="217"/>
      <c r="CN86" s="187">
        <f>CN85*CF86</f>
        <v>0</v>
      </c>
      <c r="CO86" s="156"/>
      <c r="CP86" s="91"/>
      <c r="CQ86" s="219">
        <f>CQ85*$A$86</f>
        <v>0</v>
      </c>
      <c r="CR86" s="187">
        <f t="shared" ref="CR86" si="449">CR85*$A$86</f>
        <v>0</v>
      </c>
      <c r="CS86" s="187">
        <f t="shared" ref="CS86" si="450">CS85*$A$86</f>
        <v>0</v>
      </c>
      <c r="CT86" s="187">
        <f t="shared" ref="CT86" si="451">CT85*$A$86</f>
        <v>0</v>
      </c>
      <c r="CU86" s="217"/>
      <c r="CV86" s="187">
        <f>CV85*CO86</f>
        <v>0</v>
      </c>
      <c r="CW86" s="156"/>
      <c r="CX86" s="91"/>
      <c r="CY86" s="219">
        <f>CY85*$A$86</f>
        <v>0</v>
      </c>
      <c r="CZ86" s="187">
        <f t="shared" ref="CZ86" si="452">CZ85*$A$86</f>
        <v>0</v>
      </c>
      <c r="DA86" s="187">
        <f t="shared" ref="DA86" si="453">DA85*$A$86</f>
        <v>0</v>
      </c>
      <c r="DB86" s="187">
        <f t="shared" ref="DB86" si="454">DB85*$A$86</f>
        <v>0</v>
      </c>
      <c r="DC86" s="217"/>
      <c r="DD86" s="187">
        <f>DD85*CW86</f>
        <v>0</v>
      </c>
      <c r="DE86" s="156"/>
      <c r="DF86" s="8"/>
      <c r="DG86" s="287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</row>
    <row r="87" spans="1:135" s="11" customFormat="1" ht="13.15" customHeight="1">
      <c r="A87" s="329" t="s">
        <v>25</v>
      </c>
      <c r="B87" s="48" t="s">
        <v>12</v>
      </c>
      <c r="C87" s="271">
        <f>SUM(L87,T87,AB87,AJ87,AR87,AZ87,BH87,BQ87,BZ87,CI87,CQ87,CY87)</f>
        <v>4800000</v>
      </c>
      <c r="D87" s="271">
        <f>SUM(M87,U87,AC87,AK87,AS87,BA87,BI87,BR87,CA87,CJ87,CR87,CZ87)</f>
        <v>0</v>
      </c>
      <c r="E87" s="271">
        <f t="shared" ref="E87:E98" si="455">SUM(N87,V87,AD87,AL87,AT87,BB87,BJ87,BS87,CB87,CK87,CS87,DA87)</f>
        <v>4800000</v>
      </c>
      <c r="F87" s="271">
        <f t="shared" ref="F87:F97" si="456">SUM(O87,W87,AE87,AM87,AU87,BC87,BK87,BT87,CC87,CL87,CT87,DB87)</f>
        <v>4800000</v>
      </c>
      <c r="G87" s="14">
        <f>D87/C87</f>
        <v>0</v>
      </c>
      <c r="H87" s="271">
        <f>SUM(Q87,Y87,AG87,AO87,AW87,BE87,BM87,BV87,CE87,CN87,CV87,DD87)</f>
        <v>0</v>
      </c>
      <c r="I87" s="14">
        <f>H87/C87</f>
        <v>0</v>
      </c>
      <c r="J87" s="194">
        <f>F87*$A$100</f>
        <v>33600</v>
      </c>
      <c r="K87" s="102"/>
      <c r="L87" s="59">
        <v>0</v>
      </c>
      <c r="M87" s="33">
        <v>0</v>
      </c>
      <c r="N87" s="33">
        <v>0</v>
      </c>
      <c r="O87" s="33">
        <v>0</v>
      </c>
      <c r="P87" s="52" t="e">
        <f t="shared" si="371"/>
        <v>#DIV/0!</v>
      </c>
      <c r="Q87" s="33">
        <v>0</v>
      </c>
      <c r="R87" s="53" t="e">
        <f>Q87/L87</f>
        <v>#DIV/0!</v>
      </c>
      <c r="S87" s="102"/>
      <c r="T87" s="59">
        <v>0</v>
      </c>
      <c r="U87" s="33">
        <v>0</v>
      </c>
      <c r="V87" s="33">
        <v>0</v>
      </c>
      <c r="W87" s="33">
        <v>0</v>
      </c>
      <c r="X87" s="52" t="e">
        <f t="shared" si="372"/>
        <v>#DIV/0!</v>
      </c>
      <c r="Y87" s="116">
        <v>0</v>
      </c>
      <c r="Z87" s="53" t="e">
        <f>Y87/T87</f>
        <v>#DIV/0!</v>
      </c>
      <c r="AA87" s="102"/>
      <c r="AB87" s="59">
        <v>0</v>
      </c>
      <c r="AC87" s="33">
        <v>0</v>
      </c>
      <c r="AD87" s="33">
        <v>0</v>
      </c>
      <c r="AE87" s="33">
        <v>0</v>
      </c>
      <c r="AF87" s="52" t="e">
        <f t="shared" si="373"/>
        <v>#DIV/0!</v>
      </c>
      <c r="AG87" s="33">
        <v>0</v>
      </c>
      <c r="AH87" s="53" t="e">
        <f>AG87/AB87</f>
        <v>#DIV/0!</v>
      </c>
      <c r="AI87" s="102"/>
      <c r="AJ87" s="59">
        <v>0</v>
      </c>
      <c r="AK87" s="33">
        <v>0</v>
      </c>
      <c r="AL87" s="33">
        <v>0</v>
      </c>
      <c r="AM87" s="33">
        <v>0</v>
      </c>
      <c r="AN87" s="52" t="e">
        <f t="shared" si="374"/>
        <v>#DIV/0!</v>
      </c>
      <c r="AO87" s="33">
        <v>0</v>
      </c>
      <c r="AP87" s="53" t="e">
        <f t="shared" si="404"/>
        <v>#DIV/0!</v>
      </c>
      <c r="AQ87" s="102"/>
      <c r="AR87" s="59">
        <v>0</v>
      </c>
      <c r="AS87" s="33">
        <v>0</v>
      </c>
      <c r="AT87" s="33">
        <v>0</v>
      </c>
      <c r="AU87" s="33">
        <v>0</v>
      </c>
      <c r="AV87" s="52" t="e">
        <f t="shared" si="375"/>
        <v>#DIV/0!</v>
      </c>
      <c r="AW87" s="33">
        <v>0</v>
      </c>
      <c r="AX87" s="53" t="e">
        <f t="shared" si="405"/>
        <v>#DIV/0!</v>
      </c>
      <c r="AY87" s="102"/>
      <c r="AZ87" s="59">
        <v>0</v>
      </c>
      <c r="BA87" s="33">
        <v>0</v>
      </c>
      <c r="BB87" s="33">
        <v>0</v>
      </c>
      <c r="BC87" s="33">
        <v>0</v>
      </c>
      <c r="BD87" s="52" t="e">
        <f t="shared" si="376"/>
        <v>#DIV/0!</v>
      </c>
      <c r="BE87" s="33">
        <v>0</v>
      </c>
      <c r="BF87" s="53" t="e">
        <f t="shared" si="406"/>
        <v>#DIV/0!</v>
      </c>
      <c r="BG87" s="102"/>
      <c r="BH87" s="254"/>
      <c r="BI87" s="255"/>
      <c r="BJ87" s="255"/>
      <c r="BK87" s="255"/>
      <c r="BL87" s="52"/>
      <c r="BM87" s="255"/>
      <c r="BN87" s="53"/>
      <c r="BO87" s="194">
        <f>BK87*$A$100</f>
        <v>0</v>
      </c>
      <c r="BP87" s="102"/>
      <c r="BQ87" s="59" t="s">
        <v>57</v>
      </c>
      <c r="BR87" s="33"/>
      <c r="BS87" s="33"/>
      <c r="BT87" s="33"/>
      <c r="BU87" s="52"/>
      <c r="BV87" s="33"/>
      <c r="BW87" s="53"/>
      <c r="BX87" s="294"/>
      <c r="BY87" s="102"/>
      <c r="BZ87" s="254">
        <v>4800000</v>
      </c>
      <c r="CA87" s="255">
        <v>0</v>
      </c>
      <c r="CB87" s="255">
        <v>4800000</v>
      </c>
      <c r="CC87" s="255">
        <v>4800000</v>
      </c>
      <c r="CD87" s="52">
        <f t="shared" si="377"/>
        <v>0</v>
      </c>
      <c r="CE87" s="305"/>
      <c r="CF87" s="53">
        <f t="shared" ref="CF87:CF98" si="457">CE87/BZ87</f>
        <v>0</v>
      </c>
      <c r="CG87" s="294">
        <f>CC87*$A$100</f>
        <v>33600</v>
      </c>
      <c r="CH87" s="102"/>
      <c r="CI87" s="114"/>
      <c r="CJ87" s="115"/>
      <c r="CK87" s="115"/>
      <c r="CL87" s="115"/>
      <c r="CM87" s="111" t="e">
        <f t="shared" si="378"/>
        <v>#DIV/0!</v>
      </c>
      <c r="CN87" s="117"/>
      <c r="CO87" s="113" t="e">
        <v>#DIV/0!</v>
      </c>
      <c r="CP87" s="102"/>
      <c r="CQ87" s="114"/>
      <c r="CR87" s="115"/>
      <c r="CS87" s="115"/>
      <c r="CT87" s="115"/>
      <c r="CU87" s="111" t="e">
        <f t="shared" si="379"/>
        <v>#DIV/0!</v>
      </c>
      <c r="CV87" s="117"/>
      <c r="CW87" s="113" t="e">
        <v>#DIV/0!</v>
      </c>
      <c r="CX87" s="102"/>
      <c r="CY87" s="114"/>
      <c r="CZ87" s="115"/>
      <c r="DA87" s="115"/>
      <c r="DB87" s="115"/>
      <c r="DC87" s="111" t="e">
        <f t="shared" si="380"/>
        <v>#DIV/0!</v>
      </c>
      <c r="DD87" s="117"/>
      <c r="DE87" s="113" t="e">
        <v>#DIV/0!</v>
      </c>
      <c r="DF87" s="9"/>
      <c r="DG87" s="290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</row>
    <row r="88" spans="1:135" s="11" customFormat="1" ht="13.15" customHeight="1">
      <c r="A88" s="330"/>
      <c r="B88" s="49" t="s">
        <v>13</v>
      </c>
      <c r="C88" s="271">
        <f>SUM(L88,T88,AB88,AJ88,AR88,AZ88,BH88,BQ88,BZ88,CI88,CQ88,CY88)</f>
        <v>31376045</v>
      </c>
      <c r="D88" s="271">
        <f>SUM(M88,U88,AC88,AK88,AS88,BA88,BI88,BR88,CA88,CJ88,CR88,CZ88)</f>
        <v>0</v>
      </c>
      <c r="E88" s="271">
        <f t="shared" si="455"/>
        <v>31376045</v>
      </c>
      <c r="F88" s="271">
        <f t="shared" si="456"/>
        <v>31376045</v>
      </c>
      <c r="G88" s="14">
        <f t="shared" ref="G88:G98" si="458">D88/C88</f>
        <v>0</v>
      </c>
      <c r="H88" s="271">
        <f t="shared" ref="H88:H96" si="459">SUM(Q88,Y88,AG88,AO88,AW88,BE88,BM88,BV88,CE88,CN88,CV88,DD88)</f>
        <v>0</v>
      </c>
      <c r="I88" s="14">
        <f t="shared" ref="I88" si="460">H88/C88</f>
        <v>0</v>
      </c>
      <c r="J88" s="194">
        <f>F88*$A$100</f>
        <v>219632.315</v>
      </c>
      <c r="K88" s="102"/>
      <c r="L88" s="59">
        <v>0</v>
      </c>
      <c r="M88" s="33">
        <v>0</v>
      </c>
      <c r="N88" s="33">
        <v>0</v>
      </c>
      <c r="O88" s="33">
        <v>0</v>
      </c>
      <c r="P88" s="52" t="e">
        <f t="shared" ref="P88:P97" si="461">M88/L88</f>
        <v>#DIV/0!</v>
      </c>
      <c r="Q88" s="33">
        <v>0</v>
      </c>
      <c r="R88" s="53" t="e">
        <f t="shared" ref="R88" si="462">Q88/L88</f>
        <v>#DIV/0!</v>
      </c>
      <c r="S88" s="102"/>
      <c r="T88" s="59">
        <v>2147983</v>
      </c>
      <c r="U88" s="33">
        <v>0</v>
      </c>
      <c r="V88" s="33">
        <v>2147983</v>
      </c>
      <c r="W88" s="33">
        <v>2147983</v>
      </c>
      <c r="X88" s="52">
        <f t="shared" ref="X88:X97" si="463">U88/T88</f>
        <v>0</v>
      </c>
      <c r="Y88" s="116">
        <v>0</v>
      </c>
      <c r="Z88" s="53">
        <f t="shared" ref="Z88" si="464">Y88/T88</f>
        <v>0</v>
      </c>
      <c r="AA88" s="102"/>
      <c r="AB88" s="59">
        <v>9817631</v>
      </c>
      <c r="AC88" s="33">
        <v>0</v>
      </c>
      <c r="AD88" s="33">
        <v>9817631</v>
      </c>
      <c r="AE88" s="33">
        <v>9817631</v>
      </c>
      <c r="AF88" s="52">
        <f t="shared" ref="AF88:AF97" si="465">AC88/AB88</f>
        <v>0</v>
      </c>
      <c r="AG88" s="33">
        <v>0</v>
      </c>
      <c r="AH88" s="53">
        <f t="shared" ref="AH88" si="466">AG88/AB88</f>
        <v>0</v>
      </c>
      <c r="AI88" s="102"/>
      <c r="AJ88" s="59">
        <v>9817631</v>
      </c>
      <c r="AK88" s="33">
        <v>0</v>
      </c>
      <c r="AL88" s="33">
        <v>9817631</v>
      </c>
      <c r="AM88" s="33">
        <v>9817631</v>
      </c>
      <c r="AN88" s="52">
        <f t="shared" ref="AN88:AN98" si="467">AK88/AJ88</f>
        <v>0</v>
      </c>
      <c r="AO88" s="33">
        <v>0</v>
      </c>
      <c r="AP88" s="53">
        <f t="shared" si="404"/>
        <v>0</v>
      </c>
      <c r="AQ88" s="102"/>
      <c r="AR88" s="59">
        <v>0</v>
      </c>
      <c r="AS88" s="33">
        <v>0</v>
      </c>
      <c r="AT88" s="33">
        <v>0</v>
      </c>
      <c r="AU88" s="33">
        <v>0</v>
      </c>
      <c r="AV88" s="52" t="e">
        <f t="shared" ref="AV88:AV98" si="468">AS88/AR88</f>
        <v>#DIV/0!</v>
      </c>
      <c r="AW88" s="33">
        <v>0</v>
      </c>
      <c r="AX88" s="53" t="e">
        <f t="shared" si="405"/>
        <v>#DIV/0!</v>
      </c>
      <c r="AY88" s="102"/>
      <c r="AZ88" s="59">
        <v>0</v>
      </c>
      <c r="BA88" s="33">
        <v>0</v>
      </c>
      <c r="BB88" s="33">
        <v>0</v>
      </c>
      <c r="BC88" s="33">
        <v>0</v>
      </c>
      <c r="BD88" s="52" t="e">
        <f t="shared" ref="BD88:BD98" si="469">BA88/AZ88</f>
        <v>#DIV/0!</v>
      </c>
      <c r="BE88" s="33">
        <v>0</v>
      </c>
      <c r="BF88" s="53" t="e">
        <f t="shared" si="406"/>
        <v>#DIV/0!</v>
      </c>
      <c r="BG88" s="102"/>
      <c r="BH88" s="254">
        <v>6092800</v>
      </c>
      <c r="BI88" s="255">
        <v>0</v>
      </c>
      <c r="BJ88" s="255">
        <v>6092800</v>
      </c>
      <c r="BK88" s="255">
        <v>6092800</v>
      </c>
      <c r="BL88" s="52">
        <f t="shared" ref="BL88" si="470">BI88/BH88</f>
        <v>0</v>
      </c>
      <c r="BM88" s="255"/>
      <c r="BN88" s="53"/>
      <c r="BO88" s="194">
        <f>BK88*$A$100</f>
        <v>42649.599999999999</v>
      </c>
      <c r="BP88" s="102"/>
      <c r="BQ88" s="59"/>
      <c r="BR88" s="33"/>
      <c r="BS88" s="33"/>
      <c r="BT88" s="33"/>
      <c r="BU88" s="52"/>
      <c r="BV88" s="33"/>
      <c r="BW88" s="53"/>
      <c r="BX88" s="294"/>
      <c r="BY88" s="102"/>
      <c r="BZ88" s="303">
        <f>SUM(BZ89:BZ94)</f>
        <v>3500000</v>
      </c>
      <c r="CA88" s="304">
        <f t="shared" ref="CA88:CB88" si="471">SUM(CA89:CA94)</f>
        <v>0</v>
      </c>
      <c r="CB88" s="304">
        <f t="shared" si="471"/>
        <v>3500000</v>
      </c>
      <c r="CC88" s="304">
        <f>SUM(CC89:CC94)</f>
        <v>3500000</v>
      </c>
      <c r="CD88" s="52">
        <f>CA88/BZ88</f>
        <v>0</v>
      </c>
      <c r="CE88" s="305"/>
      <c r="CF88" s="53"/>
      <c r="CG88" s="294">
        <f>CC88*$A$100</f>
        <v>24500</v>
      </c>
      <c r="CH88" s="102"/>
      <c r="CI88" s="114"/>
      <c r="CJ88" s="115"/>
      <c r="CK88" s="115"/>
      <c r="CL88" s="115"/>
      <c r="CM88" s="111" t="e">
        <f t="shared" ref="CM88:CM98" si="472">CJ88/CI88</f>
        <v>#DIV/0!</v>
      </c>
      <c r="CN88" s="117"/>
      <c r="CO88" s="113" t="e">
        <v>#DIV/0!</v>
      </c>
      <c r="CP88" s="102"/>
      <c r="CQ88" s="114"/>
      <c r="CR88" s="115"/>
      <c r="CS88" s="115"/>
      <c r="CT88" s="115"/>
      <c r="CU88" s="111" t="e">
        <f t="shared" ref="CU88:CU98" si="473">CR88/CQ88</f>
        <v>#DIV/0!</v>
      </c>
      <c r="CV88" s="117"/>
      <c r="CW88" s="113" t="e">
        <v>#DIV/0!</v>
      </c>
      <c r="CX88" s="102"/>
      <c r="CY88" s="114"/>
      <c r="CZ88" s="115"/>
      <c r="DA88" s="115"/>
      <c r="DB88" s="115"/>
      <c r="DC88" s="111" t="e">
        <f t="shared" ref="DC88:DC98" si="474">CZ88/CY88</f>
        <v>#DIV/0!</v>
      </c>
      <c r="DD88" s="117"/>
      <c r="DE88" s="113" t="e">
        <v>#DIV/0!</v>
      </c>
      <c r="DF88" s="9"/>
      <c r="DG88" s="290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</row>
    <row r="89" spans="1:135" s="11" customFormat="1" ht="13.15" customHeight="1">
      <c r="A89" s="330"/>
      <c r="B89" s="49" t="s">
        <v>62</v>
      </c>
      <c r="C89" s="125"/>
      <c r="D89" s="125"/>
      <c r="E89" s="125"/>
      <c r="F89" s="125"/>
      <c r="G89" s="14"/>
      <c r="H89" s="125"/>
      <c r="I89" s="14"/>
      <c r="J89" s="194"/>
      <c r="K89" s="98"/>
      <c r="L89" s="57"/>
      <c r="M89" s="20"/>
      <c r="N89" s="20"/>
      <c r="O89" s="20"/>
      <c r="P89" s="52"/>
      <c r="Q89" s="63"/>
      <c r="R89" s="53"/>
      <c r="S89" s="98"/>
      <c r="T89" s="65"/>
      <c r="U89" s="63"/>
      <c r="V89" s="63"/>
      <c r="W89" s="63"/>
      <c r="X89" s="66"/>
      <c r="Y89" s="64"/>
      <c r="Z89" s="17"/>
      <c r="AA89" s="98"/>
      <c r="AB89" s="65"/>
      <c r="AC89" s="63"/>
      <c r="AD89" s="63"/>
      <c r="AE89" s="63"/>
      <c r="AF89" s="66"/>
      <c r="AG89" s="63"/>
      <c r="AH89" s="67"/>
      <c r="AI89" s="98"/>
      <c r="AJ89" s="57"/>
      <c r="AK89" s="20"/>
      <c r="AL89" s="20"/>
      <c r="AM89" s="20"/>
      <c r="AN89" s="52"/>
      <c r="AO89" s="20"/>
      <c r="AP89" s="53"/>
      <c r="AQ89" s="98"/>
      <c r="AR89" s="57"/>
      <c r="AS89" s="20"/>
      <c r="AT89" s="20"/>
      <c r="AU89" s="20"/>
      <c r="AV89" s="52"/>
      <c r="AW89" s="20"/>
      <c r="AX89" s="53"/>
      <c r="AY89" s="98"/>
      <c r="AZ89" s="57"/>
      <c r="BA89" s="20"/>
      <c r="BB89" s="20"/>
      <c r="BC89" s="20"/>
      <c r="BD89" s="52"/>
      <c r="BE89" s="20"/>
      <c r="BF89" s="53"/>
      <c r="BG89" s="98"/>
      <c r="BH89" s="57"/>
      <c r="BI89" s="20"/>
      <c r="BJ89" s="20"/>
      <c r="BK89" s="20"/>
      <c r="BL89" s="52"/>
      <c r="BM89" s="20"/>
      <c r="BN89" s="53"/>
      <c r="BO89" s="194"/>
      <c r="BP89" s="98"/>
      <c r="BQ89" s="57"/>
      <c r="BR89" s="20"/>
      <c r="BS89" s="20"/>
      <c r="BT89" s="20"/>
      <c r="BU89" s="52"/>
      <c r="BV89" s="20"/>
      <c r="BW89" s="53"/>
      <c r="BX89" s="294"/>
      <c r="BY89" s="98"/>
      <c r="BZ89" s="254"/>
      <c r="CA89" s="255"/>
      <c r="CB89" s="255"/>
      <c r="CC89" s="255"/>
      <c r="CD89" s="52"/>
      <c r="CE89" s="63"/>
      <c r="CF89" s="53"/>
      <c r="CG89" s="294">
        <f t="shared" ref="CG89:CG98" si="475">CC89*$A$100</f>
        <v>0</v>
      </c>
      <c r="CH89" s="98"/>
      <c r="CI89" s="251"/>
      <c r="CJ89" s="252"/>
      <c r="CK89" s="252"/>
      <c r="CL89" s="252"/>
      <c r="CM89" s="111"/>
      <c r="CN89" s="253"/>
      <c r="CO89" s="113"/>
      <c r="CP89" s="98"/>
      <c r="CQ89" s="251"/>
      <c r="CR89" s="252"/>
      <c r="CS89" s="252"/>
      <c r="CT89" s="252"/>
      <c r="CU89" s="111"/>
      <c r="CV89" s="253"/>
      <c r="CW89" s="113"/>
      <c r="CX89" s="98"/>
      <c r="CY89" s="251"/>
      <c r="CZ89" s="252"/>
      <c r="DA89" s="252"/>
      <c r="DB89" s="252"/>
      <c r="DC89" s="111"/>
      <c r="DD89" s="253"/>
      <c r="DE89" s="113"/>
      <c r="DF89" s="9"/>
      <c r="DG89" s="290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</row>
    <row r="90" spans="1:135" s="7" customFormat="1" ht="13" customHeight="1">
      <c r="A90" s="330"/>
      <c r="B90" s="49" t="s">
        <v>40</v>
      </c>
      <c r="C90" s="271"/>
      <c r="D90" s="271"/>
      <c r="E90" s="271"/>
      <c r="F90" s="271"/>
      <c r="G90" s="14"/>
      <c r="H90" s="273"/>
      <c r="I90" s="14"/>
      <c r="J90" s="190"/>
      <c r="K90" s="90"/>
      <c r="L90" s="51"/>
      <c r="M90" s="45"/>
      <c r="N90" s="45"/>
      <c r="O90" s="45"/>
      <c r="P90" s="52"/>
      <c r="Q90" s="45"/>
      <c r="R90" s="53"/>
      <c r="S90" s="90"/>
      <c r="T90" s="130"/>
      <c r="U90" s="131"/>
      <c r="V90" s="131"/>
      <c r="W90" s="131"/>
      <c r="X90" s="66"/>
      <c r="Y90" s="131"/>
      <c r="Z90" s="67"/>
      <c r="AA90" s="90"/>
      <c r="AB90" s="51"/>
      <c r="AC90" s="45"/>
      <c r="AD90" s="45"/>
      <c r="AE90" s="45"/>
      <c r="AF90" s="52"/>
      <c r="AG90" s="131"/>
      <c r="AH90" s="53"/>
      <c r="AI90" s="90"/>
      <c r="AJ90" s="130"/>
      <c r="AK90" s="131"/>
      <c r="AL90" s="131"/>
      <c r="AM90" s="131"/>
      <c r="AN90" s="66"/>
      <c r="AO90" s="131"/>
      <c r="AP90" s="67"/>
      <c r="AQ90" s="90"/>
      <c r="AR90" s="130"/>
      <c r="AS90" s="131"/>
      <c r="AT90" s="131"/>
      <c r="AU90" s="131"/>
      <c r="AV90" s="66"/>
      <c r="AW90" s="131"/>
      <c r="AX90" s="67"/>
      <c r="AY90" s="90"/>
      <c r="AZ90" s="130"/>
      <c r="BA90" s="131"/>
      <c r="BB90" s="131"/>
      <c r="BC90" s="131"/>
      <c r="BD90" s="66"/>
      <c r="BE90" s="131"/>
      <c r="BF90" s="67"/>
      <c r="BG90" s="90"/>
      <c r="BH90" s="254"/>
      <c r="BI90" s="255"/>
      <c r="BJ90" s="255"/>
      <c r="BK90" s="255"/>
      <c r="BL90" s="52"/>
      <c r="BM90" s="255"/>
      <c r="BN90" s="53"/>
      <c r="BO90" s="190"/>
      <c r="BP90" s="90"/>
      <c r="BQ90" s="130"/>
      <c r="BR90" s="131"/>
      <c r="BS90" s="131"/>
      <c r="BT90" s="131"/>
      <c r="BU90" s="66"/>
      <c r="BV90" s="131"/>
      <c r="BW90" s="67"/>
      <c r="BX90" s="294"/>
      <c r="BY90" s="90"/>
      <c r="BZ90" s="303"/>
      <c r="CA90" s="304"/>
      <c r="CB90" s="304"/>
      <c r="CC90" s="304">
        <v>0</v>
      </c>
      <c r="CD90" s="66"/>
      <c r="CE90" s="131"/>
      <c r="CF90" s="67"/>
      <c r="CG90" s="294">
        <f t="shared" si="475"/>
        <v>0</v>
      </c>
      <c r="CH90" s="90"/>
      <c r="CI90" s="133"/>
      <c r="CJ90" s="134"/>
      <c r="CK90" s="134"/>
      <c r="CL90" s="134"/>
      <c r="CM90" s="121"/>
      <c r="CN90" s="134"/>
      <c r="CO90" s="122"/>
      <c r="CP90" s="90"/>
      <c r="CQ90" s="133"/>
      <c r="CR90" s="134"/>
      <c r="CS90" s="134"/>
      <c r="CT90" s="134"/>
      <c r="CU90" s="121"/>
      <c r="CV90" s="134"/>
      <c r="CW90" s="122"/>
      <c r="CX90" s="90"/>
      <c r="CY90" s="133"/>
      <c r="CZ90" s="134"/>
      <c r="DA90" s="134"/>
      <c r="DB90" s="134"/>
      <c r="DC90" s="121"/>
      <c r="DD90" s="134"/>
      <c r="DE90" s="122"/>
      <c r="DF90" s="6"/>
      <c r="DG90" s="289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</row>
    <row r="91" spans="1:135" s="7" customFormat="1" ht="13" customHeight="1">
      <c r="A91" s="330"/>
      <c r="B91" s="49" t="s">
        <v>41</v>
      </c>
      <c r="C91" s="271"/>
      <c r="D91" s="271"/>
      <c r="E91" s="271"/>
      <c r="F91" s="271"/>
      <c r="G91" s="14"/>
      <c r="H91" s="273"/>
      <c r="I91" s="14"/>
      <c r="J91" s="190"/>
      <c r="K91" s="90"/>
      <c r="L91" s="51"/>
      <c r="M91" s="45"/>
      <c r="N91" s="45"/>
      <c r="O91" s="45"/>
      <c r="P91" s="52"/>
      <c r="Q91" s="45"/>
      <c r="R91" s="53"/>
      <c r="S91" s="90"/>
      <c r="T91" s="130"/>
      <c r="U91" s="131"/>
      <c r="V91" s="131"/>
      <c r="W91" s="131"/>
      <c r="X91" s="66"/>
      <c r="Y91" s="131"/>
      <c r="Z91" s="67"/>
      <c r="AA91" s="90"/>
      <c r="AB91" s="51"/>
      <c r="AC91" s="45"/>
      <c r="AD91" s="45"/>
      <c r="AE91" s="45"/>
      <c r="AF91" s="52"/>
      <c r="AG91" s="131"/>
      <c r="AH91" s="53"/>
      <c r="AI91" s="90"/>
      <c r="AJ91" s="130"/>
      <c r="AK91" s="131"/>
      <c r="AL91" s="131"/>
      <c r="AM91" s="131"/>
      <c r="AN91" s="66"/>
      <c r="AO91" s="131"/>
      <c r="AP91" s="67"/>
      <c r="AQ91" s="90"/>
      <c r="AR91" s="130"/>
      <c r="AS91" s="131"/>
      <c r="AT91" s="131"/>
      <c r="AU91" s="131"/>
      <c r="AV91" s="66"/>
      <c r="AW91" s="131"/>
      <c r="AX91" s="67"/>
      <c r="AY91" s="90"/>
      <c r="AZ91" s="130"/>
      <c r="BA91" s="131"/>
      <c r="BB91" s="131"/>
      <c r="BC91" s="131"/>
      <c r="BD91" s="66"/>
      <c r="BE91" s="131"/>
      <c r="BF91" s="67"/>
      <c r="BG91" s="90"/>
      <c r="BH91" s="254"/>
      <c r="BI91" s="255"/>
      <c r="BJ91" s="255"/>
      <c r="BK91" s="255"/>
      <c r="BL91" s="52"/>
      <c r="BM91" s="255"/>
      <c r="BN91" s="53"/>
      <c r="BO91" s="190"/>
      <c r="BP91" s="90"/>
      <c r="BQ91" s="130"/>
      <c r="BR91" s="131"/>
      <c r="BS91" s="131"/>
      <c r="BT91" s="131"/>
      <c r="BU91" s="66"/>
      <c r="BV91" s="131"/>
      <c r="BW91" s="67"/>
      <c r="BX91" s="294"/>
      <c r="BY91" s="90"/>
      <c r="BZ91" s="303"/>
      <c r="CA91" s="304"/>
      <c r="CB91" s="304"/>
      <c r="CC91" s="304">
        <v>0</v>
      </c>
      <c r="CD91" s="66"/>
      <c r="CE91" s="131"/>
      <c r="CF91" s="67"/>
      <c r="CG91" s="294">
        <f t="shared" si="475"/>
        <v>0</v>
      </c>
      <c r="CH91" s="90"/>
      <c r="CI91" s="133"/>
      <c r="CJ91" s="134"/>
      <c r="CK91" s="134"/>
      <c r="CL91" s="134"/>
      <c r="CM91" s="121"/>
      <c r="CN91" s="134"/>
      <c r="CO91" s="122"/>
      <c r="CP91" s="90"/>
      <c r="CQ91" s="133"/>
      <c r="CR91" s="134"/>
      <c r="CS91" s="134"/>
      <c r="CT91" s="134"/>
      <c r="CU91" s="121"/>
      <c r="CV91" s="134"/>
      <c r="CW91" s="122"/>
      <c r="CX91" s="90"/>
      <c r="CY91" s="133"/>
      <c r="CZ91" s="134"/>
      <c r="DA91" s="134"/>
      <c r="DB91" s="134"/>
      <c r="DC91" s="121"/>
      <c r="DD91" s="134"/>
      <c r="DE91" s="122"/>
      <c r="DF91" s="6"/>
      <c r="DG91" s="289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</row>
    <row r="92" spans="1:135" s="7" customFormat="1" ht="13" customHeight="1">
      <c r="A92" s="330"/>
      <c r="B92" s="49" t="s">
        <v>42</v>
      </c>
      <c r="C92" s="271"/>
      <c r="D92" s="271"/>
      <c r="E92" s="271"/>
      <c r="F92" s="271"/>
      <c r="G92" s="14"/>
      <c r="H92" s="273"/>
      <c r="I92" s="14"/>
      <c r="J92" s="190"/>
      <c r="K92" s="90"/>
      <c r="L92" s="51"/>
      <c r="M92" s="45"/>
      <c r="N92" s="45"/>
      <c r="O92" s="45"/>
      <c r="P92" s="52"/>
      <c r="Q92" s="45"/>
      <c r="R92" s="53"/>
      <c r="S92" s="90"/>
      <c r="T92" s="130"/>
      <c r="U92" s="131"/>
      <c r="V92" s="131"/>
      <c r="W92" s="131"/>
      <c r="X92" s="66"/>
      <c r="Y92" s="131"/>
      <c r="Z92" s="67"/>
      <c r="AA92" s="90"/>
      <c r="AB92" s="51"/>
      <c r="AC92" s="45"/>
      <c r="AD92" s="45"/>
      <c r="AE92" s="45"/>
      <c r="AF92" s="52"/>
      <c r="AG92" s="131"/>
      <c r="AH92" s="53"/>
      <c r="AI92" s="90"/>
      <c r="AJ92" s="130"/>
      <c r="AK92" s="131"/>
      <c r="AL92" s="131"/>
      <c r="AM92" s="131"/>
      <c r="AN92" s="66"/>
      <c r="AO92" s="131"/>
      <c r="AP92" s="67"/>
      <c r="AQ92" s="90"/>
      <c r="AR92" s="130"/>
      <c r="AS92" s="131"/>
      <c r="AT92" s="131"/>
      <c r="AU92" s="131"/>
      <c r="AV92" s="66"/>
      <c r="AW92" s="131"/>
      <c r="AX92" s="67"/>
      <c r="AY92" s="90"/>
      <c r="AZ92" s="130"/>
      <c r="BA92" s="131"/>
      <c r="BB92" s="131"/>
      <c r="BC92" s="131"/>
      <c r="BD92" s="66"/>
      <c r="BE92" s="131"/>
      <c r="BF92" s="67"/>
      <c r="BG92" s="90"/>
      <c r="BH92" s="254"/>
      <c r="BI92" s="255"/>
      <c r="BJ92" s="255"/>
      <c r="BK92" s="255"/>
      <c r="BL92" s="52"/>
      <c r="BM92" s="255"/>
      <c r="BN92" s="53"/>
      <c r="BO92" s="190"/>
      <c r="BP92" s="90"/>
      <c r="BQ92" s="130"/>
      <c r="BR92" s="131"/>
      <c r="BS92" s="131"/>
      <c r="BT92" s="131"/>
      <c r="BU92" s="66"/>
      <c r="BV92" s="131"/>
      <c r="BW92" s="67"/>
      <c r="BX92" s="294"/>
      <c r="BY92" s="90"/>
      <c r="BZ92" s="303"/>
      <c r="CA92" s="304"/>
      <c r="CB92" s="304"/>
      <c r="CC92" s="304">
        <v>0</v>
      </c>
      <c r="CD92" s="66"/>
      <c r="CE92" s="131"/>
      <c r="CF92" s="67"/>
      <c r="CG92" s="294">
        <f t="shared" si="475"/>
        <v>0</v>
      </c>
      <c r="CH92" s="90"/>
      <c r="CI92" s="133"/>
      <c r="CJ92" s="134"/>
      <c r="CK92" s="134"/>
      <c r="CL92" s="134"/>
      <c r="CM92" s="121"/>
      <c r="CN92" s="134"/>
      <c r="CO92" s="122"/>
      <c r="CP92" s="90"/>
      <c r="CQ92" s="133"/>
      <c r="CR92" s="134"/>
      <c r="CS92" s="134"/>
      <c r="CT92" s="134"/>
      <c r="CU92" s="121"/>
      <c r="CV92" s="134"/>
      <c r="CW92" s="122"/>
      <c r="CX92" s="90"/>
      <c r="CY92" s="133"/>
      <c r="CZ92" s="134"/>
      <c r="DA92" s="134"/>
      <c r="DB92" s="134"/>
      <c r="DC92" s="121"/>
      <c r="DD92" s="134"/>
      <c r="DE92" s="122"/>
      <c r="DF92" s="6"/>
      <c r="DG92" s="289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</row>
    <row r="93" spans="1:135" s="7" customFormat="1" ht="13" customHeight="1">
      <c r="A93" s="330"/>
      <c r="B93" s="49" t="s">
        <v>43</v>
      </c>
      <c r="C93" s="271"/>
      <c r="D93" s="271"/>
      <c r="E93" s="271"/>
      <c r="F93" s="271"/>
      <c r="G93" s="14"/>
      <c r="H93" s="273"/>
      <c r="I93" s="14"/>
      <c r="J93" s="190"/>
      <c r="K93" s="90"/>
      <c r="L93" s="51"/>
      <c r="M93" s="45"/>
      <c r="N93" s="45"/>
      <c r="O93" s="45"/>
      <c r="P93" s="52"/>
      <c r="Q93" s="45"/>
      <c r="R93" s="53"/>
      <c r="S93" s="90"/>
      <c r="T93" s="130"/>
      <c r="U93" s="131"/>
      <c r="V93" s="131"/>
      <c r="W93" s="131"/>
      <c r="X93" s="66"/>
      <c r="Y93" s="131"/>
      <c r="Z93" s="67"/>
      <c r="AA93" s="90"/>
      <c r="AB93" s="51"/>
      <c r="AC93" s="45"/>
      <c r="AD93" s="45"/>
      <c r="AE93" s="45"/>
      <c r="AF93" s="52"/>
      <c r="AG93" s="131"/>
      <c r="AH93" s="53"/>
      <c r="AI93" s="90"/>
      <c r="AJ93" s="130"/>
      <c r="AK93" s="131"/>
      <c r="AL93" s="131"/>
      <c r="AM93" s="131"/>
      <c r="AN93" s="66"/>
      <c r="AO93" s="131"/>
      <c r="AP93" s="67"/>
      <c r="AQ93" s="90"/>
      <c r="AR93" s="130"/>
      <c r="AS93" s="131"/>
      <c r="AT93" s="131"/>
      <c r="AU93" s="131"/>
      <c r="AV93" s="66"/>
      <c r="AW93" s="131"/>
      <c r="AX93" s="67"/>
      <c r="AY93" s="90"/>
      <c r="AZ93" s="130"/>
      <c r="BA93" s="131"/>
      <c r="BB93" s="131"/>
      <c r="BC93" s="131"/>
      <c r="BD93" s="66"/>
      <c r="BE93" s="131"/>
      <c r="BF93" s="67"/>
      <c r="BG93" s="90"/>
      <c r="BH93" s="254"/>
      <c r="BI93" s="255"/>
      <c r="BJ93" s="255"/>
      <c r="BK93" s="255"/>
      <c r="BL93" s="52"/>
      <c r="BM93" s="255"/>
      <c r="BN93" s="53"/>
      <c r="BO93" s="190"/>
      <c r="BP93" s="90"/>
      <c r="BQ93" s="130"/>
      <c r="BR93" s="131"/>
      <c r="BS93" s="131"/>
      <c r="BT93" s="131"/>
      <c r="BU93" s="66"/>
      <c r="BV93" s="131"/>
      <c r="BW93" s="67"/>
      <c r="BX93" s="294"/>
      <c r="BY93" s="90"/>
      <c r="BZ93" s="303"/>
      <c r="CA93" s="304"/>
      <c r="CB93" s="304"/>
      <c r="CC93" s="304">
        <v>0</v>
      </c>
      <c r="CD93" s="66"/>
      <c r="CE93" s="131"/>
      <c r="CF93" s="67"/>
      <c r="CG93" s="294">
        <f t="shared" si="475"/>
        <v>0</v>
      </c>
      <c r="CH93" s="90"/>
      <c r="CI93" s="133"/>
      <c r="CJ93" s="134"/>
      <c r="CK93" s="134"/>
      <c r="CL93" s="134"/>
      <c r="CM93" s="121"/>
      <c r="CN93" s="134"/>
      <c r="CO93" s="122"/>
      <c r="CP93" s="90"/>
      <c r="CQ93" s="133"/>
      <c r="CR93" s="134"/>
      <c r="CS93" s="134"/>
      <c r="CT93" s="134"/>
      <c r="CU93" s="121"/>
      <c r="CV93" s="134"/>
      <c r="CW93" s="122"/>
      <c r="CX93" s="90"/>
      <c r="CY93" s="133"/>
      <c r="CZ93" s="134"/>
      <c r="DA93" s="134"/>
      <c r="DB93" s="134"/>
      <c r="DC93" s="121"/>
      <c r="DD93" s="134"/>
      <c r="DE93" s="122"/>
      <c r="DF93" s="6"/>
      <c r="DG93" s="289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</row>
    <row r="94" spans="1:135" s="7" customFormat="1" ht="13" customHeight="1">
      <c r="A94" s="330"/>
      <c r="B94" s="49" t="s">
        <v>56</v>
      </c>
      <c r="C94" s="271"/>
      <c r="D94" s="271"/>
      <c r="E94" s="271"/>
      <c r="F94" s="271"/>
      <c r="G94" s="14"/>
      <c r="H94" s="273"/>
      <c r="I94" s="14"/>
      <c r="J94" s="190"/>
      <c r="K94" s="90"/>
      <c r="L94" s="51"/>
      <c r="M94" s="45"/>
      <c r="N94" s="45"/>
      <c r="O94" s="45"/>
      <c r="P94" s="52"/>
      <c r="Q94" s="45"/>
      <c r="R94" s="53"/>
      <c r="S94" s="90"/>
      <c r="T94" s="130"/>
      <c r="U94" s="131"/>
      <c r="V94" s="131"/>
      <c r="W94" s="131"/>
      <c r="X94" s="66"/>
      <c r="Y94" s="131"/>
      <c r="Z94" s="67"/>
      <c r="AA94" s="90"/>
      <c r="AB94" s="51"/>
      <c r="AC94" s="45"/>
      <c r="AD94" s="45"/>
      <c r="AE94" s="45"/>
      <c r="AF94" s="52"/>
      <c r="AG94" s="131"/>
      <c r="AH94" s="53"/>
      <c r="AI94" s="90"/>
      <c r="AJ94" s="130"/>
      <c r="AK94" s="131"/>
      <c r="AL94" s="131"/>
      <c r="AM94" s="131"/>
      <c r="AN94" s="66"/>
      <c r="AO94" s="131"/>
      <c r="AP94" s="67"/>
      <c r="AQ94" s="90"/>
      <c r="AR94" s="130"/>
      <c r="AS94" s="131"/>
      <c r="AT94" s="131"/>
      <c r="AU94" s="131"/>
      <c r="AV94" s="66"/>
      <c r="AW94" s="131"/>
      <c r="AX94" s="67"/>
      <c r="AY94" s="90"/>
      <c r="AZ94" s="130"/>
      <c r="BA94" s="131"/>
      <c r="BB94" s="131"/>
      <c r="BC94" s="131"/>
      <c r="BD94" s="66"/>
      <c r="BE94" s="131"/>
      <c r="BF94" s="67"/>
      <c r="BG94" s="90"/>
      <c r="BH94" s="254"/>
      <c r="BI94" s="255"/>
      <c r="BJ94" s="255"/>
      <c r="BK94" s="255"/>
      <c r="BL94" s="52"/>
      <c r="BM94" s="255"/>
      <c r="BN94" s="53"/>
      <c r="BO94" s="190"/>
      <c r="BP94" s="90"/>
      <c r="BQ94" s="130"/>
      <c r="BR94" s="131"/>
      <c r="BS94" s="131"/>
      <c r="BT94" s="131"/>
      <c r="BU94" s="66"/>
      <c r="BV94" s="131"/>
      <c r="BW94" s="67"/>
      <c r="BX94" s="294"/>
      <c r="BY94" s="90"/>
      <c r="BZ94" s="303">
        <v>3500000</v>
      </c>
      <c r="CA94" s="304">
        <v>0</v>
      </c>
      <c r="CB94" s="304">
        <v>3500000</v>
      </c>
      <c r="CC94" s="304">
        <v>3500000</v>
      </c>
      <c r="CD94" s="66"/>
      <c r="CE94" s="131"/>
      <c r="CF94" s="67">
        <f t="shared" si="457"/>
        <v>0</v>
      </c>
      <c r="CG94" s="294">
        <f>CC94*$A$100</f>
        <v>24500</v>
      </c>
      <c r="CH94" s="90"/>
      <c r="CI94" s="133"/>
      <c r="CJ94" s="134"/>
      <c r="CK94" s="134"/>
      <c r="CL94" s="134"/>
      <c r="CM94" s="121"/>
      <c r="CN94" s="134"/>
      <c r="CO94" s="122"/>
      <c r="CP94" s="90"/>
      <c r="CQ94" s="133"/>
      <c r="CR94" s="134"/>
      <c r="CS94" s="134"/>
      <c r="CT94" s="134"/>
      <c r="CU94" s="121"/>
      <c r="CV94" s="134"/>
      <c r="CW94" s="122"/>
      <c r="CX94" s="90"/>
      <c r="CY94" s="133"/>
      <c r="CZ94" s="134"/>
      <c r="DA94" s="134"/>
      <c r="DB94" s="134"/>
      <c r="DC94" s="121"/>
      <c r="DD94" s="134"/>
      <c r="DE94" s="122"/>
      <c r="DF94" s="6"/>
      <c r="DG94" s="289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</row>
    <row r="95" spans="1:135" s="11" customFormat="1" ht="13.15" customHeight="1">
      <c r="A95" s="330"/>
      <c r="B95" s="49" t="s">
        <v>14</v>
      </c>
      <c r="C95" s="271">
        <f>SUM(L95,T95,AB95,AJ95,AR95,AZ95,BH95,BQ95,BZ95,CI95,CQ95,CY95)</f>
        <v>176784725</v>
      </c>
      <c r="D95" s="271">
        <f t="shared" ref="D95:D98" si="476">SUM(M95,U95,AC95,AK95,AS95,BA95,BI95,BR95,CA95,CJ95,CR95,CZ95)</f>
        <v>19784725</v>
      </c>
      <c r="E95" s="271">
        <f t="shared" si="455"/>
        <v>157000000</v>
      </c>
      <c r="F95" s="271">
        <f t="shared" si="456"/>
        <v>157000000</v>
      </c>
      <c r="G95" s="14">
        <f t="shared" si="458"/>
        <v>0.11191422222706175</v>
      </c>
      <c r="H95" s="271">
        <f t="shared" si="459"/>
        <v>15000000</v>
      </c>
      <c r="I95" s="14">
        <f>H95/C95</f>
        <v>8.4848959659834869E-2</v>
      </c>
      <c r="J95" s="194">
        <f>F95*$A$100</f>
        <v>1099000</v>
      </c>
      <c r="K95" s="102"/>
      <c r="L95" s="59">
        <v>0</v>
      </c>
      <c r="M95" s="33">
        <v>0</v>
      </c>
      <c r="N95" s="33">
        <v>0</v>
      </c>
      <c r="O95" s="33">
        <v>0</v>
      </c>
      <c r="P95" s="52" t="e">
        <f t="shared" si="461"/>
        <v>#DIV/0!</v>
      </c>
      <c r="Q95" s="33">
        <v>0</v>
      </c>
      <c r="R95" s="53" t="e">
        <f>Q95/L95</f>
        <v>#DIV/0!</v>
      </c>
      <c r="S95" s="102"/>
      <c r="T95" s="59">
        <v>26150289</v>
      </c>
      <c r="U95" s="33">
        <v>1650289</v>
      </c>
      <c r="V95" s="33">
        <v>24500000</v>
      </c>
      <c r="W95" s="33">
        <v>24500000</v>
      </c>
      <c r="X95" s="52">
        <f t="shared" si="463"/>
        <v>6.3107868521070642E-2</v>
      </c>
      <c r="Y95" s="116">
        <v>0</v>
      </c>
      <c r="Z95" s="53">
        <f>Y95/T95</f>
        <v>0</v>
      </c>
      <c r="AA95" s="102"/>
      <c r="AB95" s="59">
        <v>29534436</v>
      </c>
      <c r="AC95" s="33">
        <v>5034436</v>
      </c>
      <c r="AD95" s="33">
        <v>24500000</v>
      </c>
      <c r="AE95" s="33">
        <v>24500000</v>
      </c>
      <c r="AF95" s="52">
        <f t="shared" si="465"/>
        <v>0.17045986590026638</v>
      </c>
      <c r="AG95" s="33">
        <v>0</v>
      </c>
      <c r="AH95" s="53">
        <f>AG95/AB95</f>
        <v>0</v>
      </c>
      <c r="AI95" s="102"/>
      <c r="AJ95" s="59">
        <v>27800000</v>
      </c>
      <c r="AK95" s="33">
        <v>0</v>
      </c>
      <c r="AL95" s="33">
        <v>27800000</v>
      </c>
      <c r="AM95" s="33">
        <v>27800000</v>
      </c>
      <c r="AN95" s="52">
        <f t="shared" si="467"/>
        <v>0</v>
      </c>
      <c r="AO95" s="33">
        <v>0</v>
      </c>
      <c r="AP95" s="53">
        <f t="shared" si="404"/>
        <v>0</v>
      </c>
      <c r="AQ95" s="102"/>
      <c r="AR95" s="59">
        <v>16000000</v>
      </c>
      <c r="AS95" s="33">
        <v>0</v>
      </c>
      <c r="AT95" s="33">
        <v>16000000</v>
      </c>
      <c r="AU95" s="33">
        <v>16000000</v>
      </c>
      <c r="AV95" s="52">
        <f t="shared" si="468"/>
        <v>0</v>
      </c>
      <c r="AW95" s="33">
        <v>0</v>
      </c>
      <c r="AX95" s="53">
        <f t="shared" si="405"/>
        <v>0</v>
      </c>
      <c r="AY95" s="102"/>
      <c r="AZ95" s="59">
        <v>11800000</v>
      </c>
      <c r="BA95" s="33">
        <v>0</v>
      </c>
      <c r="BB95" s="33">
        <v>11800000</v>
      </c>
      <c r="BC95" s="33">
        <v>11800000</v>
      </c>
      <c r="BD95" s="52">
        <f t="shared" si="469"/>
        <v>0</v>
      </c>
      <c r="BE95" s="33">
        <v>0</v>
      </c>
      <c r="BF95" s="53">
        <f t="shared" si="406"/>
        <v>0</v>
      </c>
      <c r="BG95" s="102"/>
      <c r="BH95" s="254"/>
      <c r="BI95" s="255"/>
      <c r="BJ95" s="255"/>
      <c r="BK95" s="255"/>
      <c r="BL95" s="52"/>
      <c r="BM95" s="255"/>
      <c r="BN95" s="53"/>
      <c r="BO95" s="194">
        <f>BK95*$A$100</f>
        <v>0</v>
      </c>
      <c r="BP95" s="102"/>
      <c r="BQ95" s="59"/>
      <c r="BR95" s="33"/>
      <c r="BS95" s="33"/>
      <c r="BT95" s="33"/>
      <c r="BU95" s="52"/>
      <c r="BV95" s="33"/>
      <c r="BW95" s="53"/>
      <c r="BX95" s="294"/>
      <c r="BY95" s="102"/>
      <c r="BZ95" s="254">
        <v>65500000</v>
      </c>
      <c r="CA95" s="255">
        <v>13100000</v>
      </c>
      <c r="CB95" s="255">
        <v>52400000</v>
      </c>
      <c r="CC95" s="255">
        <v>52400000</v>
      </c>
      <c r="CD95" s="52">
        <f t="shared" ref="CD95:CD98" si="477">CA95/BZ95</f>
        <v>0.2</v>
      </c>
      <c r="CE95" s="305">
        <v>15000000</v>
      </c>
      <c r="CF95" s="53">
        <f t="shared" si="457"/>
        <v>0.22900763358778625</v>
      </c>
      <c r="CG95" s="294">
        <f t="shared" si="475"/>
        <v>366800</v>
      </c>
      <c r="CH95" s="102"/>
      <c r="CI95" s="114"/>
      <c r="CJ95" s="115"/>
      <c r="CK95" s="115"/>
      <c r="CL95" s="115"/>
      <c r="CM95" s="111" t="e">
        <f t="shared" si="472"/>
        <v>#DIV/0!</v>
      </c>
      <c r="CN95" s="117"/>
      <c r="CO95" s="113">
        <v>0</v>
      </c>
      <c r="CP95" s="102"/>
      <c r="CQ95" s="114"/>
      <c r="CR95" s="115"/>
      <c r="CS95" s="115"/>
      <c r="CT95" s="115"/>
      <c r="CU95" s="111" t="e">
        <f t="shared" si="473"/>
        <v>#DIV/0!</v>
      </c>
      <c r="CV95" s="117"/>
      <c r="CW95" s="113">
        <v>0</v>
      </c>
      <c r="CX95" s="102"/>
      <c r="CY95" s="114"/>
      <c r="CZ95" s="115"/>
      <c r="DA95" s="115"/>
      <c r="DB95" s="115"/>
      <c r="DC95" s="111" t="e">
        <f t="shared" si="474"/>
        <v>#DIV/0!</v>
      </c>
      <c r="DD95" s="117"/>
      <c r="DE95" s="113">
        <v>0</v>
      </c>
      <c r="DF95" s="9"/>
      <c r="DG95" s="290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</row>
    <row r="96" spans="1:135" s="11" customFormat="1" ht="13.15" customHeight="1">
      <c r="A96" s="330"/>
      <c r="B96" s="49" t="s">
        <v>15</v>
      </c>
      <c r="C96" s="271">
        <f>SUM(L96,T96,AB96,AJ96,AR96,AZ96,BH96,BQ96,BZ96,CI96,CQ96,CY96)</f>
        <v>23346500</v>
      </c>
      <c r="D96" s="271">
        <f t="shared" si="476"/>
        <v>0</v>
      </c>
      <c r="E96" s="271">
        <f t="shared" si="455"/>
        <v>23346500</v>
      </c>
      <c r="F96" s="271">
        <f t="shared" si="456"/>
        <v>23346500</v>
      </c>
      <c r="G96" s="14">
        <f t="shared" si="458"/>
        <v>0</v>
      </c>
      <c r="H96" s="271">
        <f t="shared" si="459"/>
        <v>0</v>
      </c>
      <c r="I96" s="14">
        <f>H96/C96</f>
        <v>0</v>
      </c>
      <c r="J96" s="194">
        <f>F96*$A$100</f>
        <v>163425.5</v>
      </c>
      <c r="K96" s="102"/>
      <c r="L96" s="59">
        <v>0</v>
      </c>
      <c r="M96" s="33">
        <v>0</v>
      </c>
      <c r="N96" s="33">
        <v>0</v>
      </c>
      <c r="O96" s="33">
        <v>0</v>
      </c>
      <c r="P96" s="52" t="e">
        <f t="shared" si="461"/>
        <v>#DIV/0!</v>
      </c>
      <c r="Q96" s="33">
        <v>0</v>
      </c>
      <c r="R96" s="53" t="e">
        <f>Q96/L96</f>
        <v>#DIV/0!</v>
      </c>
      <c r="S96" s="102"/>
      <c r="T96" s="59">
        <v>0</v>
      </c>
      <c r="U96" s="33">
        <v>0</v>
      </c>
      <c r="V96" s="33">
        <v>0</v>
      </c>
      <c r="W96" s="33">
        <v>0</v>
      </c>
      <c r="X96" s="52" t="e">
        <f t="shared" si="463"/>
        <v>#DIV/0!</v>
      </c>
      <c r="Y96" s="116">
        <v>0</v>
      </c>
      <c r="Z96" s="53" t="e">
        <f>Y96/T96</f>
        <v>#DIV/0!</v>
      </c>
      <c r="AA96" s="102"/>
      <c r="AB96" s="59">
        <v>0</v>
      </c>
      <c r="AC96" s="33">
        <v>0</v>
      </c>
      <c r="AD96" s="33">
        <v>0</v>
      </c>
      <c r="AE96" s="33">
        <v>0</v>
      </c>
      <c r="AF96" s="52" t="e">
        <f t="shared" si="465"/>
        <v>#DIV/0!</v>
      </c>
      <c r="AG96" s="33">
        <v>0</v>
      </c>
      <c r="AH96" s="53" t="e">
        <f>AG96/AB96</f>
        <v>#DIV/0!</v>
      </c>
      <c r="AI96" s="102"/>
      <c r="AJ96" s="59">
        <v>11606500</v>
      </c>
      <c r="AK96" s="33">
        <v>0</v>
      </c>
      <c r="AL96" s="33">
        <v>11606500</v>
      </c>
      <c r="AM96" s="33">
        <v>11606500</v>
      </c>
      <c r="AN96" s="52">
        <f t="shared" si="467"/>
        <v>0</v>
      </c>
      <c r="AO96" s="33">
        <v>0</v>
      </c>
      <c r="AP96" s="53">
        <f t="shared" si="404"/>
        <v>0</v>
      </c>
      <c r="AQ96" s="102"/>
      <c r="AR96" s="59">
        <v>820000</v>
      </c>
      <c r="AS96" s="33">
        <v>0</v>
      </c>
      <c r="AT96" s="33">
        <v>820000</v>
      </c>
      <c r="AU96" s="33">
        <v>820000</v>
      </c>
      <c r="AV96" s="52">
        <f t="shared" si="468"/>
        <v>0</v>
      </c>
      <c r="AW96" s="33">
        <v>0</v>
      </c>
      <c r="AX96" s="53">
        <f t="shared" si="405"/>
        <v>0</v>
      </c>
      <c r="AY96" s="102"/>
      <c r="AZ96" s="59">
        <v>820000</v>
      </c>
      <c r="BA96" s="33">
        <v>0</v>
      </c>
      <c r="BB96" s="33">
        <v>820000</v>
      </c>
      <c r="BC96" s="33">
        <v>820000</v>
      </c>
      <c r="BD96" s="52">
        <f t="shared" si="469"/>
        <v>0</v>
      </c>
      <c r="BE96" s="33">
        <v>0</v>
      </c>
      <c r="BF96" s="53">
        <f t="shared" si="406"/>
        <v>0</v>
      </c>
      <c r="BG96" s="102"/>
      <c r="BH96" s="254"/>
      <c r="BI96" s="255"/>
      <c r="BJ96" s="255"/>
      <c r="BK96" s="255"/>
      <c r="BL96" s="52"/>
      <c r="BM96" s="255"/>
      <c r="BN96" s="53"/>
      <c r="BO96" s="194">
        <f>BK96*$A$100</f>
        <v>0</v>
      </c>
      <c r="BP96" s="102"/>
      <c r="BQ96" s="59"/>
      <c r="BR96" s="33"/>
      <c r="BS96" s="33"/>
      <c r="BT96" s="33"/>
      <c r="BU96" s="52"/>
      <c r="BV96" s="33"/>
      <c r="BW96" s="53"/>
      <c r="BX96" s="294"/>
      <c r="BY96" s="102"/>
      <c r="BZ96" s="254">
        <v>10100000</v>
      </c>
      <c r="CA96" s="255">
        <v>0</v>
      </c>
      <c r="CB96" s="255">
        <v>10100000</v>
      </c>
      <c r="CC96" s="255">
        <v>10100000</v>
      </c>
      <c r="CD96" s="52">
        <f t="shared" si="477"/>
        <v>0</v>
      </c>
      <c r="CE96" s="305"/>
      <c r="CF96" s="53">
        <f t="shared" si="457"/>
        <v>0</v>
      </c>
      <c r="CG96" s="294">
        <f t="shared" si="475"/>
        <v>70700</v>
      </c>
      <c r="CH96" s="102"/>
      <c r="CI96" s="114"/>
      <c r="CJ96" s="115"/>
      <c r="CK96" s="115"/>
      <c r="CL96" s="115"/>
      <c r="CM96" s="111" t="e">
        <f t="shared" si="472"/>
        <v>#DIV/0!</v>
      </c>
      <c r="CN96" s="117"/>
      <c r="CO96" s="113">
        <v>0</v>
      </c>
      <c r="CP96" s="102"/>
      <c r="CQ96" s="114"/>
      <c r="CR96" s="115"/>
      <c r="CS96" s="115"/>
      <c r="CT96" s="115"/>
      <c r="CU96" s="111" t="e">
        <f t="shared" si="473"/>
        <v>#DIV/0!</v>
      </c>
      <c r="CV96" s="117"/>
      <c r="CW96" s="113">
        <v>0</v>
      </c>
      <c r="CX96" s="102"/>
      <c r="CY96" s="114"/>
      <c r="CZ96" s="115"/>
      <c r="DA96" s="115"/>
      <c r="DB96" s="115"/>
      <c r="DC96" s="111" t="e">
        <f t="shared" si="474"/>
        <v>#DIV/0!</v>
      </c>
      <c r="DD96" s="117"/>
      <c r="DE96" s="113">
        <v>0</v>
      </c>
      <c r="DF96" s="9"/>
      <c r="DG96" s="290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</row>
    <row r="97" spans="1:135" s="11" customFormat="1" ht="13.15" customHeight="1">
      <c r="A97" s="330"/>
      <c r="B97" s="49" t="s">
        <v>16</v>
      </c>
      <c r="C97" s="271">
        <f>SUM(L97,T97,AB97,AJ97,AR97,AZ97,BH97,BQ97,BZ97,CI97,CQ97,CY97)</f>
        <v>0</v>
      </c>
      <c r="D97" s="271">
        <f t="shared" si="476"/>
        <v>0</v>
      </c>
      <c r="E97" s="271">
        <f t="shared" si="455"/>
        <v>0</v>
      </c>
      <c r="F97" s="271">
        <f t="shared" si="456"/>
        <v>0</v>
      </c>
      <c r="G97" s="14" t="e">
        <f t="shared" si="458"/>
        <v>#DIV/0!</v>
      </c>
      <c r="H97" s="271">
        <f>SUM(Q97,Y97,AG97,AO97,AW97,BE97,BM98,BV97,CE97,CN97,CV97,DD97)</f>
        <v>0</v>
      </c>
      <c r="I97" s="14" t="e">
        <f t="shared" ref="I97" si="478">H97/C97</f>
        <v>#DIV/0!</v>
      </c>
      <c r="J97" s="194">
        <f>F97*$A$100</f>
        <v>0</v>
      </c>
      <c r="K97" s="102"/>
      <c r="L97" s="59">
        <v>0</v>
      </c>
      <c r="M97" s="33">
        <v>0</v>
      </c>
      <c r="N97" s="33">
        <v>0</v>
      </c>
      <c r="O97" s="33">
        <v>0</v>
      </c>
      <c r="P97" s="52" t="e">
        <f t="shared" si="461"/>
        <v>#DIV/0!</v>
      </c>
      <c r="Q97" s="33">
        <v>0</v>
      </c>
      <c r="R97" s="53" t="e">
        <f t="shared" ref="R97:R98" si="479">Q97/L97</f>
        <v>#DIV/0!</v>
      </c>
      <c r="S97" s="102"/>
      <c r="T97" s="59">
        <v>0</v>
      </c>
      <c r="U97" s="33">
        <v>0</v>
      </c>
      <c r="V97" s="33">
        <v>0</v>
      </c>
      <c r="W97" s="33">
        <v>0</v>
      </c>
      <c r="X97" s="52" t="e">
        <f t="shared" si="463"/>
        <v>#DIV/0!</v>
      </c>
      <c r="Y97" s="116">
        <v>0</v>
      </c>
      <c r="Z97" s="53" t="e">
        <f t="shared" ref="Z97:Z98" si="480">Y97/T97</f>
        <v>#DIV/0!</v>
      </c>
      <c r="AA97" s="102"/>
      <c r="AB97" s="59">
        <v>0</v>
      </c>
      <c r="AC97" s="33">
        <v>0</v>
      </c>
      <c r="AD97" s="33">
        <v>0</v>
      </c>
      <c r="AE97" s="33">
        <v>0</v>
      </c>
      <c r="AF97" s="52" t="e">
        <f t="shared" si="465"/>
        <v>#DIV/0!</v>
      </c>
      <c r="AG97" s="33">
        <v>0</v>
      </c>
      <c r="AH97" s="53" t="e">
        <f t="shared" ref="AH97:AH98" si="481">AG97/AB97</f>
        <v>#DIV/0!</v>
      </c>
      <c r="AI97" s="102"/>
      <c r="AJ97" s="59">
        <v>0</v>
      </c>
      <c r="AK97" s="33">
        <v>0</v>
      </c>
      <c r="AL97" s="33">
        <v>0</v>
      </c>
      <c r="AM97" s="33">
        <v>0</v>
      </c>
      <c r="AN97" s="52" t="e">
        <f t="shared" si="467"/>
        <v>#DIV/0!</v>
      </c>
      <c r="AO97" s="33">
        <v>0</v>
      </c>
      <c r="AP97" s="53" t="e">
        <f t="shared" ref="AP97:AP98" si="482">AO97/AJ97</f>
        <v>#DIV/0!</v>
      </c>
      <c r="AQ97" s="102"/>
      <c r="AR97" s="59">
        <v>0</v>
      </c>
      <c r="AS97" s="33">
        <v>0</v>
      </c>
      <c r="AT97" s="33">
        <v>0</v>
      </c>
      <c r="AU97" s="33">
        <v>0</v>
      </c>
      <c r="AV97" s="52" t="e">
        <f t="shared" si="468"/>
        <v>#DIV/0!</v>
      </c>
      <c r="AW97" s="33">
        <v>0</v>
      </c>
      <c r="AX97" s="53" t="e">
        <f t="shared" ref="AX97" si="483">AW97/AR97</f>
        <v>#DIV/0!</v>
      </c>
      <c r="AY97" s="102"/>
      <c r="AZ97" s="59">
        <v>0</v>
      </c>
      <c r="BA97" s="33">
        <v>0</v>
      </c>
      <c r="BB97" s="33">
        <v>0</v>
      </c>
      <c r="BC97" s="33">
        <v>0</v>
      </c>
      <c r="BD97" s="52" t="e">
        <f t="shared" si="469"/>
        <v>#DIV/0!</v>
      </c>
      <c r="BE97" s="33">
        <v>0</v>
      </c>
      <c r="BF97" s="53" t="e">
        <f t="shared" ref="BF97" si="484">BE97/AZ97</f>
        <v>#DIV/0!</v>
      </c>
      <c r="BG97" s="102"/>
      <c r="BH97" s="254"/>
      <c r="BI97" s="255"/>
      <c r="BJ97" s="255"/>
      <c r="BK97" s="255"/>
      <c r="BL97" s="52"/>
      <c r="BM97" s="258"/>
      <c r="BN97" s="53"/>
      <c r="BO97" s="194">
        <f>BK97*$A$100</f>
        <v>0</v>
      </c>
      <c r="BP97" s="102"/>
      <c r="BQ97" s="59"/>
      <c r="BR97" s="33"/>
      <c r="BS97" s="33"/>
      <c r="BT97" s="33"/>
      <c r="BU97" s="52"/>
      <c r="BV97" s="33"/>
      <c r="BW97" s="53"/>
      <c r="BX97" s="294"/>
      <c r="BY97" s="102"/>
      <c r="BZ97" s="254"/>
      <c r="CA97" s="255"/>
      <c r="CB97" s="255"/>
      <c r="CC97" s="255">
        <v>0</v>
      </c>
      <c r="CD97" s="52" t="e">
        <f t="shared" si="477"/>
        <v>#DIV/0!</v>
      </c>
      <c r="CE97" s="305"/>
      <c r="CF97" s="53"/>
      <c r="CG97" s="294">
        <f t="shared" si="475"/>
        <v>0</v>
      </c>
      <c r="CH97" s="102"/>
      <c r="CI97" s="114"/>
      <c r="CJ97" s="115"/>
      <c r="CK97" s="115"/>
      <c r="CL97" s="115"/>
      <c r="CM97" s="111" t="e">
        <f t="shared" si="472"/>
        <v>#DIV/0!</v>
      </c>
      <c r="CN97" s="117"/>
      <c r="CO97" s="113" t="e">
        <v>#DIV/0!</v>
      </c>
      <c r="CP97" s="102"/>
      <c r="CQ97" s="114"/>
      <c r="CR97" s="115"/>
      <c r="CS97" s="115"/>
      <c r="CT97" s="115"/>
      <c r="CU97" s="111" t="e">
        <f t="shared" si="473"/>
        <v>#DIV/0!</v>
      </c>
      <c r="CV97" s="117"/>
      <c r="CW97" s="113" t="e">
        <v>#DIV/0!</v>
      </c>
      <c r="CX97" s="102"/>
      <c r="CY97" s="114"/>
      <c r="CZ97" s="115"/>
      <c r="DA97" s="115"/>
      <c r="DB97" s="115"/>
      <c r="DC97" s="111" t="e">
        <f t="shared" si="474"/>
        <v>#DIV/0!</v>
      </c>
      <c r="DD97" s="117"/>
      <c r="DE97" s="113" t="e">
        <v>#DIV/0!</v>
      </c>
      <c r="DF97" s="9"/>
      <c r="DG97" s="290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</row>
    <row r="98" spans="1:135" s="11" customFormat="1" ht="13" customHeight="1">
      <c r="A98" s="330"/>
      <c r="B98" s="49" t="s">
        <v>17</v>
      </c>
      <c r="C98" s="271">
        <f>SUM(L98,T98,AB98,AJ98,AR98,AZ98,BH98,BQ98,BZ98,CI98,CQ98,CY98)</f>
        <v>92335000</v>
      </c>
      <c r="D98" s="271">
        <f t="shared" si="476"/>
        <v>0</v>
      </c>
      <c r="E98" s="271">
        <f t="shared" si="455"/>
        <v>92335000</v>
      </c>
      <c r="F98" s="271">
        <f>SUM(O98,W98,AE98,AM98,AU98,BC98,BK98,BT98,CC98,CL98,CT98,DB98)</f>
        <v>92335000</v>
      </c>
      <c r="G98" s="14">
        <f t="shared" si="458"/>
        <v>0</v>
      </c>
      <c r="H98" s="271">
        <f>SUM(Q98,Y98,AG98,AO98,AW98,BE98,BM99,BV98,CE98,CN98,CV98,DD98)</f>
        <v>25640000</v>
      </c>
      <c r="I98" s="14">
        <f>H98/C98</f>
        <v>0.27768451832999402</v>
      </c>
      <c r="J98" s="194">
        <f>F98*$A$100</f>
        <v>646345</v>
      </c>
      <c r="K98" s="102"/>
      <c r="L98" s="59">
        <v>0</v>
      </c>
      <c r="M98" s="33">
        <v>0</v>
      </c>
      <c r="N98" s="33">
        <v>0</v>
      </c>
      <c r="O98" s="33">
        <v>0</v>
      </c>
      <c r="P98" s="52" t="e">
        <f>M98/L98</f>
        <v>#DIV/0!</v>
      </c>
      <c r="Q98" s="33">
        <v>0</v>
      </c>
      <c r="R98" s="53" t="e">
        <f t="shared" si="479"/>
        <v>#DIV/0!</v>
      </c>
      <c r="S98" s="102"/>
      <c r="T98" s="59">
        <v>4657500</v>
      </c>
      <c r="U98" s="33">
        <v>0</v>
      </c>
      <c r="V98" s="33">
        <v>4657500</v>
      </c>
      <c r="W98" s="33">
        <v>4657500</v>
      </c>
      <c r="X98" s="52">
        <f>U98/T98</f>
        <v>0</v>
      </c>
      <c r="Y98" s="116">
        <v>0</v>
      </c>
      <c r="Z98" s="53">
        <f t="shared" si="480"/>
        <v>0</v>
      </c>
      <c r="AA98" s="102"/>
      <c r="AB98" s="59">
        <v>28070000</v>
      </c>
      <c r="AC98" s="33">
        <v>0</v>
      </c>
      <c r="AD98" s="33">
        <v>28070000</v>
      </c>
      <c r="AE98" s="33">
        <v>28070000</v>
      </c>
      <c r="AF98" s="52">
        <f>AC98/AB98</f>
        <v>0</v>
      </c>
      <c r="AG98" s="33">
        <v>10930000</v>
      </c>
      <c r="AH98" s="53">
        <f t="shared" si="481"/>
        <v>0.38938368364802278</v>
      </c>
      <c r="AI98" s="102"/>
      <c r="AJ98" s="59">
        <v>20477500</v>
      </c>
      <c r="AK98" s="33">
        <v>0</v>
      </c>
      <c r="AL98" s="33">
        <v>20477500</v>
      </c>
      <c r="AM98" s="33">
        <v>20477500</v>
      </c>
      <c r="AN98" s="52">
        <f t="shared" si="467"/>
        <v>0</v>
      </c>
      <c r="AO98" s="33">
        <v>0</v>
      </c>
      <c r="AP98" s="53">
        <f t="shared" si="482"/>
        <v>0</v>
      </c>
      <c r="AQ98" s="102"/>
      <c r="AR98" s="59">
        <v>6210000</v>
      </c>
      <c r="AS98" s="33">
        <v>0</v>
      </c>
      <c r="AT98" s="33">
        <v>6210000</v>
      </c>
      <c r="AU98" s="33">
        <v>6210000</v>
      </c>
      <c r="AV98" s="52">
        <f t="shared" si="468"/>
        <v>0</v>
      </c>
      <c r="AW98" s="33">
        <v>0</v>
      </c>
      <c r="AX98" s="53">
        <f>AW98/AR98</f>
        <v>0</v>
      </c>
      <c r="AY98" s="102"/>
      <c r="AZ98" s="59">
        <v>3500000</v>
      </c>
      <c r="BA98" s="33">
        <v>0</v>
      </c>
      <c r="BB98" s="33">
        <v>3500000</v>
      </c>
      <c r="BC98" s="33">
        <v>3500000</v>
      </c>
      <c r="BD98" s="52">
        <f t="shared" si="469"/>
        <v>0</v>
      </c>
      <c r="BE98" s="33">
        <v>0</v>
      </c>
      <c r="BF98" s="53">
        <f>BE98/AZ98</f>
        <v>0</v>
      </c>
      <c r="BG98" s="102"/>
      <c r="BH98" s="254"/>
      <c r="BI98" s="255"/>
      <c r="BJ98" s="255"/>
      <c r="BK98" s="255"/>
      <c r="BL98" s="52"/>
      <c r="BM98" s="255"/>
      <c r="BN98" s="53"/>
      <c r="BO98" s="194">
        <f>BK98*$A$100</f>
        <v>0</v>
      </c>
      <c r="BP98" s="102"/>
      <c r="BQ98" s="59"/>
      <c r="BR98" s="33"/>
      <c r="BS98" s="33"/>
      <c r="BT98" s="33"/>
      <c r="BU98" s="52"/>
      <c r="BV98" s="33"/>
      <c r="BW98" s="53"/>
      <c r="BX98" s="294"/>
      <c r="BY98" s="102"/>
      <c r="BZ98" s="254">
        <v>29420000</v>
      </c>
      <c r="CA98" s="255">
        <v>0</v>
      </c>
      <c r="CB98" s="255">
        <v>29420000</v>
      </c>
      <c r="CC98" s="255">
        <v>29420000</v>
      </c>
      <c r="CD98" s="52">
        <f t="shared" si="477"/>
        <v>0</v>
      </c>
      <c r="CE98" s="305">
        <v>14710000</v>
      </c>
      <c r="CF98" s="53">
        <f t="shared" si="457"/>
        <v>0.5</v>
      </c>
      <c r="CG98" s="294">
        <f t="shared" si="475"/>
        <v>205940</v>
      </c>
      <c r="CH98" s="102"/>
      <c r="CI98" s="114"/>
      <c r="CJ98" s="115"/>
      <c r="CK98" s="115"/>
      <c r="CL98" s="115"/>
      <c r="CM98" s="111" t="e">
        <f t="shared" si="472"/>
        <v>#DIV/0!</v>
      </c>
      <c r="CN98" s="117"/>
      <c r="CO98" s="113">
        <v>0</v>
      </c>
      <c r="CP98" s="102"/>
      <c r="CQ98" s="114"/>
      <c r="CR98" s="115"/>
      <c r="CS98" s="115"/>
      <c r="CT98" s="115"/>
      <c r="CU98" s="111" t="e">
        <f t="shared" si="473"/>
        <v>#DIV/0!</v>
      </c>
      <c r="CV98" s="117"/>
      <c r="CW98" s="113">
        <v>0</v>
      </c>
      <c r="CX98" s="102"/>
      <c r="CY98" s="114"/>
      <c r="CZ98" s="115"/>
      <c r="DA98" s="115"/>
      <c r="DB98" s="115"/>
      <c r="DC98" s="111" t="e">
        <f t="shared" si="474"/>
        <v>#DIV/0!</v>
      </c>
      <c r="DD98" s="117"/>
      <c r="DE98" s="113">
        <v>0</v>
      </c>
      <c r="DF98" s="9"/>
      <c r="DG98" s="290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</row>
    <row r="99" spans="1:135" s="32" customFormat="1" ht="13" customHeight="1">
      <c r="A99" s="330"/>
      <c r="B99" s="42" t="s">
        <v>18</v>
      </c>
      <c r="C99" s="272">
        <f>SUM(C87:C98)</f>
        <v>328642270</v>
      </c>
      <c r="D99" s="272">
        <f>SUM(D87:D98)</f>
        <v>19784725</v>
      </c>
      <c r="E99" s="272">
        <f>SUM(E87:E98)</f>
        <v>308857545</v>
      </c>
      <c r="F99" s="272">
        <f>SUM(F87:F98)</f>
        <v>308857545</v>
      </c>
      <c r="G99" s="15">
        <f>D99/C99</f>
        <v>6.0201400751035465E-2</v>
      </c>
      <c r="H99" s="272">
        <f>SUM(H87:H98)</f>
        <v>40640000</v>
      </c>
      <c r="I99" s="15">
        <f>H99/C99</f>
        <v>0.12366029482452151</v>
      </c>
      <c r="J99" s="195" t="b">
        <f>J100=F100</f>
        <v>1</v>
      </c>
      <c r="K99" s="103"/>
      <c r="L99" s="180">
        <f>SUM(L87:L98)</f>
        <v>0</v>
      </c>
      <c r="M99" s="40">
        <f>SUM(M87:M98)</f>
        <v>0</v>
      </c>
      <c r="N99" s="40">
        <f>SUM(N87:N98)</f>
        <v>0</v>
      </c>
      <c r="O99" s="40">
        <f>SUM(O87:O98)</f>
        <v>0</v>
      </c>
      <c r="P99" s="15" t="e">
        <f>M99/L99</f>
        <v>#DIV/0!</v>
      </c>
      <c r="Q99" s="40">
        <f>SUM(Q87:Q98)</f>
        <v>0</v>
      </c>
      <c r="R99" s="62" t="e">
        <f>Q99/L99</f>
        <v>#DIV/0!</v>
      </c>
      <c r="S99" s="103"/>
      <c r="T99" s="80">
        <f>SUM(T87:T98)</f>
        <v>32955772</v>
      </c>
      <c r="U99" s="81">
        <f>SUM(U87:U98)</f>
        <v>1650289</v>
      </c>
      <c r="V99" s="81">
        <f>SUM(V87:V98)</f>
        <v>31305483</v>
      </c>
      <c r="W99" s="81">
        <f>SUM(W87:W98)</f>
        <v>31305483</v>
      </c>
      <c r="X99" s="15">
        <f>U99/T99</f>
        <v>5.0075871383016002E-2</v>
      </c>
      <c r="Y99" s="81">
        <f>SUM(Y87:Y98)</f>
        <v>0</v>
      </c>
      <c r="Z99" s="62">
        <f>Y99/T99</f>
        <v>0</v>
      </c>
      <c r="AA99" s="103"/>
      <c r="AB99" s="80">
        <f>SUM(AB87:AB98)</f>
        <v>67422067</v>
      </c>
      <c r="AC99" s="81">
        <f>SUM(AC87:AC98)</f>
        <v>5034436</v>
      </c>
      <c r="AD99" s="81">
        <f>SUM(AD87:AD98)</f>
        <v>62387631</v>
      </c>
      <c r="AE99" s="81">
        <f>SUM(AE87:AE98)</f>
        <v>62387631</v>
      </c>
      <c r="AF99" s="15">
        <f>AC99/AB99</f>
        <v>7.4670448771616563E-2</v>
      </c>
      <c r="AG99" s="81">
        <f>SUM(AG87:AG98)</f>
        <v>10930000</v>
      </c>
      <c r="AH99" s="62">
        <f>AG99/AB99</f>
        <v>0.16211309570203478</v>
      </c>
      <c r="AI99" s="103"/>
      <c r="AJ99" s="80">
        <f>SUM(AJ87:AJ98)</f>
        <v>69701631</v>
      </c>
      <c r="AK99" s="81">
        <f>SUM(AK87:AK98)</f>
        <v>0</v>
      </c>
      <c r="AL99" s="81">
        <f>SUM(AL87:AL98)</f>
        <v>69701631</v>
      </c>
      <c r="AM99" s="81">
        <f>SUM(AM87:AM98)</f>
        <v>69701631</v>
      </c>
      <c r="AN99" s="15">
        <f>AK99/AJ99</f>
        <v>0</v>
      </c>
      <c r="AO99" s="81">
        <f>SUM(AO87:AO98)</f>
        <v>0</v>
      </c>
      <c r="AP99" s="62">
        <f>AO99/AJ99</f>
        <v>0</v>
      </c>
      <c r="AQ99" s="103"/>
      <c r="AR99" s="80">
        <f>SUM(AR87:AR98)</f>
        <v>23030000</v>
      </c>
      <c r="AS99" s="81">
        <f>SUM(AS87:AS98)</f>
        <v>0</v>
      </c>
      <c r="AT99" s="81">
        <f>SUM(AT87:AT98)</f>
        <v>23030000</v>
      </c>
      <c r="AU99" s="81">
        <f>SUM(AU87:AU98)</f>
        <v>23030000</v>
      </c>
      <c r="AV99" s="15">
        <f>AS99/AR99</f>
        <v>0</v>
      </c>
      <c r="AW99" s="81">
        <f>SUM(AW87:AW98)</f>
        <v>0</v>
      </c>
      <c r="AX99" s="62">
        <f>AW99/AR99</f>
        <v>0</v>
      </c>
      <c r="AY99" s="103"/>
      <c r="AZ99" s="80">
        <f>SUM(AZ87:AZ98)</f>
        <v>16120000</v>
      </c>
      <c r="BA99" s="81">
        <f>SUM(BA87:BA98)</f>
        <v>0</v>
      </c>
      <c r="BB99" s="81">
        <f>SUM(BB87:BB98)</f>
        <v>16120000</v>
      </c>
      <c r="BC99" s="81">
        <f>SUM(BC87:BC98)</f>
        <v>16120000</v>
      </c>
      <c r="BD99" s="15">
        <f>BA99/AZ99</f>
        <v>0</v>
      </c>
      <c r="BE99" s="81">
        <f>SUM(BE87:BE98)</f>
        <v>0</v>
      </c>
      <c r="BF99" s="62">
        <f>BE99/AZ99</f>
        <v>0</v>
      </c>
      <c r="BG99" s="103"/>
      <c r="BH99" s="256">
        <f>SUM(BH87:BH98)</f>
        <v>6092800</v>
      </c>
      <c r="BI99" s="257">
        <f>SUM(BI87:BI98)</f>
        <v>0</v>
      </c>
      <c r="BJ99" s="257">
        <f>SUM(BJ87:BJ98)</f>
        <v>6092800</v>
      </c>
      <c r="BK99" s="257">
        <f>SUM(BK87:BK98)</f>
        <v>6092800</v>
      </c>
      <c r="BL99" s="15">
        <f>BI99/BH99</f>
        <v>0</v>
      </c>
      <c r="BM99" s="257">
        <f>SUM(BM87:BM98)</f>
        <v>0</v>
      </c>
      <c r="BN99" s="62">
        <v>0</v>
      </c>
      <c r="BO99" s="195" t="b">
        <f>BO100=BK100</f>
        <v>1</v>
      </c>
      <c r="BP99" s="103"/>
      <c r="BQ99" s="80">
        <f>SUM(BQ87:BQ98)</f>
        <v>0</v>
      </c>
      <c r="BR99" s="81">
        <f>SUM(BR87:BR98)</f>
        <v>0</v>
      </c>
      <c r="BS99" s="81">
        <f>SUM(BS87:BS98)</f>
        <v>0</v>
      </c>
      <c r="BT99" s="81">
        <f>SUM(BT87:BT98)</f>
        <v>0</v>
      </c>
      <c r="BU99" s="15" t="e">
        <f>BR99/BQ99</f>
        <v>#DIV/0!</v>
      </c>
      <c r="BV99" s="81">
        <f>SUM(BV87:BV98)</f>
        <v>0</v>
      </c>
      <c r="BW99" s="62">
        <v>0</v>
      </c>
      <c r="BX99" s="195" t="b">
        <f>BX100=BT100</f>
        <v>1</v>
      </c>
      <c r="BY99" s="103"/>
      <c r="BZ99" s="80">
        <f>SUM(BZ87:BZ98)</f>
        <v>116820000</v>
      </c>
      <c r="CA99" s="81">
        <f>SUM(CA87:CA98)</f>
        <v>13100000</v>
      </c>
      <c r="CB99" s="81">
        <f>SUM(CB87:CB98)</f>
        <v>103720000</v>
      </c>
      <c r="CC99" s="81">
        <f>SUM(CC87:CC88,CC95:CC98)</f>
        <v>100220000</v>
      </c>
      <c r="CD99" s="15">
        <f>CA99/BZ99</f>
        <v>0.11213833247731553</v>
      </c>
      <c r="CE99" s="81">
        <f>SUM(CE87:CE98)</f>
        <v>29710000</v>
      </c>
      <c r="CF99" s="62">
        <f>CE99/BZ99</f>
        <v>0.25432288991611024</v>
      </c>
      <c r="CG99" s="195" t="b">
        <f>CG100=CC100</f>
        <v>1</v>
      </c>
      <c r="CH99" s="103"/>
      <c r="CI99" s="80">
        <f>SUM(CI87:CI98)</f>
        <v>0</v>
      </c>
      <c r="CJ99" s="81">
        <f>SUM(CJ87:CJ98)</f>
        <v>0</v>
      </c>
      <c r="CK99" s="81">
        <f>SUM(CK87:CK98)</f>
        <v>0</v>
      </c>
      <c r="CL99" s="81">
        <f>SUM(CL87:CL98)</f>
        <v>0</v>
      </c>
      <c r="CM99" s="15" t="e">
        <f>CJ99/CI99</f>
        <v>#DIV/0!</v>
      </c>
      <c r="CN99" s="81">
        <f>SUM(CN87:CN98)</f>
        <v>0</v>
      </c>
      <c r="CO99" s="62">
        <v>0</v>
      </c>
      <c r="CP99" s="103"/>
      <c r="CQ99" s="80">
        <f>SUM(CQ87:CQ98)</f>
        <v>0</v>
      </c>
      <c r="CR99" s="81">
        <f>SUM(CR87:CR98)</f>
        <v>0</v>
      </c>
      <c r="CS99" s="81">
        <f>SUM(CS87:CS98)</f>
        <v>0</v>
      </c>
      <c r="CT99" s="81">
        <f>SUM(CT87:CT98)</f>
        <v>0</v>
      </c>
      <c r="CU99" s="15" t="e">
        <f>CR99/CQ99</f>
        <v>#DIV/0!</v>
      </c>
      <c r="CV99" s="81">
        <f>SUM(CV87:CV98)</f>
        <v>0</v>
      </c>
      <c r="CW99" s="62">
        <v>0</v>
      </c>
      <c r="CX99" s="103"/>
      <c r="CY99" s="80">
        <f>SUM(CY87:CY98)</f>
        <v>0</v>
      </c>
      <c r="CZ99" s="81">
        <f>SUM(CZ87:CZ98)</f>
        <v>0</v>
      </c>
      <c r="DA99" s="81">
        <f>SUM(DA87:DA98)</f>
        <v>0</v>
      </c>
      <c r="DB99" s="81">
        <f>SUM(DB87:DB98)</f>
        <v>0</v>
      </c>
      <c r="DC99" s="15" t="e">
        <f>CZ99/CY99</f>
        <v>#DIV/0!</v>
      </c>
      <c r="DD99" s="81">
        <f>SUM(DD87:DD98)</f>
        <v>0</v>
      </c>
      <c r="DE99" s="62">
        <v>0</v>
      </c>
      <c r="DF99" s="31"/>
      <c r="DG99" s="287"/>
      <c r="DH99" s="31"/>
      <c r="DI99" s="31"/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1"/>
      <c r="DU99" s="31"/>
      <c r="DV99" s="31"/>
      <c r="DW99" s="31"/>
      <c r="DX99" s="31"/>
      <c r="DY99" s="31"/>
      <c r="DZ99" s="31"/>
      <c r="EA99" s="31"/>
      <c r="EB99" s="31"/>
      <c r="EC99" s="31"/>
      <c r="ED99" s="31"/>
      <c r="EE99" s="31"/>
    </row>
    <row r="100" spans="1:135" s="21" customFormat="1" ht="13" customHeight="1">
      <c r="A100" s="188">
        <v>7.0000000000000001E-3</v>
      </c>
      <c r="B100" s="165" t="s">
        <v>19</v>
      </c>
      <c r="C100" s="187">
        <f>C99*$A$100</f>
        <v>2300495.89</v>
      </c>
      <c r="D100" s="187">
        <f t="shared" ref="D100:E100" si="485">D99*$A$100</f>
        <v>138493.07500000001</v>
      </c>
      <c r="E100" s="187">
        <f t="shared" si="485"/>
        <v>2162002.8149999999</v>
      </c>
      <c r="F100" s="187">
        <f>F99*$A$100</f>
        <v>2162002.8149999999</v>
      </c>
      <c r="G100" s="155"/>
      <c r="H100" s="187">
        <f>H99*A100</f>
        <v>284480</v>
      </c>
      <c r="I100" s="155"/>
      <c r="J100" s="191">
        <f>SUM(J87:J98)</f>
        <v>2162002.8149999999</v>
      </c>
      <c r="K100" s="91"/>
      <c r="L100" s="219">
        <f>L99*$A$100</f>
        <v>0</v>
      </c>
      <c r="M100" s="187">
        <f t="shared" ref="M100" si="486">M99*$A$100</f>
        <v>0</v>
      </c>
      <c r="N100" s="187">
        <f t="shared" ref="N100" si="487">N99*$A$100</f>
        <v>0</v>
      </c>
      <c r="O100" s="187">
        <f t="shared" ref="O100" si="488">O99*$A$100</f>
        <v>0</v>
      </c>
      <c r="P100" s="217"/>
      <c r="Q100" s="187">
        <f>Q99*J100</f>
        <v>0</v>
      </c>
      <c r="R100" s="220"/>
      <c r="S100" s="91"/>
      <c r="T100" s="219">
        <f>T99*$A$100</f>
        <v>230690.40400000001</v>
      </c>
      <c r="U100" s="187">
        <f t="shared" ref="U100" si="489">U99*$A$100</f>
        <v>11552.023000000001</v>
      </c>
      <c r="V100" s="187">
        <f t="shared" ref="V100" si="490">V99*$A$100</f>
        <v>219138.38099999999</v>
      </c>
      <c r="W100" s="187">
        <f t="shared" ref="W100" si="491">W99*$A$100</f>
        <v>219138.38099999999</v>
      </c>
      <c r="X100" s="217"/>
      <c r="Y100" s="187">
        <f>Y99*R100</f>
        <v>0</v>
      </c>
      <c r="Z100" s="220"/>
      <c r="AA100" s="91"/>
      <c r="AB100" s="219">
        <f>AB99*$A$100</f>
        <v>471954.46899999998</v>
      </c>
      <c r="AC100" s="187">
        <f t="shared" ref="AC100" si="492">AC99*$A$100</f>
        <v>35241.052000000003</v>
      </c>
      <c r="AD100" s="187">
        <f t="shared" ref="AD100" si="493">AD99*$A$100</f>
        <v>436713.41700000002</v>
      </c>
      <c r="AE100" s="187">
        <f t="shared" ref="AE100" si="494">AE99*$A$100</f>
        <v>436713.41700000002</v>
      </c>
      <c r="AF100" s="217"/>
      <c r="AG100" s="187">
        <f>AG99*Z100</f>
        <v>0</v>
      </c>
      <c r="AH100" s="220"/>
      <c r="AI100" s="91"/>
      <c r="AJ100" s="219">
        <f>AJ99*$A$100</f>
        <v>487911.41700000002</v>
      </c>
      <c r="AK100" s="187">
        <f t="shared" ref="AK100" si="495">AK99*$A$100</f>
        <v>0</v>
      </c>
      <c r="AL100" s="187">
        <f t="shared" ref="AL100" si="496">AL99*$A$100</f>
        <v>487911.41700000002</v>
      </c>
      <c r="AM100" s="187">
        <f t="shared" ref="AM100" si="497">AM99*$A$100</f>
        <v>487911.41700000002</v>
      </c>
      <c r="AN100" s="217"/>
      <c r="AO100" s="187">
        <f>AO99*AH100</f>
        <v>0</v>
      </c>
      <c r="AP100" s="220"/>
      <c r="AQ100" s="91"/>
      <c r="AR100" s="157"/>
      <c r="AS100" s="154"/>
      <c r="AT100" s="154"/>
      <c r="AU100" s="154"/>
      <c r="AV100" s="155"/>
      <c r="AW100" s="154"/>
      <c r="AX100" s="156"/>
      <c r="AY100" s="91"/>
      <c r="AZ100" s="219">
        <f>AZ99*$A$100</f>
        <v>112840</v>
      </c>
      <c r="BA100" s="187">
        <f t="shared" ref="BA100" si="498">BA99*$A$100</f>
        <v>0</v>
      </c>
      <c r="BB100" s="187">
        <f t="shared" ref="BB100" si="499">BB99*$A$100</f>
        <v>112840</v>
      </c>
      <c r="BC100" s="187">
        <f t="shared" ref="BC100" si="500">BC99*$A$100</f>
        <v>112840</v>
      </c>
      <c r="BD100" s="217"/>
      <c r="BE100" s="187">
        <f>BE99*AX100</f>
        <v>0</v>
      </c>
      <c r="BF100" s="220"/>
      <c r="BG100" s="91"/>
      <c r="BH100" s="219">
        <f>BH99*$A$100</f>
        <v>42649.599999999999</v>
      </c>
      <c r="BI100" s="187">
        <f t="shared" ref="BI100" si="501">BI99*$A$100</f>
        <v>0</v>
      </c>
      <c r="BJ100" s="187">
        <f t="shared" ref="BJ100" si="502">BJ99*$A$100</f>
        <v>42649.599999999999</v>
      </c>
      <c r="BK100" s="187">
        <f t="shared" ref="BK100" si="503">BK99*$A$100</f>
        <v>42649.599999999999</v>
      </c>
      <c r="BL100" s="217"/>
      <c r="BM100" s="187">
        <f>BM99*BF100</f>
        <v>0</v>
      </c>
      <c r="BN100" s="220"/>
      <c r="BO100" s="191">
        <f>SUM(BO87:BO98)</f>
        <v>42649.599999999999</v>
      </c>
      <c r="BP100" s="91"/>
      <c r="BQ100" s="219">
        <f>BQ99*$A$100</f>
        <v>0</v>
      </c>
      <c r="BR100" s="187">
        <f t="shared" ref="BR100" si="504">BR99*$A$100</f>
        <v>0</v>
      </c>
      <c r="BS100" s="187">
        <f t="shared" ref="BS100" si="505">BS99*$A$100</f>
        <v>0</v>
      </c>
      <c r="BT100" s="187">
        <f t="shared" ref="BT100" si="506">BT99*$A$100</f>
        <v>0</v>
      </c>
      <c r="BU100" s="217"/>
      <c r="BV100" s="187">
        <f>BV99*BN100</f>
        <v>0</v>
      </c>
      <c r="BW100" s="220">
        <f>CE102100</f>
        <v>0</v>
      </c>
      <c r="BX100" s="191">
        <f>SUM(BX87:BX98)</f>
        <v>0</v>
      </c>
      <c r="BY100" s="91"/>
      <c r="BZ100" s="219">
        <f>BZ99*$A$100</f>
        <v>817740</v>
      </c>
      <c r="CA100" s="187">
        <f t="shared" ref="CA100" si="507">CA99*$A$100</f>
        <v>91700</v>
      </c>
      <c r="CB100" s="187">
        <f t="shared" ref="CB100" si="508">CB99*$A$100</f>
        <v>726040</v>
      </c>
      <c r="CC100" s="187">
        <f>CC99*$A$100</f>
        <v>701540</v>
      </c>
      <c r="CD100" s="217"/>
      <c r="CE100" s="187">
        <f>CE99*A100</f>
        <v>207970</v>
      </c>
      <c r="CF100" s="220"/>
      <c r="CG100" s="191">
        <f>SUM(CG87:CG88,CG95:CG98)</f>
        <v>701540</v>
      </c>
      <c r="CH100" s="91"/>
      <c r="CI100" s="219">
        <f>CI99*$A$100</f>
        <v>0</v>
      </c>
      <c r="CJ100" s="187">
        <f t="shared" ref="CJ100" si="509">CJ99*$A$100</f>
        <v>0</v>
      </c>
      <c r="CK100" s="187">
        <f t="shared" ref="CK100" si="510">CK99*$A$100</f>
        <v>0</v>
      </c>
      <c r="CL100" s="187">
        <f t="shared" ref="CL100" si="511">CL99*$A$100</f>
        <v>0</v>
      </c>
      <c r="CM100" s="217"/>
      <c r="CN100" s="187">
        <f>CN99*CF100</f>
        <v>0</v>
      </c>
      <c r="CO100" s="220"/>
      <c r="CP100" s="91"/>
      <c r="CQ100" s="219">
        <f>CQ99*$A$100</f>
        <v>0</v>
      </c>
      <c r="CR100" s="187">
        <f t="shared" ref="CR100" si="512">CR99*$A$100</f>
        <v>0</v>
      </c>
      <c r="CS100" s="187">
        <f t="shared" ref="CS100" si="513">CS99*$A$100</f>
        <v>0</v>
      </c>
      <c r="CT100" s="187">
        <f t="shared" ref="CT100" si="514">CT99*$A$100</f>
        <v>0</v>
      </c>
      <c r="CU100" s="217"/>
      <c r="CV100" s="187">
        <f>CV99*CO100</f>
        <v>0</v>
      </c>
      <c r="CW100" s="220"/>
      <c r="CX100" s="91"/>
      <c r="CY100" s="219">
        <f>CY99*$A$100</f>
        <v>0</v>
      </c>
      <c r="CZ100" s="187">
        <f t="shared" ref="CZ100" si="515">CZ99*$A$100</f>
        <v>0</v>
      </c>
      <c r="DA100" s="187">
        <f t="shared" ref="DA100" si="516">DA99*$A$100</f>
        <v>0</v>
      </c>
      <c r="DB100" s="187">
        <f t="shared" ref="DB100" si="517">DB99*$A$100</f>
        <v>0</v>
      </c>
      <c r="DC100" s="217"/>
      <c r="DD100" s="187">
        <f>DD99*CW100</f>
        <v>0</v>
      </c>
      <c r="DE100" s="220"/>
      <c r="DF100" s="8"/>
      <c r="DG100" s="287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</row>
    <row r="101" spans="1:135" s="11" customFormat="1" ht="13.15" customHeight="1">
      <c r="A101" s="329" t="s">
        <v>26</v>
      </c>
      <c r="B101" s="48" t="s">
        <v>12</v>
      </c>
      <c r="C101" s="262">
        <f>SUM(L101,T101,AB101,AJ101,AR101,AZ101,BH101,BQ101,BZ101,CI101,CQ101,CY101)</f>
        <v>1474000000</v>
      </c>
      <c r="D101" s="262">
        <f t="shared" ref="D101:D111" si="518">SUM(M101,U101,AC101,AK101,AS101,BA101,BI101,BR101,CA101,CJ101,CR101,CZ101)</f>
        <v>906000000</v>
      </c>
      <c r="E101" s="262">
        <f t="shared" ref="E101:E111" si="519">SUM(N101,V101,AD101,AL101,AT101,BB101,BJ101,BS101,CB101,CK101,CS101,DA101)</f>
        <v>568000000</v>
      </c>
      <c r="F101" s="262">
        <f t="shared" ref="F101:F111" si="520">SUM(O101,W101,AE101,AM101,AU101,BC101,BK101,BT101,CC101,CL101,CT101,DB101)</f>
        <v>568000000</v>
      </c>
      <c r="G101" s="14">
        <f>D101/C101</f>
        <v>0.61465400271370418</v>
      </c>
      <c r="H101" s="262">
        <f>SUM(Q101,Y101,AG101,AO101,AW101,BE101,BM101,BV101,CE101,CN101,CV101,DD101)</f>
        <v>958210706</v>
      </c>
      <c r="I101" s="14">
        <f>H101/C101</f>
        <v>0.65007510583446404</v>
      </c>
      <c r="J101" s="194">
        <f>F101*$A$113</f>
        <v>2840000</v>
      </c>
      <c r="K101" s="104"/>
      <c r="L101" s="265">
        <v>152000000</v>
      </c>
      <c r="M101" s="262">
        <v>96000000</v>
      </c>
      <c r="N101" s="262">
        <v>56000000</v>
      </c>
      <c r="O101" s="262">
        <v>56000000</v>
      </c>
      <c r="P101" s="52">
        <f>M101/L101</f>
        <v>0.63157894736842102</v>
      </c>
      <c r="Q101" s="262">
        <v>112182727</v>
      </c>
      <c r="R101" s="53">
        <f>Q101/L101</f>
        <v>0.73804425657894734</v>
      </c>
      <c r="S101" s="104"/>
      <c r="T101" s="142">
        <v>152000000</v>
      </c>
      <c r="U101" s="143">
        <v>96000000</v>
      </c>
      <c r="V101" s="143">
        <v>56000000</v>
      </c>
      <c r="W101" s="143">
        <v>56000000</v>
      </c>
      <c r="X101" s="66">
        <f>U101/T101</f>
        <v>0.63157894736842102</v>
      </c>
      <c r="Y101" s="144">
        <v>11190173</v>
      </c>
      <c r="Z101" s="67">
        <f>Y101/T101</f>
        <v>7.361955921052632E-2</v>
      </c>
      <c r="AA101" s="104"/>
      <c r="AB101" s="139">
        <v>225000000</v>
      </c>
      <c r="AC101" s="140">
        <v>145000000</v>
      </c>
      <c r="AD101" s="140">
        <v>80000000</v>
      </c>
      <c r="AE101" s="140">
        <v>80000000</v>
      </c>
      <c r="AF101" s="66">
        <f>AC101/AB101</f>
        <v>0.64444444444444449</v>
      </c>
      <c r="AG101" s="140">
        <v>223689744</v>
      </c>
      <c r="AH101" s="67">
        <f>AG101/AB101</f>
        <v>0.99417663999999994</v>
      </c>
      <c r="AI101" s="104"/>
      <c r="AJ101" s="142">
        <v>225000000</v>
      </c>
      <c r="AK101" s="143">
        <v>169000000</v>
      </c>
      <c r="AL101" s="143">
        <v>56000000</v>
      </c>
      <c r="AM101" s="143">
        <v>56000000</v>
      </c>
      <c r="AN101" s="66">
        <f>AK101/AJ101</f>
        <v>0.75111111111111106</v>
      </c>
      <c r="AO101" s="143">
        <v>118951860</v>
      </c>
      <c r="AP101" s="67">
        <f>AO101/AJ101</f>
        <v>0.52867493333333337</v>
      </c>
      <c r="AQ101" s="104"/>
      <c r="AR101" s="139">
        <v>225000000</v>
      </c>
      <c r="AS101" s="140">
        <v>169000000</v>
      </c>
      <c r="AT101" s="140">
        <v>56000000</v>
      </c>
      <c r="AU101" s="140">
        <v>56000000</v>
      </c>
      <c r="AV101" s="66">
        <f>AS101/AR101</f>
        <v>0.75111111111111106</v>
      </c>
      <c r="AW101" s="140">
        <v>110375282</v>
      </c>
      <c r="AX101" s="67">
        <f>AW101/AR101</f>
        <v>0.49055680888888886</v>
      </c>
      <c r="AY101" s="104"/>
      <c r="AZ101" s="142">
        <v>225000000</v>
      </c>
      <c r="BA101" s="143">
        <v>129000000</v>
      </c>
      <c r="BB101" s="143">
        <v>96000000</v>
      </c>
      <c r="BC101" s="143">
        <v>96000000</v>
      </c>
      <c r="BD101" s="66">
        <f>BA101/AZ101</f>
        <v>0.57333333333333336</v>
      </c>
      <c r="BE101" s="143">
        <v>126032506</v>
      </c>
      <c r="BF101" s="67">
        <f>BE101/AZ101</f>
        <v>0.5601444711111111</v>
      </c>
      <c r="BG101" s="104"/>
      <c r="BH101" s="260">
        <v>90000000</v>
      </c>
      <c r="BI101" s="261">
        <v>34000000</v>
      </c>
      <c r="BJ101" s="261">
        <v>56000000</v>
      </c>
      <c r="BK101" s="261">
        <v>56000000</v>
      </c>
      <c r="BL101" s="52">
        <f>BI101/BH101</f>
        <v>0.37777777777777777</v>
      </c>
      <c r="BM101" s="259">
        <v>60967738</v>
      </c>
      <c r="BN101" s="53">
        <f>BM101/BH101</f>
        <v>0.67741931111111109</v>
      </c>
      <c r="BO101" s="194">
        <f>BK101*$A$113</f>
        <v>280000</v>
      </c>
      <c r="BP101" s="104"/>
      <c r="BQ101" s="295">
        <f>90000000</f>
        <v>90000000</v>
      </c>
      <c r="BR101" s="296">
        <f>BQ101-BT101</f>
        <v>34000000</v>
      </c>
      <c r="BS101" s="296">
        <v>56000000</v>
      </c>
      <c r="BT101" s="296">
        <v>56000000</v>
      </c>
      <c r="BU101" s="52">
        <f>BR101/BQ101</f>
        <v>0.37777777777777777</v>
      </c>
      <c r="BV101" s="296">
        <v>97703739</v>
      </c>
      <c r="BW101" s="53">
        <f>BV101/BQ101</f>
        <v>1.0855971</v>
      </c>
      <c r="BX101" s="294">
        <f>BT101*$A$113</f>
        <v>280000</v>
      </c>
      <c r="BY101" s="104"/>
      <c r="BZ101" s="295">
        <v>90000000</v>
      </c>
      <c r="CA101" s="296">
        <v>34000000</v>
      </c>
      <c r="CB101" s="296">
        <v>56000000</v>
      </c>
      <c r="CC101" s="296">
        <v>56000000</v>
      </c>
      <c r="CD101" s="52">
        <f>CA101/BZ101</f>
        <v>0.37777777777777777</v>
      </c>
      <c r="CE101" s="140">
        <v>97116937</v>
      </c>
      <c r="CF101" s="53">
        <f>CE101/BZ101</f>
        <v>1.0790770777777778</v>
      </c>
      <c r="CG101" s="294">
        <f>CC101*$A$113</f>
        <v>280000</v>
      </c>
      <c r="CH101" s="104"/>
      <c r="CI101" s="152"/>
      <c r="CJ101" s="148"/>
      <c r="CK101" s="148"/>
      <c r="CL101" s="148"/>
      <c r="CM101" s="111" t="e">
        <f>CJ101/CI101</f>
        <v>#DIV/0!</v>
      </c>
      <c r="CN101" s="149"/>
      <c r="CO101" s="113" t="e">
        <f>CN101/CI101</f>
        <v>#DIV/0!</v>
      </c>
      <c r="CP101" s="104"/>
      <c r="CQ101" s="152"/>
      <c r="CR101" s="148"/>
      <c r="CS101" s="148"/>
      <c r="CT101" s="148"/>
      <c r="CU101" s="111" t="e">
        <f>CR101/CQ101</f>
        <v>#DIV/0!</v>
      </c>
      <c r="CV101" s="149"/>
      <c r="CW101" s="113" t="e">
        <f>CV101/CQ101</f>
        <v>#DIV/0!</v>
      </c>
      <c r="CX101" s="104"/>
      <c r="CY101" s="152"/>
      <c r="CZ101" s="148"/>
      <c r="DA101" s="148"/>
      <c r="DB101" s="148"/>
      <c r="DC101" s="111" t="e">
        <f>CZ101/CY101</f>
        <v>#DIV/0!</v>
      </c>
      <c r="DD101" s="149"/>
      <c r="DE101" s="113" t="e">
        <f>DD101/CY101</f>
        <v>#DIV/0!</v>
      </c>
      <c r="DF101" s="9"/>
      <c r="DG101" s="290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</row>
    <row r="102" spans="1:135" s="11" customFormat="1" ht="13.15" customHeight="1">
      <c r="A102" s="330"/>
      <c r="B102" s="49" t="s">
        <v>13</v>
      </c>
      <c r="C102" s="262">
        <f>SUM(L102,T102,AB102,AJ102,AR102,AZ102,BH102,BQ102,BZ102,CI102,CQ102,CY102)</f>
        <v>560731062.48000002</v>
      </c>
      <c r="D102" s="262">
        <f t="shared" si="518"/>
        <v>194783518</v>
      </c>
      <c r="E102" s="262">
        <f t="shared" si="519"/>
        <v>384233528.48000002</v>
      </c>
      <c r="F102" s="262">
        <f t="shared" si="520"/>
        <v>384233528.48000002</v>
      </c>
      <c r="G102" s="14">
        <f t="shared" ref="G102:G111" si="521">D102/C102</f>
        <v>0.34737422453200989</v>
      </c>
      <c r="H102" s="262">
        <f t="shared" ref="H102:H111" si="522">SUM(Q102,Y102,AG102,AO102,AW102,BE102,BM102,BV102,CE102,CN102,CV102,DD102)</f>
        <v>0</v>
      </c>
      <c r="I102" s="14">
        <f t="shared" ref="I102" si="523">H102/C102</f>
        <v>0</v>
      </c>
      <c r="J102" s="194">
        <f>F102*$A$113</f>
        <v>1921167.6424000002</v>
      </c>
      <c r="K102" s="104"/>
      <c r="L102" s="265">
        <v>120000000</v>
      </c>
      <c r="M102" s="262">
        <v>120000000</v>
      </c>
      <c r="N102" s="262">
        <v>0</v>
      </c>
      <c r="O102" s="262">
        <v>0</v>
      </c>
      <c r="P102" s="52">
        <f t="shared" ref="P102:P111" si="524">M102/L102</f>
        <v>1</v>
      </c>
      <c r="Q102" s="262">
        <v>0</v>
      </c>
      <c r="R102" s="53">
        <f t="shared" ref="R102" si="525">Q102/L102</f>
        <v>0</v>
      </c>
      <c r="S102" s="104"/>
      <c r="T102" s="142">
        <v>140000000</v>
      </c>
      <c r="U102" s="143">
        <v>74657446</v>
      </c>
      <c r="V102" s="143">
        <v>65342554</v>
      </c>
      <c r="W102" s="143">
        <v>65342554</v>
      </c>
      <c r="X102" s="66">
        <f t="shared" ref="X102:X111" si="526">U102/T102</f>
        <v>0.53326747142857145</v>
      </c>
      <c r="Y102" s="144">
        <v>0</v>
      </c>
      <c r="Z102" s="67">
        <f t="shared" ref="Z102" si="527">Y102/T102</f>
        <v>0</v>
      </c>
      <c r="AA102" s="104"/>
      <c r="AB102" s="139">
        <v>140000000</v>
      </c>
      <c r="AC102" s="140">
        <v>126072</v>
      </c>
      <c r="AD102" s="140">
        <v>139873928</v>
      </c>
      <c r="AE102" s="140">
        <v>139873928</v>
      </c>
      <c r="AF102" s="66">
        <f t="shared" ref="AF102:AF111" si="528">AC102/AB102</f>
        <v>9.0051428571428572E-4</v>
      </c>
      <c r="AG102" s="140">
        <v>0</v>
      </c>
      <c r="AH102" s="67">
        <f t="shared" ref="AH102" si="529">AG102/AB102</f>
        <v>0</v>
      </c>
      <c r="AI102" s="104"/>
      <c r="AJ102" s="142">
        <v>84239909</v>
      </c>
      <c r="AK102" s="143">
        <v>0</v>
      </c>
      <c r="AL102" s="143">
        <v>84239909</v>
      </c>
      <c r="AM102" s="143">
        <v>84239909</v>
      </c>
      <c r="AN102" s="66">
        <f t="shared" ref="AN102:AN111" si="530">AK102/AJ102</f>
        <v>0</v>
      </c>
      <c r="AO102" s="143">
        <v>0</v>
      </c>
      <c r="AP102" s="67">
        <f t="shared" ref="AP102" si="531">AO102/AJ102</f>
        <v>0</v>
      </c>
      <c r="AQ102" s="104"/>
      <c r="AR102" s="139">
        <v>17321188</v>
      </c>
      <c r="AS102" s="140">
        <v>0</v>
      </c>
      <c r="AT102" s="140">
        <v>17321188</v>
      </c>
      <c r="AU102" s="140">
        <v>17321188</v>
      </c>
      <c r="AV102" s="66">
        <f t="shared" ref="AV102:AV111" si="532">AS102/AR102</f>
        <v>0</v>
      </c>
      <c r="AW102" s="140">
        <v>0</v>
      </c>
      <c r="AX102" s="67">
        <f t="shared" ref="AX102" si="533">AW102/AR102</f>
        <v>0</v>
      </c>
      <c r="AY102" s="104"/>
      <c r="AZ102" s="142">
        <v>58449965.479999997</v>
      </c>
      <c r="BA102" s="143">
        <v>0</v>
      </c>
      <c r="BB102" s="143">
        <v>58449965.479999997</v>
      </c>
      <c r="BC102" s="143">
        <v>58449965.479999997</v>
      </c>
      <c r="BD102" s="66">
        <f t="shared" ref="BD102:BD111" si="534">BA102/AZ102</f>
        <v>0</v>
      </c>
      <c r="BE102" s="143">
        <v>0</v>
      </c>
      <c r="BF102" s="67">
        <f t="shared" ref="BF102" si="535">BE102/AZ102</f>
        <v>0</v>
      </c>
      <c r="BG102" s="104"/>
      <c r="BH102" s="260">
        <v>0</v>
      </c>
      <c r="BI102" s="261">
        <v>0</v>
      </c>
      <c r="BJ102" s="261">
        <v>13439196</v>
      </c>
      <c r="BK102" s="261">
        <v>13439196</v>
      </c>
      <c r="BL102" s="52" t="e">
        <f t="shared" ref="BL102:BL111" si="536">BI102/BH102</f>
        <v>#DIV/0!</v>
      </c>
      <c r="BM102" s="259"/>
      <c r="BN102" s="53" t="e">
        <f t="shared" ref="BN102" si="537">BM102/BH102</f>
        <v>#DIV/0!</v>
      </c>
      <c r="BO102" s="194">
        <f>BK102*$A$113</f>
        <v>67195.98</v>
      </c>
      <c r="BP102" s="104"/>
      <c r="BQ102" s="295">
        <v>0</v>
      </c>
      <c r="BR102" s="296">
        <v>0</v>
      </c>
      <c r="BS102" s="296">
        <v>4846788</v>
      </c>
      <c r="BT102" s="296">
        <v>4846788</v>
      </c>
      <c r="BU102" s="52" t="e">
        <f t="shared" ref="BU102:BU111" si="538">BR102/BQ102</f>
        <v>#DIV/0!</v>
      </c>
      <c r="BV102" s="296">
        <v>0</v>
      </c>
      <c r="BW102" s="53" t="e">
        <f t="shared" ref="BW102" si="539">BV102/BQ102</f>
        <v>#DIV/0!</v>
      </c>
      <c r="BX102" s="294">
        <f>BT102*$A$113</f>
        <v>24233.94</v>
      </c>
      <c r="BY102" s="104"/>
      <c r="BZ102" s="296">
        <v>720000</v>
      </c>
      <c r="CA102" s="296">
        <v>0</v>
      </c>
      <c r="CB102" s="296">
        <v>720000</v>
      </c>
      <c r="CC102" s="296">
        <v>720000</v>
      </c>
      <c r="CD102" s="52">
        <f t="shared" ref="CD102:CD111" si="540">CA102/BZ102</f>
        <v>0</v>
      </c>
      <c r="CE102" s="140">
        <v>0</v>
      </c>
      <c r="CF102" s="53">
        <f t="shared" ref="CF102" si="541">CE102/BZ102</f>
        <v>0</v>
      </c>
      <c r="CG102" s="294">
        <f>CC102*$A$113</f>
        <v>3600</v>
      </c>
      <c r="CH102" s="104"/>
      <c r="CI102" s="152"/>
      <c r="CJ102" s="148"/>
      <c r="CK102" s="148"/>
      <c r="CL102" s="148"/>
      <c r="CM102" s="111" t="e">
        <f t="shared" ref="CM102:CM111" si="542">CJ102/CI102</f>
        <v>#DIV/0!</v>
      </c>
      <c r="CN102" s="149"/>
      <c r="CO102" s="113" t="e">
        <f t="shared" ref="CO102" si="543">CN102/CI102</f>
        <v>#DIV/0!</v>
      </c>
      <c r="CP102" s="104"/>
      <c r="CQ102" s="152"/>
      <c r="CR102" s="148"/>
      <c r="CS102" s="148"/>
      <c r="CT102" s="148"/>
      <c r="CU102" s="111" t="e">
        <f t="shared" ref="CU102:CU111" si="544">CR102/CQ102</f>
        <v>#DIV/0!</v>
      </c>
      <c r="CV102" s="149"/>
      <c r="CW102" s="113" t="e">
        <f t="shared" ref="CW102" si="545">CV102/CQ102</f>
        <v>#DIV/0!</v>
      </c>
      <c r="CX102" s="104"/>
      <c r="CY102" s="152"/>
      <c r="CZ102" s="148"/>
      <c r="DA102" s="148"/>
      <c r="DB102" s="148"/>
      <c r="DC102" s="111" t="e">
        <f t="shared" ref="DC102:DC111" si="546">CZ102/CY102</f>
        <v>#DIV/0!</v>
      </c>
      <c r="DD102" s="149"/>
      <c r="DE102" s="113" t="e">
        <f t="shared" ref="DE102" si="547">DD102/CY102</f>
        <v>#DIV/0!</v>
      </c>
      <c r="DF102" s="9"/>
      <c r="DG102" s="290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</row>
    <row r="103" spans="1:135" s="11" customFormat="1" ht="13.15" customHeight="1">
      <c r="A103" s="330"/>
      <c r="B103" s="49" t="s">
        <v>62</v>
      </c>
      <c r="C103" s="125"/>
      <c r="D103" s="125"/>
      <c r="E103" s="125"/>
      <c r="F103" s="125"/>
      <c r="G103" s="14"/>
      <c r="H103" s="125"/>
      <c r="I103" s="14"/>
      <c r="J103" s="194"/>
      <c r="K103" s="98"/>
      <c r="L103" s="57"/>
      <c r="M103" s="20"/>
      <c r="N103" s="20"/>
      <c r="O103" s="20"/>
      <c r="P103" s="52"/>
      <c r="Q103" s="63"/>
      <c r="R103" s="53"/>
      <c r="S103" s="98"/>
      <c r="T103" s="65"/>
      <c r="U103" s="63"/>
      <c r="V103" s="63"/>
      <c r="W103" s="63"/>
      <c r="X103" s="66"/>
      <c r="Y103" s="64"/>
      <c r="Z103" s="17"/>
      <c r="AA103" s="98"/>
      <c r="AB103" s="65"/>
      <c r="AC103" s="63"/>
      <c r="AD103" s="63"/>
      <c r="AE103" s="63"/>
      <c r="AF103" s="66"/>
      <c r="AG103" s="63"/>
      <c r="AH103" s="67"/>
      <c r="AI103" s="98"/>
      <c r="AJ103" s="57"/>
      <c r="AK103" s="20"/>
      <c r="AL103" s="20"/>
      <c r="AM103" s="20"/>
      <c r="AN103" s="52"/>
      <c r="AO103" s="20"/>
      <c r="AP103" s="53"/>
      <c r="AQ103" s="98"/>
      <c r="AR103" s="57"/>
      <c r="AS103" s="20"/>
      <c r="AT103" s="20"/>
      <c r="AU103" s="20"/>
      <c r="AV103" s="52"/>
      <c r="AW103" s="20"/>
      <c r="AX103" s="53"/>
      <c r="AY103" s="98"/>
      <c r="AZ103" s="57"/>
      <c r="BA103" s="20"/>
      <c r="BB103" s="20"/>
      <c r="BC103" s="20"/>
      <c r="BD103" s="52"/>
      <c r="BE103" s="20"/>
      <c r="BF103" s="53"/>
      <c r="BG103" s="98"/>
      <c r="BH103" s="57"/>
      <c r="BI103" s="20"/>
      <c r="BJ103" s="20"/>
      <c r="BK103" s="20"/>
      <c r="BL103" s="52"/>
      <c r="BM103" s="20"/>
      <c r="BN103" s="53"/>
      <c r="BO103" s="194"/>
      <c r="BP103" s="98"/>
      <c r="BQ103" s="57"/>
      <c r="BR103" s="20"/>
      <c r="BS103" s="20"/>
      <c r="BT103" s="20"/>
      <c r="BU103" s="52"/>
      <c r="BV103" s="20"/>
      <c r="BW103" s="53"/>
      <c r="BX103" s="294"/>
      <c r="BY103" s="98"/>
      <c r="BZ103" s="57"/>
      <c r="CA103" s="20"/>
      <c r="CB103" s="20"/>
      <c r="CC103" s="20"/>
      <c r="CD103" s="52"/>
      <c r="CE103" s="63"/>
      <c r="CF103" s="53"/>
      <c r="CG103" s="294"/>
      <c r="CH103" s="98"/>
      <c r="CI103" s="251"/>
      <c r="CJ103" s="252"/>
      <c r="CK103" s="252"/>
      <c r="CL103" s="252"/>
      <c r="CM103" s="111"/>
      <c r="CN103" s="253"/>
      <c r="CO103" s="113"/>
      <c r="CP103" s="98"/>
      <c r="CQ103" s="251"/>
      <c r="CR103" s="252"/>
      <c r="CS103" s="252"/>
      <c r="CT103" s="252"/>
      <c r="CU103" s="111"/>
      <c r="CV103" s="253"/>
      <c r="CW103" s="113"/>
      <c r="CX103" s="98"/>
      <c r="CY103" s="251"/>
      <c r="CZ103" s="252"/>
      <c r="DA103" s="252"/>
      <c r="DB103" s="252"/>
      <c r="DC103" s="111"/>
      <c r="DD103" s="253"/>
      <c r="DE103" s="113"/>
      <c r="DF103" s="9"/>
      <c r="DG103" s="290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</row>
    <row r="104" spans="1:135" s="7" customFormat="1" ht="13" customHeight="1">
      <c r="A104" s="330"/>
      <c r="B104" s="49" t="s">
        <v>40</v>
      </c>
      <c r="C104" s="262"/>
      <c r="D104" s="262"/>
      <c r="E104" s="262"/>
      <c r="F104" s="262"/>
      <c r="G104" s="14"/>
      <c r="H104" s="264"/>
      <c r="I104" s="14"/>
      <c r="J104" s="190"/>
      <c r="K104" s="90"/>
      <c r="L104" s="265"/>
      <c r="M104" s="262"/>
      <c r="N104" s="262"/>
      <c r="O104" s="262"/>
      <c r="P104" s="52"/>
      <c r="Q104" s="262"/>
      <c r="R104" s="53"/>
      <c r="S104" s="90"/>
      <c r="T104" s="130"/>
      <c r="U104" s="131"/>
      <c r="V104" s="131"/>
      <c r="W104" s="131"/>
      <c r="X104" s="66"/>
      <c r="Y104" s="131"/>
      <c r="Z104" s="67"/>
      <c r="AA104" s="90"/>
      <c r="AB104" s="51"/>
      <c r="AC104" s="45"/>
      <c r="AD104" s="45"/>
      <c r="AE104" s="45"/>
      <c r="AF104" s="52"/>
      <c r="AG104" s="131"/>
      <c r="AH104" s="53"/>
      <c r="AI104" s="90"/>
      <c r="AJ104" s="130"/>
      <c r="AK104" s="131"/>
      <c r="AL104" s="131"/>
      <c r="AM104" s="131"/>
      <c r="AN104" s="66"/>
      <c r="AO104" s="131"/>
      <c r="AP104" s="67"/>
      <c r="AQ104" s="90"/>
      <c r="AR104" s="130"/>
      <c r="AS104" s="131"/>
      <c r="AT104" s="131"/>
      <c r="AU104" s="131"/>
      <c r="AV104" s="66"/>
      <c r="AW104" s="131"/>
      <c r="AX104" s="67"/>
      <c r="AY104" s="90"/>
      <c r="AZ104" s="130"/>
      <c r="BA104" s="131"/>
      <c r="BB104" s="131"/>
      <c r="BC104" s="131"/>
      <c r="BD104" s="66"/>
      <c r="BE104" s="131"/>
      <c r="BF104" s="67"/>
      <c r="BG104" s="90"/>
      <c r="BH104" s="142"/>
      <c r="BI104" s="143"/>
      <c r="BJ104" s="143"/>
      <c r="BK104" s="143"/>
      <c r="BL104" s="66"/>
      <c r="BM104" s="131"/>
      <c r="BN104" s="67"/>
      <c r="BO104" s="190"/>
      <c r="BP104" s="90"/>
      <c r="BQ104" s="130"/>
      <c r="BR104" s="131"/>
      <c r="BS104" s="131"/>
      <c r="BT104" s="131"/>
      <c r="BU104" s="66"/>
      <c r="BV104" s="131"/>
      <c r="BW104" s="67"/>
      <c r="BX104" s="294"/>
      <c r="BY104" s="90"/>
      <c r="BZ104" s="130"/>
      <c r="CA104" s="131"/>
      <c r="CB104" s="131"/>
      <c r="CC104" s="131"/>
      <c r="CD104" s="66"/>
      <c r="CE104" s="131"/>
      <c r="CF104" s="67"/>
      <c r="CG104" s="294"/>
      <c r="CH104" s="90"/>
      <c r="CI104" s="133"/>
      <c r="CJ104" s="134"/>
      <c r="CK104" s="134"/>
      <c r="CL104" s="134"/>
      <c r="CM104" s="121"/>
      <c r="CN104" s="134"/>
      <c r="CO104" s="122"/>
      <c r="CP104" s="90"/>
      <c r="CQ104" s="133"/>
      <c r="CR104" s="134"/>
      <c r="CS104" s="134"/>
      <c r="CT104" s="134"/>
      <c r="CU104" s="121"/>
      <c r="CV104" s="134"/>
      <c r="CW104" s="122"/>
      <c r="CX104" s="90"/>
      <c r="CY104" s="133"/>
      <c r="CZ104" s="134"/>
      <c r="DA104" s="134"/>
      <c r="DB104" s="134"/>
      <c r="DC104" s="121"/>
      <c r="DD104" s="134"/>
      <c r="DE104" s="122"/>
      <c r="DF104" s="6"/>
      <c r="DG104" s="289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</row>
    <row r="105" spans="1:135" s="7" customFormat="1" ht="13" customHeight="1">
      <c r="A105" s="330"/>
      <c r="B105" s="49" t="s">
        <v>41</v>
      </c>
      <c r="C105" s="271">
        <f>C99*5%</f>
        <v>16432113.5</v>
      </c>
      <c r="D105" s="262"/>
      <c r="E105" s="262"/>
      <c r="F105" s="262"/>
      <c r="G105" s="14"/>
      <c r="H105" s="264"/>
      <c r="I105" s="14"/>
      <c r="J105" s="190"/>
      <c r="K105" s="90"/>
      <c r="L105" s="265"/>
      <c r="M105" s="262"/>
      <c r="N105" s="262"/>
      <c r="O105" s="262"/>
      <c r="P105" s="52"/>
      <c r="Q105" s="262"/>
      <c r="R105" s="53"/>
      <c r="S105" s="90"/>
      <c r="T105" s="130"/>
      <c r="U105" s="131"/>
      <c r="V105" s="131"/>
      <c r="W105" s="131"/>
      <c r="X105" s="66"/>
      <c r="Y105" s="131"/>
      <c r="Z105" s="67"/>
      <c r="AA105" s="90"/>
      <c r="AB105" s="51"/>
      <c r="AC105" s="45"/>
      <c r="AD105" s="45"/>
      <c r="AE105" s="45"/>
      <c r="AF105" s="52"/>
      <c r="AG105" s="131"/>
      <c r="AH105" s="53"/>
      <c r="AI105" s="90"/>
      <c r="AJ105" s="130"/>
      <c r="AK105" s="131"/>
      <c r="AL105" s="131"/>
      <c r="AM105" s="131"/>
      <c r="AN105" s="66"/>
      <c r="AO105" s="131"/>
      <c r="AP105" s="67"/>
      <c r="AQ105" s="90"/>
      <c r="AR105" s="130"/>
      <c r="AS105" s="131"/>
      <c r="AT105" s="131"/>
      <c r="AU105" s="131"/>
      <c r="AV105" s="66"/>
      <c r="AW105" s="131"/>
      <c r="AX105" s="67"/>
      <c r="AY105" s="90"/>
      <c r="AZ105" s="130"/>
      <c r="BA105" s="131"/>
      <c r="BB105" s="131"/>
      <c r="BC105" s="131"/>
      <c r="BD105" s="66"/>
      <c r="BE105" s="131"/>
      <c r="BF105" s="67"/>
      <c r="BG105" s="90"/>
      <c r="BH105" s="142"/>
      <c r="BI105" s="143"/>
      <c r="BJ105" s="143"/>
      <c r="BK105" s="143"/>
      <c r="BL105" s="66"/>
      <c r="BM105" s="131"/>
      <c r="BN105" s="67"/>
      <c r="BO105" s="190"/>
      <c r="BP105" s="90"/>
      <c r="BQ105" s="130"/>
      <c r="BR105" s="131"/>
      <c r="BS105" s="131"/>
      <c r="BT105" s="131"/>
      <c r="BU105" s="66"/>
      <c r="BV105" s="131"/>
      <c r="BW105" s="67"/>
      <c r="BX105" s="294"/>
      <c r="BY105" s="90"/>
      <c r="BZ105" s="130"/>
      <c r="CA105" s="131"/>
      <c r="CB105" s="131"/>
      <c r="CC105" s="131"/>
      <c r="CD105" s="66"/>
      <c r="CE105" s="131"/>
      <c r="CF105" s="67"/>
      <c r="CG105" s="294"/>
      <c r="CH105" s="90"/>
      <c r="CI105" s="133"/>
      <c r="CJ105" s="134"/>
      <c r="CK105" s="134"/>
      <c r="CL105" s="134"/>
      <c r="CM105" s="121"/>
      <c r="CN105" s="134"/>
      <c r="CO105" s="122"/>
      <c r="CP105" s="90"/>
      <c r="CQ105" s="133"/>
      <c r="CR105" s="134"/>
      <c r="CS105" s="134"/>
      <c r="CT105" s="134"/>
      <c r="CU105" s="121"/>
      <c r="CV105" s="134"/>
      <c r="CW105" s="122"/>
      <c r="CX105" s="90"/>
      <c r="CY105" s="133"/>
      <c r="CZ105" s="134"/>
      <c r="DA105" s="134"/>
      <c r="DB105" s="134"/>
      <c r="DC105" s="121"/>
      <c r="DD105" s="134"/>
      <c r="DE105" s="122"/>
      <c r="DF105" s="6"/>
      <c r="DG105" s="289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</row>
    <row r="106" spans="1:135" s="7" customFormat="1" ht="13" customHeight="1">
      <c r="A106" s="330"/>
      <c r="B106" s="49" t="s">
        <v>42</v>
      </c>
      <c r="C106" s="262"/>
      <c r="D106" s="262"/>
      <c r="E106" s="262"/>
      <c r="F106" s="262"/>
      <c r="G106" s="14"/>
      <c r="H106" s="264"/>
      <c r="I106" s="14"/>
      <c r="J106" s="190"/>
      <c r="K106" s="90"/>
      <c r="L106" s="265"/>
      <c r="M106" s="262"/>
      <c r="N106" s="262"/>
      <c r="O106" s="262"/>
      <c r="P106" s="52"/>
      <c r="Q106" s="262"/>
      <c r="R106" s="53"/>
      <c r="S106" s="90"/>
      <c r="T106" s="130"/>
      <c r="U106" s="131"/>
      <c r="V106" s="131"/>
      <c r="W106" s="131"/>
      <c r="X106" s="66"/>
      <c r="Y106" s="131"/>
      <c r="Z106" s="67"/>
      <c r="AA106" s="90"/>
      <c r="AB106" s="51"/>
      <c r="AC106" s="45"/>
      <c r="AD106" s="45"/>
      <c r="AE106" s="45"/>
      <c r="AF106" s="52"/>
      <c r="AG106" s="131"/>
      <c r="AH106" s="53"/>
      <c r="AI106" s="90"/>
      <c r="AJ106" s="130"/>
      <c r="AK106" s="131"/>
      <c r="AL106" s="131"/>
      <c r="AM106" s="131"/>
      <c r="AN106" s="66"/>
      <c r="AO106" s="131"/>
      <c r="AP106" s="67"/>
      <c r="AQ106" s="90"/>
      <c r="AR106" s="130"/>
      <c r="AS106" s="131"/>
      <c r="AT106" s="131"/>
      <c r="AU106" s="131"/>
      <c r="AV106" s="66"/>
      <c r="AW106" s="131"/>
      <c r="AX106" s="67"/>
      <c r="AY106" s="90"/>
      <c r="AZ106" s="130"/>
      <c r="BA106" s="131"/>
      <c r="BB106" s="131"/>
      <c r="BC106" s="131"/>
      <c r="BD106" s="66"/>
      <c r="BE106" s="131"/>
      <c r="BF106" s="67"/>
      <c r="BG106" s="90"/>
      <c r="BH106" s="142"/>
      <c r="BI106" s="143"/>
      <c r="BJ106" s="143"/>
      <c r="BK106" s="143"/>
      <c r="BL106" s="66"/>
      <c r="BM106" s="131"/>
      <c r="BN106" s="67"/>
      <c r="BO106" s="190"/>
      <c r="BP106" s="90"/>
      <c r="BQ106" s="130"/>
      <c r="BR106" s="131"/>
      <c r="BS106" s="131"/>
      <c r="BT106" s="131"/>
      <c r="BU106" s="66"/>
      <c r="BV106" s="131"/>
      <c r="BW106" s="67"/>
      <c r="BX106" s="294"/>
      <c r="BY106" s="90"/>
      <c r="BZ106" s="130"/>
      <c r="CA106" s="131"/>
      <c r="CB106" s="131"/>
      <c r="CC106" s="131"/>
      <c r="CD106" s="66"/>
      <c r="CE106" s="131"/>
      <c r="CF106" s="67"/>
      <c r="CG106" s="294"/>
      <c r="CH106" s="90"/>
      <c r="CI106" s="133"/>
      <c r="CJ106" s="134"/>
      <c r="CK106" s="134"/>
      <c r="CL106" s="134"/>
      <c r="CM106" s="121"/>
      <c r="CN106" s="134"/>
      <c r="CO106" s="122"/>
      <c r="CP106" s="90"/>
      <c r="CQ106" s="133"/>
      <c r="CR106" s="134"/>
      <c r="CS106" s="134"/>
      <c r="CT106" s="134"/>
      <c r="CU106" s="121"/>
      <c r="CV106" s="134"/>
      <c r="CW106" s="122"/>
      <c r="CX106" s="90"/>
      <c r="CY106" s="133"/>
      <c r="CZ106" s="134"/>
      <c r="DA106" s="134"/>
      <c r="DB106" s="134"/>
      <c r="DC106" s="121"/>
      <c r="DD106" s="134"/>
      <c r="DE106" s="122"/>
      <c r="DF106" s="6"/>
      <c r="DG106" s="289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</row>
    <row r="107" spans="1:135" s="7" customFormat="1" ht="13" customHeight="1">
      <c r="A107" s="330"/>
      <c r="B107" s="49" t="s">
        <v>43</v>
      </c>
      <c r="C107" s="262"/>
      <c r="D107" s="262"/>
      <c r="E107" s="262"/>
      <c r="F107" s="262"/>
      <c r="G107" s="14"/>
      <c r="H107" s="264"/>
      <c r="I107" s="14"/>
      <c r="J107" s="190"/>
      <c r="K107" s="90"/>
      <c r="L107" s="265"/>
      <c r="M107" s="262"/>
      <c r="N107" s="262"/>
      <c r="O107" s="262"/>
      <c r="P107" s="52"/>
      <c r="Q107" s="262"/>
      <c r="R107" s="53"/>
      <c r="S107" s="90"/>
      <c r="T107" s="130"/>
      <c r="U107" s="131"/>
      <c r="V107" s="131"/>
      <c r="W107" s="131"/>
      <c r="X107" s="66"/>
      <c r="Y107" s="131"/>
      <c r="Z107" s="67"/>
      <c r="AA107" s="90"/>
      <c r="AB107" s="51"/>
      <c r="AC107" s="45"/>
      <c r="AD107" s="45"/>
      <c r="AE107" s="45"/>
      <c r="AF107" s="52"/>
      <c r="AG107" s="131"/>
      <c r="AH107" s="53"/>
      <c r="AI107" s="90"/>
      <c r="AJ107" s="130"/>
      <c r="AK107" s="131"/>
      <c r="AL107" s="131"/>
      <c r="AM107" s="131"/>
      <c r="AN107" s="66"/>
      <c r="AO107" s="131"/>
      <c r="AP107" s="67"/>
      <c r="AQ107" s="90"/>
      <c r="AR107" s="130"/>
      <c r="AS107" s="131"/>
      <c r="AT107" s="131"/>
      <c r="AU107" s="131"/>
      <c r="AV107" s="66"/>
      <c r="AW107" s="131"/>
      <c r="AX107" s="67"/>
      <c r="AY107" s="90"/>
      <c r="AZ107" s="130"/>
      <c r="BA107" s="131"/>
      <c r="BB107" s="131"/>
      <c r="BC107" s="131"/>
      <c r="BD107" s="66"/>
      <c r="BE107" s="131"/>
      <c r="BF107" s="67"/>
      <c r="BG107" s="90"/>
      <c r="BH107" s="142"/>
      <c r="BI107" s="143"/>
      <c r="BJ107" s="143"/>
      <c r="BK107" s="143"/>
      <c r="BL107" s="66"/>
      <c r="BM107" s="131"/>
      <c r="BN107" s="67"/>
      <c r="BO107" s="190"/>
      <c r="BP107" s="90"/>
      <c r="BQ107" s="130"/>
      <c r="BR107" s="131"/>
      <c r="BS107" s="131"/>
      <c r="BT107" s="131"/>
      <c r="BU107" s="66"/>
      <c r="BV107" s="131"/>
      <c r="BW107" s="67"/>
      <c r="BX107" s="294"/>
      <c r="BY107" s="90"/>
      <c r="BZ107" s="130"/>
      <c r="CA107" s="131"/>
      <c r="CB107" s="131"/>
      <c r="CC107" s="131"/>
      <c r="CD107" s="66"/>
      <c r="CE107" s="131"/>
      <c r="CF107" s="67"/>
      <c r="CG107" s="294"/>
      <c r="CH107" s="90"/>
      <c r="CI107" s="133"/>
      <c r="CJ107" s="134"/>
      <c r="CK107" s="134"/>
      <c r="CL107" s="134"/>
      <c r="CM107" s="121"/>
      <c r="CN107" s="134"/>
      <c r="CO107" s="122"/>
      <c r="CP107" s="90"/>
      <c r="CQ107" s="133"/>
      <c r="CR107" s="134"/>
      <c r="CS107" s="134"/>
      <c r="CT107" s="134"/>
      <c r="CU107" s="121"/>
      <c r="CV107" s="134"/>
      <c r="CW107" s="122"/>
      <c r="CX107" s="90"/>
      <c r="CY107" s="133"/>
      <c r="CZ107" s="134"/>
      <c r="DA107" s="134"/>
      <c r="DB107" s="134"/>
      <c r="DC107" s="121"/>
      <c r="DD107" s="134"/>
      <c r="DE107" s="122"/>
      <c r="DF107" s="6"/>
      <c r="DG107" s="289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</row>
    <row r="108" spans="1:135" s="11" customFormat="1" ht="13.15" customHeight="1">
      <c r="A108" s="330"/>
      <c r="B108" s="49" t="s">
        <v>14</v>
      </c>
      <c r="C108" s="262">
        <f>SUM(L108,T108,AB108,AJ108,AR108,AZ108,BH108,BQ108,BZ108,CI108,CQ108,CY108)</f>
        <v>1954000000</v>
      </c>
      <c r="D108" s="262">
        <f t="shared" si="518"/>
        <v>1290748000</v>
      </c>
      <c r="E108" s="262">
        <f t="shared" si="519"/>
        <v>663251999</v>
      </c>
      <c r="F108" s="262">
        <f t="shared" si="520"/>
        <v>663252000</v>
      </c>
      <c r="G108" s="14">
        <f t="shared" si="521"/>
        <v>0.66056704196519955</v>
      </c>
      <c r="H108" s="262">
        <f t="shared" si="522"/>
        <v>2541063315</v>
      </c>
      <c r="I108" s="14">
        <f>H108/C108</f>
        <v>1.3004418193449334</v>
      </c>
      <c r="J108" s="194">
        <f>F108*$A$113</f>
        <v>3316260</v>
      </c>
      <c r="K108" s="104"/>
      <c r="L108" s="265">
        <v>220000000</v>
      </c>
      <c r="M108" s="262">
        <v>134000000</v>
      </c>
      <c r="N108" s="262">
        <v>86000000</v>
      </c>
      <c r="O108" s="262">
        <v>86000000</v>
      </c>
      <c r="P108" s="52">
        <f t="shared" si="524"/>
        <v>0.60909090909090913</v>
      </c>
      <c r="Q108" s="262">
        <v>233696773</v>
      </c>
      <c r="R108" s="53">
        <f>Q108/L108</f>
        <v>1.0622580590909092</v>
      </c>
      <c r="S108" s="104"/>
      <c r="T108" s="142">
        <v>250000000</v>
      </c>
      <c r="U108" s="143">
        <v>158800000</v>
      </c>
      <c r="V108" s="143">
        <v>91200000</v>
      </c>
      <c r="W108" s="143">
        <v>91200000</v>
      </c>
      <c r="X108" s="66">
        <f t="shared" si="526"/>
        <v>0.63519999999999999</v>
      </c>
      <c r="Y108" s="144">
        <v>361445089</v>
      </c>
      <c r="Z108" s="67">
        <f>Y108/T108</f>
        <v>1.445780356</v>
      </c>
      <c r="AA108" s="104"/>
      <c r="AB108" s="139">
        <v>275000000</v>
      </c>
      <c r="AC108" s="140">
        <v>181648000</v>
      </c>
      <c r="AD108" s="140">
        <v>93352000</v>
      </c>
      <c r="AE108" s="140">
        <v>93352000</v>
      </c>
      <c r="AF108" s="66">
        <f t="shared" si="528"/>
        <v>0.6605381818181818</v>
      </c>
      <c r="AG108" s="140">
        <v>453645414</v>
      </c>
      <c r="AH108" s="67">
        <f>AG108/AB108</f>
        <v>1.6496196872727273</v>
      </c>
      <c r="AI108" s="104"/>
      <c r="AJ108" s="142">
        <v>275000000</v>
      </c>
      <c r="AK108" s="143">
        <v>187300000</v>
      </c>
      <c r="AL108" s="143">
        <v>87700000</v>
      </c>
      <c r="AM108" s="143">
        <v>87700000</v>
      </c>
      <c r="AN108" s="66">
        <f t="shared" si="530"/>
        <v>0.68109090909090908</v>
      </c>
      <c r="AO108" s="143">
        <v>369952944</v>
      </c>
      <c r="AP108" s="67">
        <f>AO108/AJ108</f>
        <v>1.3452834327272727</v>
      </c>
      <c r="AQ108" s="104"/>
      <c r="AR108" s="139">
        <v>275000000</v>
      </c>
      <c r="AS108" s="140">
        <v>188000000</v>
      </c>
      <c r="AT108" s="140">
        <v>87000000</v>
      </c>
      <c r="AU108" s="140">
        <v>87000000</v>
      </c>
      <c r="AV108" s="66">
        <f t="shared" si="532"/>
        <v>0.6836363636363636</v>
      </c>
      <c r="AW108" s="140">
        <v>382718151</v>
      </c>
      <c r="AX108" s="67">
        <f>AW108/AR108</f>
        <v>1.3917023672727273</v>
      </c>
      <c r="AY108" s="104"/>
      <c r="AZ108" s="142">
        <v>275000000</v>
      </c>
      <c r="BA108" s="143">
        <v>188000000</v>
      </c>
      <c r="BB108" s="143">
        <v>87000000</v>
      </c>
      <c r="BC108" s="143">
        <v>87000000</v>
      </c>
      <c r="BD108" s="66">
        <f t="shared" si="534"/>
        <v>0.6836363636363636</v>
      </c>
      <c r="BE108" s="143">
        <v>340143400</v>
      </c>
      <c r="BF108" s="67">
        <f>BE108/AZ108</f>
        <v>1.2368850909090909</v>
      </c>
      <c r="BG108" s="104"/>
      <c r="BH108" s="260">
        <v>128000000</v>
      </c>
      <c r="BI108" s="261">
        <v>83500000</v>
      </c>
      <c r="BJ108" s="261">
        <v>44499999</v>
      </c>
      <c r="BK108" s="261">
        <v>44500000</v>
      </c>
      <c r="BL108" s="52">
        <f t="shared" si="536"/>
        <v>0.65234375</v>
      </c>
      <c r="BM108" s="259">
        <v>129879435</v>
      </c>
      <c r="BN108" s="53">
        <f>BM108/BH108</f>
        <v>1.0146830859375</v>
      </c>
      <c r="BO108" s="194">
        <f>BK108*$A$113</f>
        <v>222500</v>
      </c>
      <c r="BP108" s="104"/>
      <c r="BQ108" s="295">
        <v>128000000</v>
      </c>
      <c r="BR108" s="296">
        <f t="shared" ref="BR108:BR111" si="548">BQ108-BT108</f>
        <v>83500000</v>
      </c>
      <c r="BS108" s="296">
        <v>44500000</v>
      </c>
      <c r="BT108" s="296">
        <v>44500000</v>
      </c>
      <c r="BU108" s="52">
        <f t="shared" si="538"/>
        <v>0.65234375</v>
      </c>
      <c r="BV108" s="296">
        <v>133403926</v>
      </c>
      <c r="BW108" s="53">
        <f>BV108/BQ108</f>
        <v>1.0422181718750001</v>
      </c>
      <c r="BX108" s="294">
        <f>BT108*$A$113</f>
        <v>222500</v>
      </c>
      <c r="BY108" s="104"/>
      <c r="BZ108" s="295">
        <v>128000000</v>
      </c>
      <c r="CA108" s="296">
        <v>86000000</v>
      </c>
      <c r="CB108" s="296">
        <v>42000000</v>
      </c>
      <c r="CC108" s="296">
        <v>42000000</v>
      </c>
      <c r="CD108" s="52">
        <f t="shared" si="540"/>
        <v>0.671875</v>
      </c>
      <c r="CE108" s="140">
        <v>136178183</v>
      </c>
      <c r="CF108" s="53">
        <f>CE108/BZ108</f>
        <v>1.0638920546874999</v>
      </c>
      <c r="CG108" s="294">
        <f>CC108*$A$113</f>
        <v>210000</v>
      </c>
      <c r="CH108" s="104"/>
      <c r="CI108" s="152"/>
      <c r="CJ108" s="148"/>
      <c r="CK108" s="148"/>
      <c r="CL108" s="148"/>
      <c r="CM108" s="111" t="e">
        <f t="shared" si="542"/>
        <v>#DIV/0!</v>
      </c>
      <c r="CN108" s="149"/>
      <c r="CO108" s="113" t="e">
        <f>CN108/CI108</f>
        <v>#DIV/0!</v>
      </c>
      <c r="CP108" s="104"/>
      <c r="CQ108" s="152"/>
      <c r="CR108" s="148"/>
      <c r="CS108" s="148"/>
      <c r="CT108" s="148"/>
      <c r="CU108" s="111" t="e">
        <f t="shared" si="544"/>
        <v>#DIV/0!</v>
      </c>
      <c r="CV108" s="149"/>
      <c r="CW108" s="113" t="e">
        <f>CV108/CQ108</f>
        <v>#DIV/0!</v>
      </c>
      <c r="CX108" s="104"/>
      <c r="CY108" s="152"/>
      <c r="CZ108" s="148"/>
      <c r="DA108" s="148"/>
      <c r="DB108" s="148"/>
      <c r="DC108" s="111" t="e">
        <f t="shared" si="546"/>
        <v>#DIV/0!</v>
      </c>
      <c r="DD108" s="149"/>
      <c r="DE108" s="113" t="e">
        <f>DD108/CY108</f>
        <v>#DIV/0!</v>
      </c>
      <c r="DF108" s="9"/>
      <c r="DG108" s="290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</row>
    <row r="109" spans="1:135" s="11" customFormat="1" ht="13.15" customHeight="1">
      <c r="A109" s="330"/>
      <c r="B109" s="49" t="s">
        <v>15</v>
      </c>
      <c r="C109" s="262">
        <f>SUM(L109,T109,AB109,AJ109,AR109,AZ109,BH109,BQ109,BZ109,CI109,CQ109,CY109)</f>
        <v>595000000</v>
      </c>
      <c r="D109" s="262">
        <f t="shared" ref="D109" si="549">SUM(M109,U109,AC109,AK109,AS109,BA109,BI109,BR109,CA109,CJ109,CR109,CZ109)</f>
        <v>327647260</v>
      </c>
      <c r="E109" s="262">
        <f t="shared" ref="E109" si="550">SUM(N109,V109,AD109,AL109,AT109,BB109,BJ109,BS109,CB109,CK109,CS109,DA109)</f>
        <v>97352740</v>
      </c>
      <c r="F109" s="262">
        <f t="shared" ref="F109" si="551">SUM(O109,W109,AE109,AM109,AU109,BC109,BK109,BT109,CC109,CL109,CT109,DB109)</f>
        <v>97352740</v>
      </c>
      <c r="G109" s="14">
        <f t="shared" ref="G109" si="552">D109/C109</f>
        <v>0.55066766386554622</v>
      </c>
      <c r="H109" s="262">
        <f t="shared" ref="H109" si="553">SUM(Q109,Y109,AG109,AO109,AW109,BE109,BM109,BV109,CE109,CN109,CV109,DD109)</f>
        <v>12131612</v>
      </c>
      <c r="I109" s="14">
        <f>H109/C109</f>
        <v>2.0389263865546219E-2</v>
      </c>
      <c r="J109" s="194">
        <f>F109*$A$113</f>
        <v>486763.7</v>
      </c>
      <c r="K109" s="104"/>
      <c r="L109" s="265">
        <v>0</v>
      </c>
      <c r="M109" s="262">
        <v>0</v>
      </c>
      <c r="N109" s="262">
        <v>0</v>
      </c>
      <c r="O109" s="262">
        <v>0</v>
      </c>
      <c r="P109" s="52" t="e">
        <f t="shared" si="524"/>
        <v>#DIV/0!</v>
      </c>
      <c r="Q109" s="262">
        <v>0</v>
      </c>
      <c r="R109" s="53" t="e">
        <f>Q109/L109</f>
        <v>#DIV/0!</v>
      </c>
      <c r="S109" s="104"/>
      <c r="T109" s="142">
        <v>85000000</v>
      </c>
      <c r="U109" s="143">
        <v>37583697</v>
      </c>
      <c r="V109" s="143">
        <v>47416303</v>
      </c>
      <c r="W109" s="143">
        <v>47416303</v>
      </c>
      <c r="X109" s="66">
        <f t="shared" si="526"/>
        <v>0.4421611411764706</v>
      </c>
      <c r="Y109" s="144">
        <v>0</v>
      </c>
      <c r="Z109" s="67">
        <f>Y109/T109</f>
        <v>0</v>
      </c>
      <c r="AA109" s="104"/>
      <c r="AB109" s="139">
        <v>85000000</v>
      </c>
      <c r="AC109" s="140">
        <v>66048564</v>
      </c>
      <c r="AD109" s="140">
        <v>18951436</v>
      </c>
      <c r="AE109" s="140">
        <v>18951436</v>
      </c>
      <c r="AF109" s="66">
        <f>AC109/AB109</f>
        <v>0.77704192941176475</v>
      </c>
      <c r="AG109" s="140">
        <v>0</v>
      </c>
      <c r="AH109" s="67">
        <f>AG109/AB109</f>
        <v>0</v>
      </c>
      <c r="AI109" s="104"/>
      <c r="AJ109" s="142">
        <v>85000000</v>
      </c>
      <c r="AK109" s="143">
        <v>78247792</v>
      </c>
      <c r="AL109" s="143">
        <v>6752208</v>
      </c>
      <c r="AM109" s="143">
        <v>6752208</v>
      </c>
      <c r="AN109" s="66">
        <f>AK109/AJ109</f>
        <v>0.92056225882352938</v>
      </c>
      <c r="AO109" s="143">
        <v>0</v>
      </c>
      <c r="AP109" s="67">
        <f>AO109/AJ109</f>
        <v>0</v>
      </c>
      <c r="AQ109" s="104"/>
      <c r="AR109" s="139">
        <v>85000000</v>
      </c>
      <c r="AS109" s="140">
        <v>0</v>
      </c>
      <c r="AT109" s="140">
        <v>0</v>
      </c>
      <c r="AU109" s="140">
        <v>0</v>
      </c>
      <c r="AV109" s="66">
        <f>AS109/AR109</f>
        <v>0</v>
      </c>
      <c r="AW109" s="140">
        <v>0</v>
      </c>
      <c r="AX109" s="67">
        <f>AW109/AR109</f>
        <v>0</v>
      </c>
      <c r="AY109" s="104"/>
      <c r="AZ109" s="142">
        <v>85000000</v>
      </c>
      <c r="BA109" s="143">
        <v>73512969</v>
      </c>
      <c r="BB109" s="143">
        <v>11487031</v>
      </c>
      <c r="BC109" s="143">
        <v>11487031</v>
      </c>
      <c r="BD109" s="66">
        <f>BA109/AZ109</f>
        <v>0.86485845882352941</v>
      </c>
      <c r="BE109" s="143">
        <v>12131612</v>
      </c>
      <c r="BF109" s="67">
        <f>BE109/AZ109</f>
        <v>0.14272484705882352</v>
      </c>
      <c r="BG109" s="104"/>
      <c r="BH109" s="260">
        <v>85000000</v>
      </c>
      <c r="BI109" s="261">
        <v>0</v>
      </c>
      <c r="BJ109" s="261">
        <v>0</v>
      </c>
      <c r="BK109" s="261">
        <v>0</v>
      </c>
      <c r="BL109" s="52">
        <f>BI109/BH109</f>
        <v>0</v>
      </c>
      <c r="BM109" s="259"/>
      <c r="BN109" s="53">
        <f>BM109/BH109</f>
        <v>0</v>
      </c>
      <c r="BO109" s="194">
        <f>BK109*$A$113</f>
        <v>0</v>
      </c>
      <c r="BP109" s="104"/>
      <c r="BQ109" s="295">
        <f t="shared" ref="BQ109" si="554">BJ109</f>
        <v>0</v>
      </c>
      <c r="BR109" s="296">
        <v>0</v>
      </c>
      <c r="BS109" s="296">
        <f t="shared" ref="BS109:BT109" si="555">BR109</f>
        <v>0</v>
      </c>
      <c r="BT109" s="296">
        <f t="shared" si="555"/>
        <v>0</v>
      </c>
      <c r="BU109" s="52" t="e">
        <f>BR109/BQ109</f>
        <v>#DIV/0!</v>
      </c>
      <c r="BV109" s="296">
        <v>0</v>
      </c>
      <c r="BW109" s="53" t="e">
        <f>BV109/BQ109</f>
        <v>#DIV/0!</v>
      </c>
      <c r="BX109" s="294">
        <f>BT109*$A$113</f>
        <v>0</v>
      </c>
      <c r="BY109" s="104"/>
      <c r="BZ109" s="295">
        <v>85000000</v>
      </c>
      <c r="CA109" s="296">
        <v>72254238</v>
      </c>
      <c r="CB109" s="296">
        <v>12745762</v>
      </c>
      <c r="CC109" s="296">
        <v>12745762</v>
      </c>
      <c r="CD109" s="52">
        <f>CA109/BZ109</f>
        <v>0.85004985882352946</v>
      </c>
      <c r="CE109" s="259"/>
      <c r="CF109" s="53">
        <f>CE109/BZ109</f>
        <v>0</v>
      </c>
      <c r="CG109" s="294">
        <f>CC109*$A$113</f>
        <v>63728.810000000005</v>
      </c>
      <c r="CH109" s="104"/>
      <c r="CI109" s="152"/>
      <c r="CJ109" s="148"/>
      <c r="CK109" s="148"/>
      <c r="CL109" s="148"/>
      <c r="CM109" s="111" t="e">
        <f>CJ109/CI109</f>
        <v>#DIV/0!</v>
      </c>
      <c r="CN109" s="149"/>
      <c r="CO109" s="113" t="e">
        <f>CN109/CI109</f>
        <v>#DIV/0!</v>
      </c>
      <c r="CP109" s="104"/>
      <c r="CQ109" s="152"/>
      <c r="CR109" s="148"/>
      <c r="CS109" s="148"/>
      <c r="CT109" s="148"/>
      <c r="CU109" s="111" t="e">
        <f>CR109/CQ109</f>
        <v>#DIV/0!</v>
      </c>
      <c r="CV109" s="149"/>
      <c r="CW109" s="113" t="e">
        <f>CV109/CQ109</f>
        <v>#DIV/0!</v>
      </c>
      <c r="CX109" s="104"/>
      <c r="CY109" s="152"/>
      <c r="CZ109" s="148"/>
      <c r="DA109" s="148"/>
      <c r="DB109" s="148"/>
      <c r="DC109" s="111" t="e">
        <f>CZ109/CY109</f>
        <v>#DIV/0!</v>
      </c>
      <c r="DD109" s="149"/>
      <c r="DE109" s="113" t="e">
        <f>DD109/CY109</f>
        <v>#DIV/0!</v>
      </c>
      <c r="DF109" s="9"/>
      <c r="DG109" s="290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</row>
    <row r="110" spans="1:135" s="11" customFormat="1" ht="13.15" customHeight="1">
      <c r="A110" s="330"/>
      <c r="B110" s="49" t="s">
        <v>16</v>
      </c>
      <c r="C110" s="262">
        <f>SUM(L110,T110,AB110,AJ110,AR110,AZ110,BH110,BQ110,BZ110,CI110,CQ110,CY110)</f>
        <v>38000000</v>
      </c>
      <c r="D110" s="262">
        <f t="shared" si="518"/>
        <v>24000000</v>
      </c>
      <c r="E110" s="262">
        <f t="shared" si="519"/>
        <v>14000000</v>
      </c>
      <c r="F110" s="262">
        <f t="shared" si="520"/>
        <v>14000000</v>
      </c>
      <c r="G110" s="14">
        <f t="shared" si="521"/>
        <v>0.63157894736842102</v>
      </c>
      <c r="H110" s="262">
        <f t="shared" si="522"/>
        <v>0</v>
      </c>
      <c r="I110" s="14">
        <f t="shared" ref="I110" si="556">H110/C110</f>
        <v>0</v>
      </c>
      <c r="J110" s="194">
        <f>F110*$A$113</f>
        <v>70000</v>
      </c>
      <c r="K110" s="104"/>
      <c r="L110" s="265">
        <v>38000000</v>
      </c>
      <c r="M110" s="262">
        <v>24000000</v>
      </c>
      <c r="N110" s="262">
        <v>14000000</v>
      </c>
      <c r="O110" s="262">
        <v>14000000</v>
      </c>
      <c r="P110" s="52">
        <f>M110/L110</f>
        <v>0.63157894736842102</v>
      </c>
      <c r="Q110" s="262">
        <v>0</v>
      </c>
      <c r="R110" s="53">
        <f t="shared" ref="R110" si="557">Q110/L110</f>
        <v>0</v>
      </c>
      <c r="S110" s="104"/>
      <c r="T110" s="142">
        <v>0</v>
      </c>
      <c r="U110" s="143">
        <v>0</v>
      </c>
      <c r="V110" s="143">
        <v>0</v>
      </c>
      <c r="W110" s="143">
        <v>0</v>
      </c>
      <c r="X110" s="66" t="e">
        <f>U110/T110</f>
        <v>#DIV/0!</v>
      </c>
      <c r="Y110" s="144">
        <v>0</v>
      </c>
      <c r="Z110" s="67" t="e">
        <f t="shared" ref="Z110" si="558">Y110/T110</f>
        <v>#DIV/0!</v>
      </c>
      <c r="AA110" s="104"/>
      <c r="AB110" s="139">
        <v>0</v>
      </c>
      <c r="AC110" s="140">
        <v>0</v>
      </c>
      <c r="AD110" s="140">
        <v>0</v>
      </c>
      <c r="AE110" s="140">
        <v>0</v>
      </c>
      <c r="AF110" s="66" t="e">
        <f>AC110/AB110</f>
        <v>#DIV/0!</v>
      </c>
      <c r="AG110" s="140">
        <v>0</v>
      </c>
      <c r="AH110" s="67" t="e">
        <f t="shared" ref="AH110" si="559">AG110/AB110</f>
        <v>#DIV/0!</v>
      </c>
      <c r="AI110" s="104"/>
      <c r="AJ110" s="142">
        <v>0</v>
      </c>
      <c r="AK110" s="143">
        <v>0</v>
      </c>
      <c r="AL110" s="143">
        <v>0</v>
      </c>
      <c r="AM110" s="143">
        <v>0</v>
      </c>
      <c r="AN110" s="66" t="e">
        <f>AK110/AJ110</f>
        <v>#DIV/0!</v>
      </c>
      <c r="AO110" s="143">
        <v>0</v>
      </c>
      <c r="AP110" s="67" t="e">
        <f t="shared" ref="AP110" si="560">AO110/AJ110</f>
        <v>#DIV/0!</v>
      </c>
      <c r="AQ110" s="104"/>
      <c r="AR110" s="139"/>
      <c r="AS110" s="140"/>
      <c r="AT110" s="140"/>
      <c r="AU110" s="140"/>
      <c r="AV110" s="66" t="e">
        <f>AS110/AR110</f>
        <v>#DIV/0!</v>
      </c>
      <c r="AW110" s="140"/>
      <c r="AX110" s="67" t="e">
        <f t="shared" ref="AX110" si="561">AW110/AR110</f>
        <v>#DIV/0!</v>
      </c>
      <c r="AY110" s="104"/>
      <c r="AZ110" s="142">
        <v>0</v>
      </c>
      <c r="BA110" s="143">
        <v>0</v>
      </c>
      <c r="BB110" s="143">
        <v>0</v>
      </c>
      <c r="BC110" s="143">
        <v>0</v>
      </c>
      <c r="BD110" s="66" t="e">
        <f>BA110/AZ110</f>
        <v>#DIV/0!</v>
      </c>
      <c r="BE110" s="143">
        <v>0</v>
      </c>
      <c r="BF110" s="67" t="e">
        <f t="shared" ref="BF110" si="562">BE110/AZ110</f>
        <v>#DIV/0!</v>
      </c>
      <c r="BG110" s="104"/>
      <c r="BH110" s="260"/>
      <c r="BI110" s="261"/>
      <c r="BJ110" s="261"/>
      <c r="BK110" s="261"/>
      <c r="BL110" s="52" t="e">
        <f>BI110/BH110</f>
        <v>#DIV/0!</v>
      </c>
      <c r="BM110" s="259"/>
      <c r="BN110" s="53" t="e">
        <f t="shared" ref="BN110" si="563">BM110/BH110</f>
        <v>#DIV/0!</v>
      </c>
      <c r="BO110" s="194">
        <f>BK110*$A$113</f>
        <v>0</v>
      </c>
      <c r="BP110" s="104"/>
      <c r="BQ110" s="295">
        <v>0</v>
      </c>
      <c r="BR110" s="296">
        <v>0</v>
      </c>
      <c r="BS110" s="296">
        <v>0</v>
      </c>
      <c r="BT110" s="296">
        <v>0</v>
      </c>
      <c r="BU110" s="52" t="e">
        <f>BR110/BQ110</f>
        <v>#DIV/0!</v>
      </c>
      <c r="BV110" s="296">
        <v>0</v>
      </c>
      <c r="BW110" s="53" t="e">
        <f t="shared" ref="BW110" si="564">BV110/BQ110</f>
        <v>#DIV/0!</v>
      </c>
      <c r="BX110" s="294">
        <f>BT110*$A$113</f>
        <v>0</v>
      </c>
      <c r="BY110" s="104"/>
      <c r="BZ110" s="295"/>
      <c r="CA110" s="296"/>
      <c r="CB110" s="296"/>
      <c r="CC110" s="296"/>
      <c r="CD110" s="52" t="e">
        <f>CA110/BZ110</f>
        <v>#DIV/0!</v>
      </c>
      <c r="CE110" s="259"/>
      <c r="CF110" s="53" t="e">
        <f t="shared" ref="CF110" si="565">CE110/BZ110</f>
        <v>#DIV/0!</v>
      </c>
      <c r="CG110" s="294">
        <f>CC110*$A$113</f>
        <v>0</v>
      </c>
      <c r="CH110" s="104"/>
      <c r="CI110" s="152"/>
      <c r="CJ110" s="148"/>
      <c r="CK110" s="148"/>
      <c r="CL110" s="148"/>
      <c r="CM110" s="111" t="e">
        <f>CJ110/CI110</f>
        <v>#DIV/0!</v>
      </c>
      <c r="CN110" s="149"/>
      <c r="CO110" s="113" t="e">
        <f t="shared" ref="CO110" si="566">CN110/CI110</f>
        <v>#DIV/0!</v>
      </c>
      <c r="CP110" s="104"/>
      <c r="CQ110" s="152"/>
      <c r="CR110" s="148"/>
      <c r="CS110" s="148"/>
      <c r="CT110" s="148"/>
      <c r="CU110" s="111" t="e">
        <f>CR110/CQ110</f>
        <v>#DIV/0!</v>
      </c>
      <c r="CV110" s="149"/>
      <c r="CW110" s="113" t="e">
        <f t="shared" ref="CW110" si="567">CV110/CQ110</f>
        <v>#DIV/0!</v>
      </c>
      <c r="CX110" s="104"/>
      <c r="CY110" s="152"/>
      <c r="CZ110" s="148"/>
      <c r="DA110" s="148"/>
      <c r="DB110" s="148"/>
      <c r="DC110" s="111" t="e">
        <f>CZ110/CY110</f>
        <v>#DIV/0!</v>
      </c>
      <c r="DD110" s="149"/>
      <c r="DE110" s="113" t="e">
        <f t="shared" ref="DE110" si="568">DD110/CY110</f>
        <v>#DIV/0!</v>
      </c>
      <c r="DF110" s="9"/>
      <c r="DG110" s="290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</row>
    <row r="111" spans="1:135" s="11" customFormat="1" ht="13.15" customHeight="1">
      <c r="A111" s="330"/>
      <c r="B111" s="49" t="s">
        <v>17</v>
      </c>
      <c r="C111" s="262">
        <f>SUM(L111,T111,AB111,AJ111,AR111,AZ111,BH111,BQ111,BZ111,CI111,CQ111,CY111)</f>
        <v>372000000</v>
      </c>
      <c r="D111" s="262">
        <f t="shared" si="518"/>
        <v>199034000</v>
      </c>
      <c r="E111" s="262">
        <f t="shared" si="519"/>
        <v>172966000</v>
      </c>
      <c r="F111" s="262">
        <f t="shared" si="520"/>
        <v>183466000</v>
      </c>
      <c r="G111" s="14">
        <f t="shared" si="521"/>
        <v>0.53503763440860219</v>
      </c>
      <c r="H111" s="262">
        <f t="shared" si="522"/>
        <v>0</v>
      </c>
      <c r="I111" s="14">
        <f>H111/C111</f>
        <v>0</v>
      </c>
      <c r="J111" s="194">
        <f>F111*$A$113</f>
        <v>917330</v>
      </c>
      <c r="K111" s="104"/>
      <c r="L111" s="265">
        <v>120000000</v>
      </c>
      <c r="M111" s="262">
        <v>59034000</v>
      </c>
      <c r="N111" s="262">
        <v>60966000</v>
      </c>
      <c r="O111" s="262">
        <v>60966000</v>
      </c>
      <c r="P111" s="52">
        <f t="shared" si="524"/>
        <v>0.49195</v>
      </c>
      <c r="Q111" s="262">
        <v>0</v>
      </c>
      <c r="R111" s="53">
        <f>Q111/L111</f>
        <v>0</v>
      </c>
      <c r="S111" s="104"/>
      <c r="T111" s="142">
        <v>38000000</v>
      </c>
      <c r="U111" s="143">
        <v>24000000</v>
      </c>
      <c r="V111" s="143">
        <v>14000000</v>
      </c>
      <c r="W111" s="143">
        <v>14000000</v>
      </c>
      <c r="X111" s="66">
        <f t="shared" si="526"/>
        <v>0.63157894736842102</v>
      </c>
      <c r="Y111" s="144">
        <v>0</v>
      </c>
      <c r="Z111" s="67">
        <f>Y111/T111</f>
        <v>0</v>
      </c>
      <c r="AA111" s="104"/>
      <c r="AB111" s="139">
        <v>38000000</v>
      </c>
      <c r="AC111" s="140">
        <v>24000000</v>
      </c>
      <c r="AD111" s="140">
        <v>14000000</v>
      </c>
      <c r="AE111" s="140">
        <v>14000000</v>
      </c>
      <c r="AF111" s="66">
        <f t="shared" si="528"/>
        <v>0.63157894736842102</v>
      </c>
      <c r="AG111" s="140">
        <v>0</v>
      </c>
      <c r="AH111" s="67">
        <f>AG111/AB111</f>
        <v>0</v>
      </c>
      <c r="AI111" s="104"/>
      <c r="AJ111" s="142">
        <v>38000000</v>
      </c>
      <c r="AK111" s="143">
        <v>24000000</v>
      </c>
      <c r="AL111" s="143">
        <v>14000000</v>
      </c>
      <c r="AM111" s="143">
        <v>14000000</v>
      </c>
      <c r="AN111" s="66">
        <f t="shared" si="530"/>
        <v>0.63157894736842102</v>
      </c>
      <c r="AO111" s="143">
        <v>0</v>
      </c>
      <c r="AP111" s="67">
        <f>AO111/AJ111</f>
        <v>0</v>
      </c>
      <c r="AQ111" s="104"/>
      <c r="AR111" s="139">
        <v>25000000</v>
      </c>
      <c r="AS111" s="140">
        <v>11000000</v>
      </c>
      <c r="AT111" s="140">
        <v>14000000</v>
      </c>
      <c r="AU111" s="140">
        <v>14000000</v>
      </c>
      <c r="AV111" s="66">
        <f t="shared" si="532"/>
        <v>0.44</v>
      </c>
      <c r="AW111" s="140">
        <v>0</v>
      </c>
      <c r="AX111" s="67">
        <f>AW111/AR111</f>
        <v>0</v>
      </c>
      <c r="AY111" s="104"/>
      <c r="AZ111" s="142">
        <v>38000000</v>
      </c>
      <c r="BA111" s="143">
        <v>24000000</v>
      </c>
      <c r="BB111" s="143">
        <v>14000000</v>
      </c>
      <c r="BC111" s="143">
        <v>14000000</v>
      </c>
      <c r="BD111" s="66">
        <f t="shared" si="534"/>
        <v>0.63157894736842102</v>
      </c>
      <c r="BE111" s="143">
        <v>0</v>
      </c>
      <c r="BF111" s="67">
        <f>BE111/AZ111</f>
        <v>0</v>
      </c>
      <c r="BG111" s="104"/>
      <c r="BH111" s="260">
        <v>25000000</v>
      </c>
      <c r="BI111" s="261">
        <v>11000000</v>
      </c>
      <c r="BJ111" s="261">
        <v>14000000</v>
      </c>
      <c r="BK111" s="261">
        <v>14000000</v>
      </c>
      <c r="BL111" s="52">
        <f t="shared" si="536"/>
        <v>0.44</v>
      </c>
      <c r="BM111" s="259"/>
      <c r="BN111" s="53">
        <f>BM111/BH111</f>
        <v>0</v>
      </c>
      <c r="BO111" s="194">
        <f>BK111*$A$113</f>
        <v>70000</v>
      </c>
      <c r="BP111" s="104"/>
      <c r="BQ111" s="295">
        <f>25000000</f>
        <v>25000000</v>
      </c>
      <c r="BR111" s="296">
        <f t="shared" si="548"/>
        <v>11000000</v>
      </c>
      <c r="BS111" s="296">
        <v>14000000</v>
      </c>
      <c r="BT111" s="296">
        <v>14000000</v>
      </c>
      <c r="BU111" s="52">
        <f t="shared" si="538"/>
        <v>0.44</v>
      </c>
      <c r="BV111" s="296">
        <v>0</v>
      </c>
      <c r="BW111" s="53">
        <f>BV111/BQ111</f>
        <v>0</v>
      </c>
      <c r="BX111" s="294">
        <f>BT111*$A$113</f>
        <v>70000</v>
      </c>
      <c r="BY111" s="104"/>
      <c r="BZ111" s="295">
        <v>25000000</v>
      </c>
      <c r="CA111" s="296">
        <v>11000000</v>
      </c>
      <c r="CB111" s="296">
        <v>14000000</v>
      </c>
      <c r="CC111" s="296">
        <v>24500000</v>
      </c>
      <c r="CD111" s="52">
        <f t="shared" si="540"/>
        <v>0.44</v>
      </c>
      <c r="CE111" s="259"/>
      <c r="CF111" s="53">
        <f>CE111/BZ111</f>
        <v>0</v>
      </c>
      <c r="CG111" s="294">
        <f>CC111*$A$113</f>
        <v>122500</v>
      </c>
      <c r="CH111" s="104"/>
      <c r="CI111" s="152"/>
      <c r="CJ111" s="148"/>
      <c r="CK111" s="148"/>
      <c r="CL111" s="148"/>
      <c r="CM111" s="111" t="e">
        <f t="shared" si="542"/>
        <v>#DIV/0!</v>
      </c>
      <c r="CN111" s="149"/>
      <c r="CO111" s="113" t="e">
        <f>CN111/CI111</f>
        <v>#DIV/0!</v>
      </c>
      <c r="CP111" s="104"/>
      <c r="CQ111" s="152"/>
      <c r="CR111" s="148"/>
      <c r="CS111" s="148"/>
      <c r="CT111" s="148"/>
      <c r="CU111" s="111" t="e">
        <f t="shared" si="544"/>
        <v>#DIV/0!</v>
      </c>
      <c r="CV111" s="149"/>
      <c r="CW111" s="113" t="e">
        <f>CV111/CQ111</f>
        <v>#DIV/0!</v>
      </c>
      <c r="CX111" s="104"/>
      <c r="CY111" s="152"/>
      <c r="CZ111" s="148"/>
      <c r="DA111" s="148"/>
      <c r="DB111" s="148"/>
      <c r="DC111" s="111" t="e">
        <f t="shared" si="546"/>
        <v>#DIV/0!</v>
      </c>
      <c r="DD111" s="149"/>
      <c r="DE111" s="113" t="e">
        <f>DD111/CY111</f>
        <v>#DIV/0!</v>
      </c>
      <c r="DF111" s="9"/>
      <c r="DG111" s="290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</row>
    <row r="112" spans="1:135" s="28" customFormat="1" ht="13" customHeight="1">
      <c r="A112" s="330"/>
      <c r="B112" s="41" t="s">
        <v>18</v>
      </c>
      <c r="C112" s="263">
        <f>SUM(C101:C111)</f>
        <v>5010163175.9799995</v>
      </c>
      <c r="D112" s="263">
        <f>SUM(D101:D111)</f>
        <v>2942212778</v>
      </c>
      <c r="E112" s="263">
        <f>SUM(E101:E111)</f>
        <v>1899804267.48</v>
      </c>
      <c r="F112" s="263">
        <f>SUM(F101:F111)</f>
        <v>1910304268.48</v>
      </c>
      <c r="G112" s="15">
        <f>D112/C112</f>
        <v>0.58724889283161852</v>
      </c>
      <c r="H112" s="263">
        <f>SUM(H101:H111)</f>
        <v>3511405633</v>
      </c>
      <c r="I112" s="15">
        <f>H112/C112</f>
        <v>0.70085654092756389</v>
      </c>
      <c r="J112" s="195" t="b">
        <f>J113=F113</f>
        <v>1</v>
      </c>
      <c r="K112" s="105"/>
      <c r="L112" s="266">
        <f>SUM(L101:L111)</f>
        <v>650000000</v>
      </c>
      <c r="M112" s="263">
        <f>SUM(M101:M111)</f>
        <v>433034000</v>
      </c>
      <c r="N112" s="263">
        <f>SUM(N101:N111)</f>
        <v>216966000</v>
      </c>
      <c r="O112" s="263">
        <f>SUM(O101:O111)</f>
        <v>216966000</v>
      </c>
      <c r="P112" s="15">
        <f>M112/L112</f>
        <v>0.66620615384615389</v>
      </c>
      <c r="Q112" s="263">
        <f>SUM(Q101:Q111)</f>
        <v>345879500</v>
      </c>
      <c r="R112" s="62">
        <f>Q112/L112</f>
        <v>0.53212230769230773</v>
      </c>
      <c r="S112" s="105"/>
      <c r="T112" s="86">
        <f>SUM(T101:T111)</f>
        <v>665000000</v>
      </c>
      <c r="U112" s="87">
        <f>SUM(U101:U111)</f>
        <v>391041143</v>
      </c>
      <c r="V112" s="87">
        <f>SUM(V101:V111)</f>
        <v>273958857</v>
      </c>
      <c r="W112" s="87">
        <f>SUM(W101:W111)</f>
        <v>273958857</v>
      </c>
      <c r="X112" s="15">
        <f>U112/T112</f>
        <v>0.58803179398496241</v>
      </c>
      <c r="Y112" s="87">
        <f>SUM(Y101:Y111)</f>
        <v>372635262</v>
      </c>
      <c r="Z112" s="62">
        <f>Y112/T112</f>
        <v>0.56035377744360904</v>
      </c>
      <c r="AA112" s="105"/>
      <c r="AB112" s="82">
        <f>SUM(AB101:AB111)</f>
        <v>763000000</v>
      </c>
      <c r="AC112" s="83">
        <f>SUM(AC101:AC111)</f>
        <v>416822636</v>
      </c>
      <c r="AD112" s="83">
        <f>SUM(AD101:AD111)</f>
        <v>346177364</v>
      </c>
      <c r="AE112" s="83">
        <f>SUM(AE101:AE111)</f>
        <v>346177364</v>
      </c>
      <c r="AF112" s="15">
        <f>AC112/AB112</f>
        <v>0.54629441153342073</v>
      </c>
      <c r="AG112" s="83">
        <f>SUM(AG101:AG111)</f>
        <v>677335158</v>
      </c>
      <c r="AH112" s="62">
        <f>AG112/AB112</f>
        <v>0.8877262883355177</v>
      </c>
      <c r="AI112" s="105"/>
      <c r="AJ112" s="86">
        <f>SUM(AJ101:AJ111)</f>
        <v>707239909</v>
      </c>
      <c r="AK112" s="87">
        <f>SUM(AK101:AK111)</f>
        <v>458547792</v>
      </c>
      <c r="AL112" s="87">
        <f>SUM(AL101:AL111)</f>
        <v>248692117</v>
      </c>
      <c r="AM112" s="87">
        <f>SUM(AM101:AM111)</f>
        <v>248692117</v>
      </c>
      <c r="AN112" s="15">
        <f>AK112/AJ112</f>
        <v>0.64836243849468622</v>
      </c>
      <c r="AO112" s="87">
        <f>SUM(AO101:AO111)</f>
        <v>488904804</v>
      </c>
      <c r="AP112" s="62">
        <f>AO112/AJ112</f>
        <v>0.69128565537440567</v>
      </c>
      <c r="AQ112" s="105"/>
      <c r="AR112" s="82">
        <f>SUM(AR101:AR111)</f>
        <v>627321188</v>
      </c>
      <c r="AS112" s="83">
        <f t="shared" ref="AS112:AU112" si="569">SUM(AS101:AS111)</f>
        <v>368000000</v>
      </c>
      <c r="AT112" s="83">
        <f t="shared" si="569"/>
        <v>174321188</v>
      </c>
      <c r="AU112" s="83">
        <f t="shared" si="569"/>
        <v>174321188</v>
      </c>
      <c r="AV112" s="15">
        <f>AS112/AR112</f>
        <v>0.58662134651189246</v>
      </c>
      <c r="AW112" s="83">
        <f>SUM(AW101:AW111)</f>
        <v>493093433</v>
      </c>
      <c r="AX112" s="62">
        <f>AW112/AR112</f>
        <v>0.78603025440932506</v>
      </c>
      <c r="AY112" s="105"/>
      <c r="AZ112" s="86">
        <f>SUM(AZ101:AZ111)</f>
        <v>681449965.48000002</v>
      </c>
      <c r="BA112" s="87">
        <f t="shared" ref="BA112" si="570">SUM(BA101:BA111)</f>
        <v>414512969</v>
      </c>
      <c r="BB112" s="87">
        <f t="shared" ref="BB112" si="571">SUM(BB101:BB111)</f>
        <v>266936996.47999999</v>
      </c>
      <c r="BC112" s="87">
        <f t="shared" ref="BC112" si="572">SUM(BC101:BC111)</f>
        <v>266936996.47999999</v>
      </c>
      <c r="BD112" s="15">
        <f>BA112/AZ112</f>
        <v>0.60828085699296375</v>
      </c>
      <c r="BE112" s="87">
        <f>SUM(BE101:BE111)</f>
        <v>478307518</v>
      </c>
      <c r="BF112" s="62">
        <f>BE112/AZ112</f>
        <v>0.70189675284977016</v>
      </c>
      <c r="BG112" s="105"/>
      <c r="BH112" s="86">
        <f>SUM(BH101:BH111)</f>
        <v>328000000</v>
      </c>
      <c r="BI112" s="87">
        <f>SUM(BI101:BI111)</f>
        <v>128500000</v>
      </c>
      <c r="BJ112" s="87">
        <f>SUM(BJ101:BJ111)</f>
        <v>127939195</v>
      </c>
      <c r="BK112" s="87">
        <f>SUM(BK101:BK111)</f>
        <v>127939196</v>
      </c>
      <c r="BL112" s="15">
        <f>BI112/BH112</f>
        <v>0.39176829268292684</v>
      </c>
      <c r="BM112" s="83">
        <f>SUM(BM101:BM111)</f>
        <v>190847173</v>
      </c>
      <c r="BN112" s="62">
        <f>BM112/BH112</f>
        <v>0.58185113719512194</v>
      </c>
      <c r="BO112" s="195" t="b">
        <f>BO113=BK113</f>
        <v>1</v>
      </c>
      <c r="BP112" s="105"/>
      <c r="BQ112" s="82">
        <f>SUM(BQ101:BQ111)</f>
        <v>243000000</v>
      </c>
      <c r="BR112" s="83">
        <f>SUM(BR101:BR111)</f>
        <v>128500000</v>
      </c>
      <c r="BS112" s="83">
        <f t="shared" ref="BS112" si="573">SUM(BS101:BS111)</f>
        <v>119346788</v>
      </c>
      <c r="BT112" s="83">
        <f>SUM(BT101:BT111)</f>
        <v>119346788</v>
      </c>
      <c r="BU112" s="15">
        <f>BR112/BQ112</f>
        <v>0.5288065843621399</v>
      </c>
      <c r="BV112" s="83">
        <f>SUM(BV101:BV111)</f>
        <v>231107665</v>
      </c>
      <c r="BW112" s="62">
        <f>BV112/BQ112</f>
        <v>0.9510603497942387</v>
      </c>
      <c r="BX112" s="195" t="b">
        <f>BX113=BT113</f>
        <v>1</v>
      </c>
      <c r="BY112" s="105"/>
      <c r="BZ112" s="82">
        <f>SUM(BZ101:BZ111)</f>
        <v>328720000</v>
      </c>
      <c r="CA112" s="83">
        <f>SUM(CA101:CA111)</f>
        <v>203254238</v>
      </c>
      <c r="CB112" s="83">
        <f>SUM(CB101:CB111)</f>
        <v>125465762</v>
      </c>
      <c r="CC112" s="83">
        <f>SUM(CC101:CC111)</f>
        <v>135965762</v>
      </c>
      <c r="CD112" s="15">
        <f>CA112/BZ112</f>
        <v>0.6183202664881966</v>
      </c>
      <c r="CE112" s="83">
        <f>SUM(CE101:CE111)</f>
        <v>233295120</v>
      </c>
      <c r="CF112" s="62">
        <f>CE112/BZ112</f>
        <v>0.70970771477245076</v>
      </c>
      <c r="CG112" s="195" t="b">
        <f>CG113=CC113</f>
        <v>1</v>
      </c>
      <c r="CH112" s="105"/>
      <c r="CI112" s="82">
        <f>SUM(CI101:CI111)</f>
        <v>0</v>
      </c>
      <c r="CJ112" s="83">
        <f t="shared" ref="CJ112" si="574">SUM(CJ101:CJ111)</f>
        <v>0</v>
      </c>
      <c r="CK112" s="83">
        <f t="shared" ref="CK112" si="575">SUM(CK101:CK111)</f>
        <v>0</v>
      </c>
      <c r="CL112" s="83">
        <f t="shared" ref="CL112" si="576">SUM(CL101:CL111)</f>
        <v>0</v>
      </c>
      <c r="CM112" s="15" t="e">
        <f>CJ112/CI112</f>
        <v>#DIV/0!</v>
      </c>
      <c r="CN112" s="83">
        <f>SUM(CN101:CN111)</f>
        <v>0</v>
      </c>
      <c r="CO112" s="62" t="e">
        <f>CN112/CI112</f>
        <v>#DIV/0!</v>
      </c>
      <c r="CP112" s="105"/>
      <c r="CQ112" s="82">
        <f>SUM(CQ101:CQ111)</f>
        <v>0</v>
      </c>
      <c r="CR112" s="83">
        <f t="shared" ref="CR112" si="577">SUM(CR101:CR111)</f>
        <v>0</v>
      </c>
      <c r="CS112" s="83">
        <f t="shared" ref="CS112" si="578">SUM(CS101:CS111)</f>
        <v>0</v>
      </c>
      <c r="CT112" s="83">
        <f t="shared" ref="CT112" si="579">SUM(CT101:CT111)</f>
        <v>0</v>
      </c>
      <c r="CU112" s="15" t="e">
        <f>CR112/CQ112</f>
        <v>#DIV/0!</v>
      </c>
      <c r="CV112" s="83">
        <f>SUM(CV101:CV111)</f>
        <v>0</v>
      </c>
      <c r="CW112" s="62" t="e">
        <f>CV112/CQ112</f>
        <v>#DIV/0!</v>
      </c>
      <c r="CX112" s="105"/>
      <c r="CY112" s="82">
        <f>SUM(CY101:CY111)</f>
        <v>0</v>
      </c>
      <c r="CZ112" s="83">
        <f t="shared" ref="CZ112" si="580">SUM(CZ101:CZ111)</f>
        <v>0</v>
      </c>
      <c r="DA112" s="83">
        <f t="shared" ref="DA112" si="581">SUM(DA101:DA111)</f>
        <v>0</v>
      </c>
      <c r="DB112" s="83">
        <f t="shared" ref="DB112" si="582">SUM(DB101:DB111)</f>
        <v>0</v>
      </c>
      <c r="DC112" s="15" t="e">
        <f>CZ112/CY112</f>
        <v>#DIV/0!</v>
      </c>
      <c r="DD112" s="83">
        <f>SUM(DD101:DD111)</f>
        <v>0</v>
      </c>
      <c r="DE112" s="62" t="e">
        <f>DD112/CY112</f>
        <v>#DIV/0!</v>
      </c>
      <c r="DF112" s="27"/>
      <c r="DG112" s="28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</row>
    <row r="113" spans="1:135" s="21" customFormat="1" ht="13" customHeight="1">
      <c r="A113" s="188">
        <v>5.0000000000000001E-3</v>
      </c>
      <c r="B113" s="165" t="s">
        <v>19</v>
      </c>
      <c r="C113" s="187">
        <f>C112*$A$113</f>
        <v>25050815.879899997</v>
      </c>
      <c r="D113" s="187">
        <f t="shared" ref="D113:E113" si="583">D112*$A$113</f>
        <v>14711063.890000001</v>
      </c>
      <c r="E113" s="187">
        <f t="shared" si="583"/>
        <v>9499021.3374000005</v>
      </c>
      <c r="F113" s="187">
        <f>F112*$A$113</f>
        <v>9551521.3423999995</v>
      </c>
      <c r="G113" s="155"/>
      <c r="H113" s="187">
        <f>H112*A113</f>
        <v>17557028.164999999</v>
      </c>
      <c r="I113" s="155"/>
      <c r="J113" s="191">
        <f>SUM(J101:J111)</f>
        <v>9551521.3423999995</v>
      </c>
      <c r="K113" s="91"/>
      <c r="L113" s="219">
        <f>L112*$A$113</f>
        <v>3250000</v>
      </c>
      <c r="M113" s="187">
        <f t="shared" ref="M113" si="584">M112*$A$113</f>
        <v>2165170</v>
      </c>
      <c r="N113" s="187">
        <f t="shared" ref="N113" si="585">N112*$A$113</f>
        <v>1084830</v>
      </c>
      <c r="O113" s="187">
        <f t="shared" ref="O113" si="586">O112*$A$113</f>
        <v>1084830</v>
      </c>
      <c r="P113" s="217"/>
      <c r="Q113" s="187">
        <f>Q112*J113</f>
        <v>3303675426148640.5</v>
      </c>
      <c r="R113" s="156"/>
      <c r="S113" s="91"/>
      <c r="T113" s="219">
        <f>T112*$A$113</f>
        <v>3325000</v>
      </c>
      <c r="U113" s="187">
        <f t="shared" ref="U113" si="587">U112*$A$113</f>
        <v>1955205.7150000001</v>
      </c>
      <c r="V113" s="187">
        <f t="shared" ref="V113" si="588">V112*$A$113</f>
        <v>1369794.2849999999</v>
      </c>
      <c r="W113" s="187">
        <f t="shared" ref="W113" si="589">W112*$A$113</f>
        <v>1369794.2849999999</v>
      </c>
      <c r="X113" s="217"/>
      <c r="Y113" s="187">
        <f>Y112*R113</f>
        <v>0</v>
      </c>
      <c r="Z113" s="156"/>
      <c r="AA113" s="91"/>
      <c r="AB113" s="219">
        <f>AB112*$A$113</f>
        <v>3815000</v>
      </c>
      <c r="AC113" s="187">
        <f t="shared" ref="AC113" si="590">AC112*$A$113</f>
        <v>2084113.18</v>
      </c>
      <c r="AD113" s="187">
        <f t="shared" ref="AD113" si="591">AD112*$A$113</f>
        <v>1730886.82</v>
      </c>
      <c r="AE113" s="187">
        <f t="shared" ref="AE113" si="592">AE112*$A$113</f>
        <v>1730886.82</v>
      </c>
      <c r="AF113" s="217"/>
      <c r="AG113" s="187">
        <f>AG112*Z113</f>
        <v>0</v>
      </c>
      <c r="AH113" s="156"/>
      <c r="AI113" s="91"/>
      <c r="AJ113" s="219">
        <f>AJ112*$A$113</f>
        <v>3536199.5449999999</v>
      </c>
      <c r="AK113" s="187">
        <f t="shared" ref="AK113" si="593">AK112*$A$113</f>
        <v>2292738.96</v>
      </c>
      <c r="AL113" s="187">
        <f t="shared" ref="AL113" si="594">AL112*$A$113</f>
        <v>1243460.585</v>
      </c>
      <c r="AM113" s="187">
        <f t="shared" ref="AM113" si="595">AM112*$A$113</f>
        <v>1243460.585</v>
      </c>
      <c r="AN113" s="217"/>
      <c r="AO113" s="187">
        <f>AO112*AH113</f>
        <v>0</v>
      </c>
      <c r="AP113" s="156"/>
      <c r="AQ113" s="91"/>
      <c r="AR113" s="219">
        <f>AR112*$A$113</f>
        <v>3136605.94</v>
      </c>
      <c r="AS113" s="187">
        <f t="shared" ref="AS113" si="596">AS112*$A$113</f>
        <v>1840000</v>
      </c>
      <c r="AT113" s="187">
        <f t="shared" ref="AT113" si="597">AT112*$A$113</f>
        <v>871605.94000000006</v>
      </c>
      <c r="AU113" s="187">
        <f t="shared" ref="AU113" si="598">AU112*$A$113</f>
        <v>871605.94000000006</v>
      </c>
      <c r="AV113" s="217"/>
      <c r="AW113" s="187">
        <f>AW112*AP113</f>
        <v>0</v>
      </c>
      <c r="AX113" s="156"/>
      <c r="AY113" s="91"/>
      <c r="AZ113" s="219">
        <f>AZ112*$A$113</f>
        <v>3407249.8274000003</v>
      </c>
      <c r="BA113" s="187">
        <f t="shared" ref="BA113" si="599">BA112*$A$113</f>
        <v>2072564.845</v>
      </c>
      <c r="BB113" s="187">
        <f t="shared" ref="BB113" si="600">BB112*$A$113</f>
        <v>1334684.9823999999</v>
      </c>
      <c r="BC113" s="187">
        <f t="shared" ref="BC113" si="601">BC112*$A$113</f>
        <v>1334684.9823999999</v>
      </c>
      <c r="BD113" s="217"/>
      <c r="BE113" s="187">
        <f>BE112*AX113</f>
        <v>0</v>
      </c>
      <c r="BF113" s="156"/>
      <c r="BG113" s="91"/>
      <c r="BH113" s="219">
        <f>BH112*$A$113</f>
        <v>1640000</v>
      </c>
      <c r="BI113" s="187">
        <f t="shared" ref="BI113" si="602">BI112*$A$113</f>
        <v>642500</v>
      </c>
      <c r="BJ113" s="187">
        <f t="shared" ref="BJ113" si="603">BJ112*$A$113</f>
        <v>639695.97499999998</v>
      </c>
      <c r="BK113" s="187">
        <f t="shared" ref="BK113" si="604">BK112*$A$113</f>
        <v>639695.98</v>
      </c>
      <c r="BL113" s="217"/>
      <c r="BM113" s="187">
        <f>BM112*A113</f>
        <v>954235.86499999999</v>
      </c>
      <c r="BN113" s="156"/>
      <c r="BO113" s="191">
        <f>SUM(BO101:BO111)</f>
        <v>639695.98</v>
      </c>
      <c r="BP113" s="91"/>
      <c r="BQ113" s="219">
        <f>BQ112*$A$113</f>
        <v>1215000</v>
      </c>
      <c r="BR113" s="187">
        <f>BR112*$A$113</f>
        <v>642500</v>
      </c>
      <c r="BS113" s="187">
        <f t="shared" ref="BS113" si="605">BS112*$A$113</f>
        <v>596733.94000000006</v>
      </c>
      <c r="BT113" s="187">
        <f t="shared" ref="BT113" si="606">BT112*$A$113</f>
        <v>596733.94000000006</v>
      </c>
      <c r="BU113" s="217"/>
      <c r="BV113" s="187">
        <f>BV112*A113</f>
        <v>1155538.325</v>
      </c>
      <c r="BW113" s="156"/>
      <c r="BX113" s="191">
        <f>SUM(BX101:BX111)</f>
        <v>596733.93999999994</v>
      </c>
      <c r="BY113" s="91"/>
      <c r="BZ113" s="219">
        <f>BZ112*$A$113</f>
        <v>1643600</v>
      </c>
      <c r="CA113" s="187">
        <f t="shared" ref="CA113" si="607">CA112*$A$113</f>
        <v>1016271.1900000001</v>
      </c>
      <c r="CB113" s="187">
        <f t="shared" ref="CB113" si="608">CB112*$A$113</f>
        <v>627328.81000000006</v>
      </c>
      <c r="CC113" s="187">
        <f t="shared" ref="CC113" si="609">CC112*$A$113</f>
        <v>679828.81</v>
      </c>
      <c r="CD113" s="217"/>
      <c r="CE113" s="187">
        <f>CE112*A113</f>
        <v>1166475.6000000001</v>
      </c>
      <c r="CF113" s="156"/>
      <c r="CG113" s="191">
        <f>SUM(CG101:CG111)</f>
        <v>679828.81</v>
      </c>
      <c r="CH113" s="91"/>
      <c r="CI113" s="219">
        <f>CI112*$A$113</f>
        <v>0</v>
      </c>
      <c r="CJ113" s="187">
        <f t="shared" ref="CJ113" si="610">CJ112*$A$113</f>
        <v>0</v>
      </c>
      <c r="CK113" s="187">
        <f t="shared" ref="CK113" si="611">CK112*$A$113</f>
        <v>0</v>
      </c>
      <c r="CL113" s="187">
        <f t="shared" ref="CL113" si="612">CL112*$A$113</f>
        <v>0</v>
      </c>
      <c r="CM113" s="217"/>
      <c r="CN113" s="187">
        <f>CN112*CF113</f>
        <v>0</v>
      </c>
      <c r="CO113" s="156"/>
      <c r="CP113" s="91"/>
      <c r="CQ113" s="219">
        <f>CQ112*$A$113</f>
        <v>0</v>
      </c>
      <c r="CR113" s="187">
        <f t="shared" ref="CR113" si="613">CR112*$A$113</f>
        <v>0</v>
      </c>
      <c r="CS113" s="187">
        <f t="shared" ref="CS113" si="614">CS112*$A$113</f>
        <v>0</v>
      </c>
      <c r="CT113" s="187">
        <f t="shared" ref="CT113" si="615">CT112*$A$113</f>
        <v>0</v>
      </c>
      <c r="CU113" s="217"/>
      <c r="CV113" s="187">
        <f>CV112*CO113</f>
        <v>0</v>
      </c>
      <c r="CW113" s="156"/>
      <c r="CX113" s="91"/>
      <c r="CY113" s="219">
        <f>CY112*$A$113</f>
        <v>0</v>
      </c>
      <c r="CZ113" s="187">
        <f t="shared" ref="CZ113" si="616">CZ112*$A$113</f>
        <v>0</v>
      </c>
      <c r="DA113" s="187">
        <f t="shared" ref="DA113" si="617">DA112*$A$113</f>
        <v>0</v>
      </c>
      <c r="DB113" s="187">
        <f t="shared" ref="DB113" si="618">DB112*$A$113</f>
        <v>0</v>
      </c>
      <c r="DC113" s="217"/>
      <c r="DD113" s="187">
        <f>DD112*CW113</f>
        <v>0</v>
      </c>
      <c r="DE113" s="220"/>
      <c r="DF113" s="8"/>
      <c r="DG113" s="287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</row>
    <row r="114" spans="1:135" s="11" customFormat="1" ht="13.15" customHeight="1">
      <c r="A114" s="329" t="s">
        <v>27</v>
      </c>
      <c r="B114" s="48" t="s">
        <v>12</v>
      </c>
      <c r="C114" s="282">
        <f>SUM(L114,T114,AB114,AJ114,AR114,AZ114,BH114,BQ114,BZ114,CI114,CQ114,CY114)</f>
        <v>5343934.4000000004</v>
      </c>
      <c r="D114" s="282">
        <f t="shared" ref="D114:D124" si="619">SUM(M114,U114,AC114,AK114,AS114,BA114,BI114,BR114,CA114,CJ114,CR114,CZ114)</f>
        <v>877374.4</v>
      </c>
      <c r="E114" s="282">
        <f t="shared" ref="E114:E124" si="620">SUM(N114,V114,AD114,AL114,AT114,BB114,BJ114,BS114,CB114,CK114,CS114,DA114)</f>
        <v>4466560</v>
      </c>
      <c r="F114" s="282">
        <f t="shared" ref="F114:F124" si="621">SUM(O114,W114,AE114,AM114,AU114,BC114,BK114,BT114,CC114,CL114,CT114,DB114)</f>
        <v>4466560</v>
      </c>
      <c r="G114" s="14">
        <f>D114/C114</f>
        <v>0.16418135671725312</v>
      </c>
      <c r="H114" s="282">
        <f>SUM(Q114,Y114,AG114,AO114,AW114,BE114,BM114,BV114,CE114,CN114,CV114,DD114)</f>
        <v>992846</v>
      </c>
      <c r="I114" s="14">
        <f>H114/C114</f>
        <v>0.18578933154568664</v>
      </c>
      <c r="J114" s="190">
        <f>F114*$A$126</f>
        <v>3394585.6</v>
      </c>
      <c r="K114" s="106"/>
      <c r="L114" s="60">
        <v>558000</v>
      </c>
      <c r="M114" s="50">
        <v>108000</v>
      </c>
      <c r="N114" s="50">
        <v>450000</v>
      </c>
      <c r="O114" s="50">
        <v>450000</v>
      </c>
      <c r="P114" s="52">
        <f>M114/L114</f>
        <v>0.19354838709677419</v>
      </c>
      <c r="Q114" s="138">
        <v>90000</v>
      </c>
      <c r="R114" s="53">
        <f>Q114/L114</f>
        <v>0.16129032258064516</v>
      </c>
      <c r="S114" s="106"/>
      <c r="T114" s="145">
        <v>558000</v>
      </c>
      <c r="U114" s="146">
        <v>108000</v>
      </c>
      <c r="V114" s="146">
        <v>450000</v>
      </c>
      <c r="W114" s="146">
        <v>450000</v>
      </c>
      <c r="X114" s="66">
        <f>U114/T114</f>
        <v>0.19354838709677419</v>
      </c>
      <c r="Y114" s="147">
        <v>112500</v>
      </c>
      <c r="Z114" s="67">
        <f>Y114/T114</f>
        <v>0.20161290322580644</v>
      </c>
      <c r="AA114" s="106"/>
      <c r="AB114" s="141">
        <v>558000</v>
      </c>
      <c r="AC114" s="138">
        <v>108000</v>
      </c>
      <c r="AD114" s="138">
        <v>450000</v>
      </c>
      <c r="AE114" s="138">
        <v>450000</v>
      </c>
      <c r="AF114" s="66">
        <f>AC114/AB114</f>
        <v>0.19354838709677419</v>
      </c>
      <c r="AG114" s="138">
        <v>118000</v>
      </c>
      <c r="AH114" s="67">
        <f>AG114/AB114</f>
        <v>0.21146953405017921</v>
      </c>
      <c r="AI114" s="106"/>
      <c r="AJ114" s="141">
        <v>558000</v>
      </c>
      <c r="AK114" s="138">
        <v>108000</v>
      </c>
      <c r="AL114" s="138">
        <v>450000</v>
      </c>
      <c r="AM114" s="138">
        <v>450000</v>
      </c>
      <c r="AN114" s="66">
        <f>AK114/AJ114</f>
        <v>0.19354838709677419</v>
      </c>
      <c r="AO114" s="138">
        <v>118000</v>
      </c>
      <c r="AP114" s="67">
        <f>AO114/AJ114</f>
        <v>0.21146953405017921</v>
      </c>
      <c r="AQ114" s="106"/>
      <c r="AR114" s="141">
        <v>558000</v>
      </c>
      <c r="AS114" s="138">
        <v>108000</v>
      </c>
      <c r="AT114" s="138">
        <v>450000</v>
      </c>
      <c r="AU114" s="138">
        <v>450000</v>
      </c>
      <c r="AV114" s="66">
        <f>AS114/AR114</f>
        <v>0.19354838709677419</v>
      </c>
      <c r="AW114" s="138">
        <v>110223</v>
      </c>
      <c r="AX114" s="67">
        <f>AW114/AR114</f>
        <v>0.19753225806451613</v>
      </c>
      <c r="AY114" s="106"/>
      <c r="AZ114" s="142">
        <v>652934.40000000002</v>
      </c>
      <c r="BA114" s="143">
        <v>126374.39999999999</v>
      </c>
      <c r="BB114" s="143">
        <v>526560</v>
      </c>
      <c r="BC114" s="143">
        <v>526560</v>
      </c>
      <c r="BD114" s="66">
        <f>BA114/AZ114</f>
        <v>0.19354838709677419</v>
      </c>
      <c r="BE114" s="143">
        <v>110223</v>
      </c>
      <c r="BF114" s="67">
        <f>BE114/AZ114</f>
        <v>0.16881175199223689</v>
      </c>
      <c r="BG114" s="106"/>
      <c r="BH114" s="60">
        <v>660000</v>
      </c>
      <c r="BI114" s="50">
        <v>80000</v>
      </c>
      <c r="BJ114" s="50">
        <v>580000</v>
      </c>
      <c r="BK114" s="50">
        <v>580000</v>
      </c>
      <c r="BL114" s="52">
        <f>BI114/BH114</f>
        <v>0.12121212121212122</v>
      </c>
      <c r="BM114" s="267">
        <v>105000</v>
      </c>
      <c r="BN114" s="53">
        <f>BM114/BH114</f>
        <v>0.15909090909090909</v>
      </c>
      <c r="BO114" s="190">
        <f>BK114*$A$126</f>
        <v>440800</v>
      </c>
      <c r="BP114" s="106"/>
      <c r="BQ114" s="60">
        <v>721000</v>
      </c>
      <c r="BR114" s="50">
        <v>106000</v>
      </c>
      <c r="BS114" s="50">
        <v>615000</v>
      </c>
      <c r="BT114" s="50">
        <v>615000</v>
      </c>
      <c r="BU114" s="52">
        <f>BR114/BQ114</f>
        <v>0.14701803051317613</v>
      </c>
      <c r="BV114" s="50">
        <v>120000</v>
      </c>
      <c r="BW114" s="53">
        <f>BV114/BQ114</f>
        <v>0.16643550624133149</v>
      </c>
      <c r="BX114" s="294">
        <f>BT114*$A$126</f>
        <v>467400</v>
      </c>
      <c r="BY114" s="106"/>
      <c r="BZ114" s="306">
        <v>520000</v>
      </c>
      <c r="CA114" s="307">
        <v>25000</v>
      </c>
      <c r="CB114" s="307">
        <v>495000</v>
      </c>
      <c r="CC114" s="307">
        <v>495000</v>
      </c>
      <c r="CD114" s="111">
        <f>CA114/BZ114</f>
        <v>4.807692307692308E-2</v>
      </c>
      <c r="CE114" s="310">
        <v>108900</v>
      </c>
      <c r="CF114" s="113">
        <f>CE114/BZ114</f>
        <v>0.20942307692307693</v>
      </c>
      <c r="CG114" s="294">
        <f>CC114*$A$126</f>
        <v>376200</v>
      </c>
      <c r="CH114" s="106"/>
      <c r="CI114" s="153"/>
      <c r="CJ114" s="150"/>
      <c r="CK114" s="150"/>
      <c r="CL114" s="150"/>
      <c r="CM114" s="111" t="e">
        <f>CJ114/CI114</f>
        <v>#DIV/0!</v>
      </c>
      <c r="CN114" s="151"/>
      <c r="CO114" s="113" t="e">
        <f>CN114/CI114</f>
        <v>#DIV/0!</v>
      </c>
      <c r="CP114" s="106"/>
      <c r="CQ114" s="153"/>
      <c r="CR114" s="150"/>
      <c r="CS114" s="150"/>
      <c r="CT114" s="150"/>
      <c r="CU114" s="111" t="e">
        <f>CR114/CQ114</f>
        <v>#DIV/0!</v>
      </c>
      <c r="CV114" s="151"/>
      <c r="CW114" s="113" t="e">
        <f>CV114/CQ114</f>
        <v>#DIV/0!</v>
      </c>
      <c r="CX114" s="106"/>
      <c r="CY114" s="153"/>
      <c r="CZ114" s="150"/>
      <c r="DA114" s="150"/>
      <c r="DB114" s="150"/>
      <c r="DC114" s="111" t="e">
        <f>CZ114/CY114</f>
        <v>#DIV/0!</v>
      </c>
      <c r="DD114" s="151"/>
      <c r="DE114" s="113" t="e">
        <f>DD114/CY114</f>
        <v>#DIV/0!</v>
      </c>
      <c r="DF114" s="9"/>
      <c r="DG114" s="290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</row>
    <row r="115" spans="1:135" s="11" customFormat="1" ht="13.15" customHeight="1">
      <c r="A115" s="330"/>
      <c r="B115" s="49" t="s">
        <v>13</v>
      </c>
      <c r="C115" s="282">
        <f t="shared" ref="C115:C124" si="622">SUM(L115,T115,AB115,AJ115,AR115,AZ115,BH115,BQ115,BZ115,CI115,CQ115,CY115)</f>
        <v>1401184.2</v>
      </c>
      <c r="D115" s="282">
        <f t="shared" si="619"/>
        <v>141069.20000000001</v>
      </c>
      <c r="E115" s="282">
        <f t="shared" si="620"/>
        <v>1290551</v>
      </c>
      <c r="F115" s="282">
        <f t="shared" si="621"/>
        <v>1276031</v>
      </c>
      <c r="G115" s="14">
        <f t="shared" ref="G115:G124" si="623">D115/C115</f>
        <v>0.10067855461116391</v>
      </c>
      <c r="H115" s="282">
        <f t="shared" ref="H115:H124" si="624">SUM(Q115,Y115,AG115,AO115,AW115,BE115,BM115,BV115,CE115,CN115,CV115,DD115)</f>
        <v>123289</v>
      </c>
      <c r="I115" s="14">
        <f t="shared" ref="I115" si="625">H115/C115</f>
        <v>8.7989145181625664E-2</v>
      </c>
      <c r="J115" s="190">
        <f>F115*$A$126</f>
        <v>969783.56</v>
      </c>
      <c r="K115" s="106"/>
      <c r="L115" s="60">
        <v>30138.2</v>
      </c>
      <c r="M115" s="50">
        <v>5833.2</v>
      </c>
      <c r="N115" s="50">
        <v>24305</v>
      </c>
      <c r="O115" s="50">
        <v>24305</v>
      </c>
      <c r="P115" s="52">
        <f t="shared" ref="P115:P124" si="626">M115/L115</f>
        <v>0.19354838709677419</v>
      </c>
      <c r="Q115" s="138">
        <v>0</v>
      </c>
      <c r="R115" s="53">
        <f t="shared" ref="R115" si="627">Q115/L115</f>
        <v>0</v>
      </c>
      <c r="S115" s="106"/>
      <c r="T115" s="145">
        <v>0</v>
      </c>
      <c r="U115" s="146">
        <v>0</v>
      </c>
      <c r="V115" s="146">
        <v>0</v>
      </c>
      <c r="W115" s="146">
        <v>0</v>
      </c>
      <c r="X115" s="66" t="e">
        <f t="shared" ref="X115:X124" si="628">U115/T115</f>
        <v>#DIV/0!</v>
      </c>
      <c r="Y115" s="147">
        <v>0</v>
      </c>
      <c r="Z115" s="67" t="e">
        <f t="shared" ref="Z115" si="629">Y115/T115</f>
        <v>#DIV/0!</v>
      </c>
      <c r="AA115" s="106"/>
      <c r="AB115" s="141">
        <v>143446</v>
      </c>
      <c r="AC115" s="138">
        <v>0</v>
      </c>
      <c r="AD115" s="138">
        <v>143446</v>
      </c>
      <c r="AE115" s="138">
        <v>143446</v>
      </c>
      <c r="AF115" s="66">
        <f t="shared" ref="AF115:AF124" si="630">AC115/AB115</f>
        <v>0</v>
      </c>
      <c r="AG115" s="138">
        <v>20000</v>
      </c>
      <c r="AH115" s="67">
        <f t="shared" ref="AH115" si="631">AG115/AB115</f>
        <v>0.13942528895891138</v>
      </c>
      <c r="AI115" s="106"/>
      <c r="AJ115" s="141">
        <v>210300</v>
      </c>
      <c r="AK115" s="138"/>
      <c r="AL115" s="138">
        <v>210300</v>
      </c>
      <c r="AM115" s="138">
        <v>210300</v>
      </c>
      <c r="AN115" s="66">
        <f t="shared" ref="AN115:AN124" si="632">AK115/AJ115</f>
        <v>0</v>
      </c>
      <c r="AO115" s="138">
        <v>15129</v>
      </c>
      <c r="AP115" s="67">
        <f t="shared" ref="AP115" si="633">AO115/AJ115</f>
        <v>7.1940085592011413E-2</v>
      </c>
      <c r="AQ115" s="106"/>
      <c r="AR115" s="141">
        <v>8700</v>
      </c>
      <c r="AS115" s="138">
        <v>0</v>
      </c>
      <c r="AT115" s="138">
        <v>8700</v>
      </c>
      <c r="AU115" s="138">
        <v>8700</v>
      </c>
      <c r="AV115" s="66">
        <f t="shared" ref="AV115:AV124" si="634">AS115/AR115</f>
        <v>0</v>
      </c>
      <c r="AW115" s="138">
        <v>2000</v>
      </c>
      <c r="AX115" s="67">
        <f t="shared" ref="AX115" si="635">AW115/AR115</f>
        <v>0.22988505747126436</v>
      </c>
      <c r="AY115" s="106"/>
      <c r="AZ115" s="142">
        <v>278600</v>
      </c>
      <c r="BA115" s="143">
        <v>30436</v>
      </c>
      <c r="BB115" s="143">
        <v>278600</v>
      </c>
      <c r="BC115" s="143">
        <v>278600</v>
      </c>
      <c r="BD115" s="66">
        <f t="shared" ref="BD115:BD124" si="636">BA115/AZ115</f>
        <v>0.10924623115577889</v>
      </c>
      <c r="BE115" s="143">
        <v>2000</v>
      </c>
      <c r="BF115" s="67">
        <f t="shared" ref="BF115" si="637">BE115/AZ115</f>
        <v>7.1787508973438618E-3</v>
      </c>
      <c r="BG115" s="106"/>
      <c r="BH115" s="60">
        <v>320000</v>
      </c>
      <c r="BI115" s="50">
        <v>22400</v>
      </c>
      <c r="BJ115" s="50">
        <v>297600</v>
      </c>
      <c r="BK115" s="50">
        <v>297600</v>
      </c>
      <c r="BL115" s="52">
        <f t="shared" ref="BL115:BL124" si="638">BI115/BH115</f>
        <v>7.0000000000000007E-2</v>
      </c>
      <c r="BM115" s="267">
        <v>5520</v>
      </c>
      <c r="BN115" s="53">
        <f t="shared" ref="BN115" si="639">BM115/BH115</f>
        <v>1.7250000000000001E-2</v>
      </c>
      <c r="BO115" s="190">
        <f>BK115*$A$126</f>
        <v>226176</v>
      </c>
      <c r="BP115" s="106"/>
      <c r="BQ115" s="60">
        <v>230000</v>
      </c>
      <c r="BR115" s="50">
        <v>64400</v>
      </c>
      <c r="BS115" s="50">
        <v>165600</v>
      </c>
      <c r="BT115" s="50">
        <v>165000</v>
      </c>
      <c r="BU115" s="52">
        <f t="shared" ref="BU115:BU124" si="640">BR115/BQ115</f>
        <v>0.28000000000000003</v>
      </c>
      <c r="BV115" s="50">
        <v>43000</v>
      </c>
      <c r="BW115" s="53">
        <f t="shared" ref="BW115:BW118" si="641">BV115/BQ115</f>
        <v>0.18695652173913044</v>
      </c>
      <c r="BX115" s="294">
        <f>BT115*$A$126</f>
        <v>125400</v>
      </c>
      <c r="BY115" s="106"/>
      <c r="BZ115" s="306">
        <v>180000</v>
      </c>
      <c r="CA115" s="307">
        <v>18000</v>
      </c>
      <c r="CB115" s="307">
        <v>162000</v>
      </c>
      <c r="CC115" s="307">
        <f>SUM(CC116:CC120)</f>
        <v>148080</v>
      </c>
      <c r="CD115" s="111">
        <f t="shared" ref="CD115:CD124" si="642">CA115/BZ115</f>
        <v>0.1</v>
      </c>
      <c r="CE115" s="310">
        <v>35640</v>
      </c>
      <c r="CF115" s="113">
        <f t="shared" ref="CF115:CF120" si="643">CE115/BZ115</f>
        <v>0.19800000000000001</v>
      </c>
      <c r="CG115" s="294">
        <f>CC115*$A$126</f>
        <v>112540.8</v>
      </c>
      <c r="CH115" s="106"/>
      <c r="CI115" s="153"/>
      <c r="CJ115" s="150"/>
      <c r="CK115" s="150"/>
      <c r="CL115" s="150"/>
      <c r="CM115" s="111" t="e">
        <f t="shared" ref="CM115:CM124" si="644">CJ115/CI115</f>
        <v>#DIV/0!</v>
      </c>
      <c r="CN115" s="151"/>
      <c r="CO115" s="113" t="e">
        <f t="shared" ref="CO115" si="645">CN115/CI115</f>
        <v>#DIV/0!</v>
      </c>
      <c r="CP115" s="106"/>
      <c r="CQ115" s="153"/>
      <c r="CR115" s="150"/>
      <c r="CS115" s="150"/>
      <c r="CT115" s="150"/>
      <c r="CU115" s="111" t="e">
        <f t="shared" ref="CU115:CU124" si="646">CR115/CQ115</f>
        <v>#DIV/0!</v>
      </c>
      <c r="CV115" s="151"/>
      <c r="CW115" s="113" t="e">
        <f t="shared" ref="CW115" si="647">CV115/CQ115</f>
        <v>#DIV/0!</v>
      </c>
      <c r="CX115" s="106"/>
      <c r="CY115" s="153"/>
      <c r="CZ115" s="150"/>
      <c r="DA115" s="150"/>
      <c r="DB115" s="150"/>
      <c r="DC115" s="111" t="e">
        <f t="shared" ref="DC115:DC124" si="648">CZ115/CY115</f>
        <v>#DIV/0!</v>
      </c>
      <c r="DD115" s="151"/>
      <c r="DE115" s="113" t="e">
        <f t="shared" ref="DE115" si="649">DD115/CY115</f>
        <v>#DIV/0!</v>
      </c>
      <c r="DF115" s="9"/>
      <c r="DG115" s="290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</row>
    <row r="116" spans="1:135" s="11" customFormat="1" ht="13.15" customHeight="1">
      <c r="A116" s="330"/>
      <c r="B116" s="49" t="s">
        <v>62</v>
      </c>
      <c r="C116" s="125"/>
      <c r="D116" s="125"/>
      <c r="E116" s="125"/>
      <c r="F116" s="125"/>
      <c r="G116" s="14"/>
      <c r="H116" s="125"/>
      <c r="I116" s="14"/>
      <c r="J116" s="194"/>
      <c r="K116" s="98"/>
      <c r="L116" s="57"/>
      <c r="M116" s="20"/>
      <c r="N116" s="20"/>
      <c r="O116" s="20"/>
      <c r="P116" s="52"/>
      <c r="Q116" s="63"/>
      <c r="R116" s="53"/>
      <c r="S116" s="98"/>
      <c r="T116" s="65"/>
      <c r="U116" s="63"/>
      <c r="V116" s="63"/>
      <c r="W116" s="63"/>
      <c r="X116" s="66"/>
      <c r="Y116" s="64"/>
      <c r="Z116" s="17"/>
      <c r="AA116" s="98"/>
      <c r="AB116" s="65"/>
      <c r="AC116" s="63"/>
      <c r="AD116" s="63"/>
      <c r="AE116" s="63"/>
      <c r="AF116" s="66"/>
      <c r="AG116" s="63"/>
      <c r="AH116" s="67"/>
      <c r="AI116" s="98"/>
      <c r="AJ116" s="57"/>
      <c r="AK116" s="20"/>
      <c r="AL116" s="20"/>
      <c r="AM116" s="20"/>
      <c r="AN116" s="52"/>
      <c r="AO116" s="20"/>
      <c r="AP116" s="53"/>
      <c r="AQ116" s="98"/>
      <c r="AR116" s="57"/>
      <c r="AS116" s="20"/>
      <c r="AT116" s="20"/>
      <c r="AU116" s="20"/>
      <c r="AV116" s="52"/>
      <c r="AW116" s="20"/>
      <c r="AX116" s="53"/>
      <c r="AY116" s="98"/>
      <c r="AZ116" s="57"/>
      <c r="BA116" s="20"/>
      <c r="BB116" s="20"/>
      <c r="BC116" s="20"/>
      <c r="BD116" s="52"/>
      <c r="BE116" s="20"/>
      <c r="BF116" s="53"/>
      <c r="BG116" s="98"/>
      <c r="BH116" s="57"/>
      <c r="BI116" s="20"/>
      <c r="BJ116" s="20"/>
      <c r="BK116" s="20"/>
      <c r="BL116" s="52"/>
      <c r="BM116" s="20"/>
      <c r="BN116" s="53"/>
      <c r="BO116" s="194"/>
      <c r="BP116" s="98"/>
      <c r="BQ116" s="57"/>
      <c r="BR116" s="20"/>
      <c r="BS116" s="20"/>
      <c r="BT116" s="20"/>
      <c r="BU116" s="52"/>
      <c r="BV116" s="20"/>
      <c r="BW116" s="53"/>
      <c r="BX116" s="294"/>
      <c r="BY116" s="98"/>
      <c r="BZ116" s="308"/>
      <c r="CA116" s="282"/>
      <c r="CB116" s="282"/>
      <c r="CC116" s="282"/>
      <c r="CD116" s="111" t="e">
        <f t="shared" si="642"/>
        <v>#DIV/0!</v>
      </c>
      <c r="CE116" s="312"/>
      <c r="CF116" s="113" t="e">
        <f t="shared" si="643"/>
        <v>#DIV/0!</v>
      </c>
      <c r="CG116" s="294"/>
      <c r="CH116" s="98"/>
      <c r="CI116" s="251"/>
      <c r="CJ116" s="252"/>
      <c r="CK116" s="252"/>
      <c r="CL116" s="252"/>
      <c r="CM116" s="111"/>
      <c r="CN116" s="253"/>
      <c r="CO116" s="113"/>
      <c r="CP116" s="98"/>
      <c r="CQ116" s="251"/>
      <c r="CR116" s="252"/>
      <c r="CS116" s="252"/>
      <c r="CT116" s="252"/>
      <c r="CU116" s="111"/>
      <c r="CV116" s="253"/>
      <c r="CW116" s="113"/>
      <c r="CX116" s="98"/>
      <c r="CY116" s="251"/>
      <c r="CZ116" s="252"/>
      <c r="DA116" s="252"/>
      <c r="DB116" s="252"/>
      <c r="DC116" s="111"/>
      <c r="DD116" s="253"/>
      <c r="DE116" s="113"/>
      <c r="DF116" s="9"/>
      <c r="DG116" s="290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</row>
    <row r="117" spans="1:135" s="7" customFormat="1" ht="13" customHeight="1">
      <c r="A117" s="330"/>
      <c r="B117" s="49" t="s">
        <v>40</v>
      </c>
      <c r="C117" s="282"/>
      <c r="D117" s="282"/>
      <c r="E117" s="282"/>
      <c r="F117" s="282"/>
      <c r="G117" s="14"/>
      <c r="H117" s="282"/>
      <c r="I117" s="14"/>
      <c r="J117" s="190"/>
      <c r="K117" s="90"/>
      <c r="L117" s="51"/>
      <c r="M117" s="45"/>
      <c r="N117" s="45"/>
      <c r="O117" s="45"/>
      <c r="P117" s="52"/>
      <c r="Q117" s="45"/>
      <c r="R117" s="53"/>
      <c r="S117" s="90"/>
      <c r="T117" s="130"/>
      <c r="U117" s="131"/>
      <c r="V117" s="131"/>
      <c r="W117" s="131"/>
      <c r="X117" s="66"/>
      <c r="Y117" s="131"/>
      <c r="Z117" s="67"/>
      <c r="AA117" s="90"/>
      <c r="AB117" s="51"/>
      <c r="AC117" s="45"/>
      <c r="AD117" s="45"/>
      <c r="AE117" s="45"/>
      <c r="AF117" s="52"/>
      <c r="AG117" s="131"/>
      <c r="AH117" s="53"/>
      <c r="AI117" s="90"/>
      <c r="AJ117" s="130"/>
      <c r="AK117" s="131"/>
      <c r="AL117" s="131"/>
      <c r="AM117" s="131"/>
      <c r="AN117" s="66"/>
      <c r="AO117" s="131"/>
      <c r="AP117" s="67"/>
      <c r="AQ117" s="90"/>
      <c r="AR117" s="130"/>
      <c r="AS117" s="131"/>
      <c r="AT117" s="131"/>
      <c r="AU117" s="131"/>
      <c r="AV117" s="66"/>
      <c r="AW117" s="131"/>
      <c r="AX117" s="67"/>
      <c r="AY117" s="90"/>
      <c r="AZ117" s="130"/>
      <c r="BA117" s="131"/>
      <c r="BB117" s="131"/>
      <c r="BC117" s="131"/>
      <c r="BD117" s="66"/>
      <c r="BE117" s="131"/>
      <c r="BF117" s="67"/>
      <c r="BG117" s="90"/>
      <c r="BH117" s="130"/>
      <c r="BI117" s="131"/>
      <c r="BJ117" s="131"/>
      <c r="BK117" s="131"/>
      <c r="BL117" s="66"/>
      <c r="BM117" s="131"/>
      <c r="BN117" s="67"/>
      <c r="BO117" s="190"/>
      <c r="BP117" s="90"/>
      <c r="BQ117" s="130">
        <v>161000</v>
      </c>
      <c r="BR117" s="131">
        <v>45500</v>
      </c>
      <c r="BS117" s="131">
        <v>115500</v>
      </c>
      <c r="BT117" s="131">
        <v>115500</v>
      </c>
      <c r="BU117" s="52">
        <f t="shared" si="640"/>
        <v>0.28260869565217389</v>
      </c>
      <c r="BV117" s="131">
        <v>30100</v>
      </c>
      <c r="BW117" s="53">
        <f t="shared" si="641"/>
        <v>0.18695652173913044</v>
      </c>
      <c r="BX117" s="294">
        <f t="shared" ref="BX117:BX122" si="650">BT117*$A$126</f>
        <v>87780</v>
      </c>
      <c r="BY117" s="90"/>
      <c r="BZ117" s="309">
        <v>90000</v>
      </c>
      <c r="CA117" s="310">
        <v>8000</v>
      </c>
      <c r="CB117" s="310">
        <v>82000</v>
      </c>
      <c r="CC117" s="310">
        <v>82000</v>
      </c>
      <c r="CD117" s="111">
        <f t="shared" si="642"/>
        <v>8.8888888888888892E-2</v>
      </c>
      <c r="CE117" s="310">
        <v>18040</v>
      </c>
      <c r="CF117" s="113">
        <f t="shared" si="643"/>
        <v>0.20044444444444445</v>
      </c>
      <c r="CG117" s="294">
        <f>CC117*$A$126</f>
        <v>62320</v>
      </c>
      <c r="CH117" s="90"/>
      <c r="CI117" s="133"/>
      <c r="CJ117" s="134"/>
      <c r="CK117" s="134"/>
      <c r="CL117" s="134"/>
      <c r="CM117" s="121"/>
      <c r="CN117" s="134"/>
      <c r="CO117" s="122"/>
      <c r="CP117" s="90"/>
      <c r="CQ117" s="133"/>
      <c r="CR117" s="134"/>
      <c r="CS117" s="134"/>
      <c r="CT117" s="134"/>
      <c r="CU117" s="121"/>
      <c r="CV117" s="134"/>
      <c r="CW117" s="122"/>
      <c r="CX117" s="90"/>
      <c r="CY117" s="133"/>
      <c r="CZ117" s="134"/>
      <c r="DA117" s="134"/>
      <c r="DB117" s="134"/>
      <c r="DC117" s="121"/>
      <c r="DD117" s="134"/>
      <c r="DE117" s="122"/>
      <c r="DF117" s="6"/>
      <c r="DG117" s="289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</row>
    <row r="118" spans="1:135" s="7" customFormat="1" ht="13" customHeight="1">
      <c r="A118" s="330"/>
      <c r="B118" s="49" t="s">
        <v>41</v>
      </c>
      <c r="C118" s="282"/>
      <c r="D118" s="282"/>
      <c r="E118" s="282"/>
      <c r="F118" s="282"/>
      <c r="G118" s="14"/>
      <c r="H118" s="282"/>
      <c r="I118" s="14"/>
      <c r="J118" s="190"/>
      <c r="K118" s="90"/>
      <c r="L118" s="51"/>
      <c r="M118" s="45"/>
      <c r="N118" s="45"/>
      <c r="O118" s="45"/>
      <c r="P118" s="52"/>
      <c r="Q118" s="45"/>
      <c r="R118" s="53"/>
      <c r="S118" s="90"/>
      <c r="T118" s="130"/>
      <c r="U118" s="131"/>
      <c r="V118" s="131"/>
      <c r="W118" s="131"/>
      <c r="X118" s="66"/>
      <c r="Y118" s="131"/>
      <c r="Z118" s="67"/>
      <c r="AA118" s="90"/>
      <c r="AB118" s="51"/>
      <c r="AC118" s="45"/>
      <c r="AD118" s="45"/>
      <c r="AE118" s="45"/>
      <c r="AF118" s="52"/>
      <c r="AG118" s="131"/>
      <c r="AH118" s="53"/>
      <c r="AI118" s="90"/>
      <c r="AJ118" s="130"/>
      <c r="AK118" s="131"/>
      <c r="AL118" s="131"/>
      <c r="AM118" s="131"/>
      <c r="AN118" s="66"/>
      <c r="AO118" s="131"/>
      <c r="AP118" s="67"/>
      <c r="AQ118" s="90"/>
      <c r="AR118" s="130"/>
      <c r="AS118" s="131"/>
      <c r="AT118" s="131"/>
      <c r="AU118" s="131"/>
      <c r="AV118" s="66"/>
      <c r="AW118" s="131"/>
      <c r="AX118" s="67"/>
      <c r="AY118" s="90"/>
      <c r="AZ118" s="130"/>
      <c r="BA118" s="131"/>
      <c r="BB118" s="131"/>
      <c r="BC118" s="131"/>
      <c r="BD118" s="66"/>
      <c r="BE118" s="131"/>
      <c r="BF118" s="67"/>
      <c r="BG118" s="90"/>
      <c r="BH118" s="130"/>
      <c r="BI118" s="131"/>
      <c r="BJ118" s="131"/>
      <c r="BK118" s="131"/>
      <c r="BL118" s="66"/>
      <c r="BM118" s="131"/>
      <c r="BN118" s="67"/>
      <c r="BO118" s="190"/>
      <c r="BP118" s="90"/>
      <c r="BQ118" s="130">
        <v>69000</v>
      </c>
      <c r="BR118" s="131">
        <v>18900</v>
      </c>
      <c r="BS118" s="131">
        <v>50100</v>
      </c>
      <c r="BT118" s="131">
        <v>49500</v>
      </c>
      <c r="BU118" s="52">
        <f t="shared" si="640"/>
        <v>0.27391304347826084</v>
      </c>
      <c r="BV118" s="131">
        <v>12900</v>
      </c>
      <c r="BW118" s="53">
        <f t="shared" si="641"/>
        <v>0.18695652173913044</v>
      </c>
      <c r="BX118" s="294">
        <f t="shared" si="650"/>
        <v>37620</v>
      </c>
      <c r="BY118" s="90"/>
      <c r="BZ118" s="309">
        <v>55000</v>
      </c>
      <c r="CA118" s="310">
        <v>5320</v>
      </c>
      <c r="CB118" s="310">
        <v>49680</v>
      </c>
      <c r="CC118" s="310">
        <v>49680</v>
      </c>
      <c r="CD118" s="111">
        <f t="shared" si="642"/>
        <v>9.6727272727272731E-2</v>
      </c>
      <c r="CE118" s="310">
        <v>10929.6</v>
      </c>
      <c r="CF118" s="113">
        <f t="shared" si="643"/>
        <v>0.19872000000000001</v>
      </c>
      <c r="CG118" s="294">
        <f>CC118*$A$126</f>
        <v>37756.800000000003</v>
      </c>
      <c r="CH118" s="90"/>
      <c r="CI118" s="133"/>
      <c r="CJ118" s="134"/>
      <c r="CK118" s="134"/>
      <c r="CL118" s="134"/>
      <c r="CM118" s="121"/>
      <c r="CN118" s="134"/>
      <c r="CO118" s="122"/>
      <c r="CP118" s="90"/>
      <c r="CQ118" s="133"/>
      <c r="CR118" s="134"/>
      <c r="CS118" s="134"/>
      <c r="CT118" s="134"/>
      <c r="CU118" s="121"/>
      <c r="CV118" s="134"/>
      <c r="CW118" s="122"/>
      <c r="CX118" s="90"/>
      <c r="CY118" s="133"/>
      <c r="CZ118" s="134"/>
      <c r="DA118" s="134"/>
      <c r="DB118" s="134"/>
      <c r="DC118" s="121"/>
      <c r="DD118" s="134"/>
      <c r="DE118" s="122"/>
      <c r="DF118" s="6"/>
      <c r="DG118" s="289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</row>
    <row r="119" spans="1:135" s="7" customFormat="1" ht="13" customHeight="1">
      <c r="A119" s="330"/>
      <c r="B119" s="49" t="s">
        <v>42</v>
      </c>
      <c r="C119" s="282"/>
      <c r="D119" s="282"/>
      <c r="E119" s="282"/>
      <c r="F119" s="282"/>
      <c r="G119" s="14"/>
      <c r="H119" s="282"/>
      <c r="I119" s="14"/>
      <c r="J119" s="190"/>
      <c r="K119" s="90"/>
      <c r="L119" s="51"/>
      <c r="M119" s="45"/>
      <c r="N119" s="45"/>
      <c r="O119" s="45"/>
      <c r="P119" s="52"/>
      <c r="Q119" s="45"/>
      <c r="R119" s="53"/>
      <c r="S119" s="90"/>
      <c r="T119" s="130"/>
      <c r="U119" s="131"/>
      <c r="V119" s="131"/>
      <c r="W119" s="131"/>
      <c r="X119" s="66"/>
      <c r="Y119" s="131"/>
      <c r="Z119" s="67"/>
      <c r="AA119" s="90"/>
      <c r="AB119" s="51"/>
      <c r="AC119" s="45"/>
      <c r="AD119" s="45"/>
      <c r="AE119" s="45"/>
      <c r="AF119" s="52"/>
      <c r="AG119" s="131"/>
      <c r="AH119" s="53"/>
      <c r="AI119" s="90"/>
      <c r="AJ119" s="130"/>
      <c r="AK119" s="131"/>
      <c r="AL119" s="131"/>
      <c r="AM119" s="131"/>
      <c r="AN119" s="66"/>
      <c r="AO119" s="131"/>
      <c r="AP119" s="67"/>
      <c r="AQ119" s="90"/>
      <c r="AR119" s="130"/>
      <c r="AS119" s="131"/>
      <c r="AT119" s="131"/>
      <c r="AU119" s="131"/>
      <c r="AV119" s="66"/>
      <c r="AW119" s="131"/>
      <c r="AX119" s="67"/>
      <c r="AY119" s="90"/>
      <c r="AZ119" s="130"/>
      <c r="BA119" s="131"/>
      <c r="BB119" s="131"/>
      <c r="BC119" s="131"/>
      <c r="BD119" s="66"/>
      <c r="BE119" s="131"/>
      <c r="BF119" s="67"/>
      <c r="BG119" s="90"/>
      <c r="BH119" s="130"/>
      <c r="BI119" s="131"/>
      <c r="BJ119" s="131"/>
      <c r="BK119" s="131"/>
      <c r="BL119" s="66"/>
      <c r="BM119" s="131"/>
      <c r="BN119" s="67"/>
      <c r="BO119" s="190"/>
      <c r="BP119" s="90"/>
      <c r="BQ119" s="130"/>
      <c r="BR119" s="131"/>
      <c r="BS119" s="131"/>
      <c r="BT119" s="131"/>
      <c r="BU119" s="66"/>
      <c r="BV119" s="131"/>
      <c r="BW119" s="67"/>
      <c r="BX119" s="294">
        <f t="shared" si="650"/>
        <v>0</v>
      </c>
      <c r="BY119" s="90"/>
      <c r="BZ119" s="309"/>
      <c r="CA119" s="310">
        <v>0</v>
      </c>
      <c r="CB119" s="310"/>
      <c r="CC119" s="310"/>
      <c r="CD119" s="111" t="e">
        <f t="shared" si="642"/>
        <v>#DIV/0!</v>
      </c>
      <c r="CE119" s="310">
        <v>0</v>
      </c>
      <c r="CF119" s="113" t="e">
        <f t="shared" si="643"/>
        <v>#DIV/0!</v>
      </c>
      <c r="CG119" s="294">
        <f t="shared" ref="CG119" si="651">CC119*$A$126</f>
        <v>0</v>
      </c>
      <c r="CH119" s="90"/>
      <c r="CI119" s="133"/>
      <c r="CJ119" s="134"/>
      <c r="CK119" s="134"/>
      <c r="CL119" s="134"/>
      <c r="CM119" s="121"/>
      <c r="CN119" s="134"/>
      <c r="CO119" s="122"/>
      <c r="CP119" s="90"/>
      <c r="CQ119" s="133"/>
      <c r="CR119" s="134"/>
      <c r="CS119" s="134"/>
      <c r="CT119" s="134"/>
      <c r="CU119" s="121"/>
      <c r="CV119" s="134"/>
      <c r="CW119" s="122"/>
      <c r="CX119" s="90"/>
      <c r="CY119" s="133"/>
      <c r="CZ119" s="134"/>
      <c r="DA119" s="134"/>
      <c r="DB119" s="134"/>
      <c r="DC119" s="121"/>
      <c r="DD119" s="134"/>
      <c r="DE119" s="122"/>
      <c r="DF119" s="6"/>
      <c r="DG119" s="289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</row>
    <row r="120" spans="1:135" s="7" customFormat="1" ht="13" customHeight="1">
      <c r="A120" s="330"/>
      <c r="B120" s="49" t="s">
        <v>43</v>
      </c>
      <c r="C120" s="282"/>
      <c r="D120" s="282"/>
      <c r="E120" s="282"/>
      <c r="F120" s="282"/>
      <c r="G120" s="14"/>
      <c r="H120" s="282"/>
      <c r="I120" s="14"/>
      <c r="J120" s="190"/>
      <c r="K120" s="90"/>
      <c r="L120" s="51"/>
      <c r="M120" s="45"/>
      <c r="N120" s="45"/>
      <c r="O120" s="45"/>
      <c r="P120" s="52"/>
      <c r="Q120" s="45"/>
      <c r="R120" s="53"/>
      <c r="S120" s="90"/>
      <c r="T120" s="130"/>
      <c r="U120" s="131"/>
      <c r="V120" s="131"/>
      <c r="W120" s="131"/>
      <c r="X120" s="66"/>
      <c r="Y120" s="131"/>
      <c r="Z120" s="67"/>
      <c r="AA120" s="90"/>
      <c r="AB120" s="51"/>
      <c r="AC120" s="45"/>
      <c r="AD120" s="45"/>
      <c r="AE120" s="45"/>
      <c r="AF120" s="52"/>
      <c r="AG120" s="131"/>
      <c r="AH120" s="53"/>
      <c r="AI120" s="90"/>
      <c r="AJ120" s="130"/>
      <c r="AK120" s="131"/>
      <c r="AL120" s="131"/>
      <c r="AM120" s="131"/>
      <c r="AN120" s="66"/>
      <c r="AO120" s="131"/>
      <c r="AP120" s="67"/>
      <c r="AQ120" s="90"/>
      <c r="AR120" s="130"/>
      <c r="AS120" s="131"/>
      <c r="AT120" s="131"/>
      <c r="AU120" s="131"/>
      <c r="AV120" s="66"/>
      <c r="AW120" s="131"/>
      <c r="AX120" s="67"/>
      <c r="AY120" s="90"/>
      <c r="AZ120" s="130"/>
      <c r="BA120" s="131"/>
      <c r="BB120" s="131"/>
      <c r="BC120" s="131"/>
      <c r="BD120" s="66"/>
      <c r="BE120" s="131"/>
      <c r="BF120" s="67"/>
      <c r="BG120" s="90"/>
      <c r="BH120" s="130"/>
      <c r="BI120" s="131"/>
      <c r="BJ120" s="131"/>
      <c r="BK120" s="131"/>
      <c r="BL120" s="66"/>
      <c r="BM120" s="131"/>
      <c r="BN120" s="67"/>
      <c r="BO120" s="190"/>
      <c r="BP120" s="90"/>
      <c r="BQ120" s="130"/>
      <c r="BR120" s="131"/>
      <c r="BS120" s="131"/>
      <c r="BT120" s="131"/>
      <c r="BU120" s="66"/>
      <c r="BV120" s="131"/>
      <c r="BW120" s="67"/>
      <c r="BX120" s="294">
        <f t="shared" si="650"/>
        <v>0</v>
      </c>
      <c r="BY120" s="90"/>
      <c r="BZ120" s="309">
        <v>20000</v>
      </c>
      <c r="CA120" s="310">
        <v>3600</v>
      </c>
      <c r="CB120" s="310">
        <v>16400</v>
      </c>
      <c r="CC120" s="310">
        <v>16400</v>
      </c>
      <c r="CD120" s="111">
        <f t="shared" si="642"/>
        <v>0.18</v>
      </c>
      <c r="CE120" s="310">
        <v>3608</v>
      </c>
      <c r="CF120" s="113">
        <f t="shared" si="643"/>
        <v>0.1804</v>
      </c>
      <c r="CG120" s="294">
        <f>CC120*$A$126</f>
        <v>12464</v>
      </c>
      <c r="CH120" s="90"/>
      <c r="CI120" s="133"/>
      <c r="CJ120" s="134"/>
      <c r="CK120" s="134"/>
      <c r="CL120" s="134"/>
      <c r="CM120" s="121"/>
      <c r="CN120" s="134"/>
      <c r="CO120" s="122"/>
      <c r="CP120" s="90"/>
      <c r="CQ120" s="133"/>
      <c r="CR120" s="134"/>
      <c r="CS120" s="134"/>
      <c r="CT120" s="134"/>
      <c r="CU120" s="121"/>
      <c r="CV120" s="134"/>
      <c r="CW120" s="122"/>
      <c r="CX120" s="90"/>
      <c r="CY120" s="133"/>
      <c r="CZ120" s="134"/>
      <c r="DA120" s="134"/>
      <c r="DB120" s="134"/>
      <c r="DC120" s="121"/>
      <c r="DD120" s="134"/>
      <c r="DE120" s="122"/>
      <c r="DF120" s="6"/>
      <c r="DG120" s="289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</row>
    <row r="121" spans="1:135" s="11" customFormat="1" ht="13.15" customHeight="1">
      <c r="A121" s="330"/>
      <c r="B121" s="49" t="s">
        <v>14</v>
      </c>
      <c r="C121" s="282">
        <f t="shared" si="622"/>
        <v>4777957.784</v>
      </c>
      <c r="D121" s="282">
        <f t="shared" si="619"/>
        <v>1206171.6039999998</v>
      </c>
      <c r="E121" s="282">
        <f t="shared" si="620"/>
        <v>3571786.1799999997</v>
      </c>
      <c r="F121" s="282">
        <f t="shared" si="621"/>
        <v>3571786.1799999997</v>
      </c>
      <c r="G121" s="14">
        <f t="shared" si="623"/>
        <v>0.25244501071966774</v>
      </c>
      <c r="H121" s="282">
        <f t="shared" si="624"/>
        <v>1115629.68</v>
      </c>
      <c r="I121" s="14">
        <f>H121/C121</f>
        <v>0.23349508941580049</v>
      </c>
      <c r="J121" s="190">
        <f>F121*$A$126</f>
        <v>2714557.4967999998</v>
      </c>
      <c r="K121" s="106"/>
      <c r="L121" s="60">
        <v>133920</v>
      </c>
      <c r="M121" s="50">
        <v>25920</v>
      </c>
      <c r="N121" s="50">
        <v>108000</v>
      </c>
      <c r="O121" s="50">
        <v>108000</v>
      </c>
      <c r="P121" s="52">
        <f t="shared" si="626"/>
        <v>0.19354838709677419</v>
      </c>
      <c r="Q121" s="138">
        <v>0</v>
      </c>
      <c r="R121" s="53">
        <f>Q121/L121</f>
        <v>0</v>
      </c>
      <c r="S121" s="106"/>
      <c r="T121" s="145">
        <v>556003.071</v>
      </c>
      <c r="U121" s="146">
        <v>128308.40099999998</v>
      </c>
      <c r="V121" s="146">
        <v>427694.67</v>
      </c>
      <c r="W121" s="146">
        <v>427694.67</v>
      </c>
      <c r="X121" s="66">
        <f t="shared" si="628"/>
        <v>0.23076923076923075</v>
      </c>
      <c r="Y121" s="147">
        <v>150302</v>
      </c>
      <c r="Z121" s="67">
        <f>Y121/T121</f>
        <v>0.27032584501678047</v>
      </c>
      <c r="AA121" s="106"/>
      <c r="AB121" s="141">
        <v>620003.37100000004</v>
      </c>
      <c r="AC121" s="138">
        <v>143077.701</v>
      </c>
      <c r="AD121" s="138">
        <v>476925.67</v>
      </c>
      <c r="AE121" s="138">
        <v>476925.67</v>
      </c>
      <c r="AF121" s="66">
        <f t="shared" si="630"/>
        <v>0.23076923076923075</v>
      </c>
      <c r="AG121" s="138">
        <v>0</v>
      </c>
      <c r="AH121" s="67">
        <f>AG121/AB121</f>
        <v>0</v>
      </c>
      <c r="AI121" s="106"/>
      <c r="AJ121" s="141">
        <v>556003.071</v>
      </c>
      <c r="AK121" s="138">
        <v>128308.40099999998</v>
      </c>
      <c r="AL121" s="138">
        <v>427694.67</v>
      </c>
      <c r="AM121" s="138">
        <v>427694.67</v>
      </c>
      <c r="AN121" s="66">
        <f t="shared" si="632"/>
        <v>0.23076923076923075</v>
      </c>
      <c r="AO121" s="138">
        <v>212009</v>
      </c>
      <c r="AP121" s="67">
        <f>AO121/AJ121</f>
        <v>0.38130904496389012</v>
      </c>
      <c r="AQ121" s="106"/>
      <c r="AR121" s="141">
        <v>556003.071</v>
      </c>
      <c r="AS121" s="138">
        <v>128308.40099999998</v>
      </c>
      <c r="AT121" s="138">
        <v>427694.67</v>
      </c>
      <c r="AU121" s="138">
        <v>427694.67</v>
      </c>
      <c r="AV121" s="66">
        <f t="shared" si="634"/>
        <v>0.23076923076923075</v>
      </c>
      <c r="AW121" s="138">
        <v>220113</v>
      </c>
      <c r="AX121" s="67">
        <f>AW121/AR121</f>
        <v>0.39588450402641751</v>
      </c>
      <c r="AY121" s="106"/>
      <c r="AZ121" s="142">
        <v>556002.19999999995</v>
      </c>
      <c r="BA121" s="143">
        <v>128308.2</v>
      </c>
      <c r="BB121" s="143">
        <v>427694</v>
      </c>
      <c r="BC121" s="143">
        <v>427694</v>
      </c>
      <c r="BD121" s="66">
        <f t="shared" si="636"/>
        <v>0.23076923076923078</v>
      </c>
      <c r="BE121" s="143">
        <v>220113</v>
      </c>
      <c r="BF121" s="67">
        <f>BE121/AZ121</f>
        <v>0.39588512419555177</v>
      </c>
      <c r="BG121" s="106"/>
      <c r="BH121" s="60">
        <v>650000</v>
      </c>
      <c r="BI121" s="50">
        <v>165382.5</v>
      </c>
      <c r="BJ121" s="50">
        <v>484617.5</v>
      </c>
      <c r="BK121" s="50">
        <v>484617.5</v>
      </c>
      <c r="BL121" s="52">
        <f t="shared" si="638"/>
        <v>0.25443461538461537</v>
      </c>
      <c r="BM121" s="267">
        <v>120000</v>
      </c>
      <c r="BN121" s="53">
        <f>BM121/BH121</f>
        <v>0.18461538461538463</v>
      </c>
      <c r="BO121" s="190">
        <f>BK121*$A$126</f>
        <v>368309.3</v>
      </c>
      <c r="BP121" s="106"/>
      <c r="BQ121" s="60">
        <v>530023</v>
      </c>
      <c r="BR121" s="50">
        <v>206252</v>
      </c>
      <c r="BS121" s="50">
        <v>323771</v>
      </c>
      <c r="BT121" s="50">
        <v>323771</v>
      </c>
      <c r="BU121" s="52">
        <f t="shared" si="640"/>
        <v>0.38913782986776047</v>
      </c>
      <c r="BV121" s="50">
        <v>90200</v>
      </c>
      <c r="BW121" s="53">
        <f>BV121/BQ121</f>
        <v>0.17018129401931614</v>
      </c>
      <c r="BX121" s="294">
        <f t="shared" si="650"/>
        <v>246065.96</v>
      </c>
      <c r="BY121" s="106"/>
      <c r="BZ121" s="306">
        <v>620000</v>
      </c>
      <c r="CA121" s="307">
        <v>152306</v>
      </c>
      <c r="CB121" s="307">
        <v>467694</v>
      </c>
      <c r="CC121" s="307">
        <v>467694</v>
      </c>
      <c r="CD121" s="111">
        <f t="shared" si="642"/>
        <v>0.24565483870967741</v>
      </c>
      <c r="CE121" s="310">
        <v>102892.68000000001</v>
      </c>
      <c r="CF121" s="113">
        <f>CE121/BZ121</f>
        <v>0.16595593548387097</v>
      </c>
      <c r="CG121" s="294">
        <f>CC121*$A$126</f>
        <v>355447.44</v>
      </c>
      <c r="CH121" s="106"/>
      <c r="CI121" s="153"/>
      <c r="CJ121" s="150"/>
      <c r="CK121" s="150"/>
      <c r="CL121" s="150"/>
      <c r="CM121" s="111" t="e">
        <f t="shared" si="644"/>
        <v>#DIV/0!</v>
      </c>
      <c r="CN121" s="151"/>
      <c r="CO121" s="113" t="e">
        <f>CN121/CI121</f>
        <v>#DIV/0!</v>
      </c>
      <c r="CP121" s="106"/>
      <c r="CQ121" s="153"/>
      <c r="CR121" s="150"/>
      <c r="CS121" s="150"/>
      <c r="CT121" s="150"/>
      <c r="CU121" s="111" t="e">
        <f t="shared" si="646"/>
        <v>#DIV/0!</v>
      </c>
      <c r="CV121" s="151"/>
      <c r="CW121" s="113" t="e">
        <f>CV121/CQ121</f>
        <v>#DIV/0!</v>
      </c>
      <c r="CX121" s="106"/>
      <c r="CY121" s="153"/>
      <c r="CZ121" s="150"/>
      <c r="DA121" s="150"/>
      <c r="DB121" s="150"/>
      <c r="DC121" s="111" t="e">
        <f t="shared" si="648"/>
        <v>#DIV/0!</v>
      </c>
      <c r="DD121" s="151"/>
      <c r="DE121" s="113" t="e">
        <f>DD121/CY121</f>
        <v>#DIV/0!</v>
      </c>
      <c r="DF121" s="9"/>
      <c r="DG121" s="290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</row>
    <row r="122" spans="1:135" s="11" customFormat="1" ht="13.15" customHeight="1">
      <c r="A122" s="330"/>
      <c r="B122" s="49" t="s">
        <v>15</v>
      </c>
      <c r="C122" s="282">
        <f t="shared" si="622"/>
        <v>653040</v>
      </c>
      <c r="D122" s="282">
        <f t="shared" si="619"/>
        <v>72240</v>
      </c>
      <c r="E122" s="282">
        <f t="shared" si="620"/>
        <v>580800</v>
      </c>
      <c r="F122" s="282">
        <f t="shared" si="621"/>
        <v>580800</v>
      </c>
      <c r="G122" s="14">
        <f t="shared" si="623"/>
        <v>0.11062109518559353</v>
      </c>
      <c r="H122" s="282">
        <f t="shared" si="624"/>
        <v>7700</v>
      </c>
      <c r="I122" s="14">
        <f>H122/C122</f>
        <v>1.1791008207766752E-2</v>
      </c>
      <c r="J122" s="190">
        <f>F122*$A$126</f>
        <v>441408</v>
      </c>
      <c r="K122" s="106"/>
      <c r="L122" s="60">
        <v>0</v>
      </c>
      <c r="M122" s="50">
        <v>0</v>
      </c>
      <c r="N122" s="50">
        <v>0</v>
      </c>
      <c r="O122" s="50">
        <v>0</v>
      </c>
      <c r="P122" s="52" t="e">
        <f t="shared" si="626"/>
        <v>#DIV/0!</v>
      </c>
      <c r="Q122" s="138">
        <v>0</v>
      </c>
      <c r="R122" s="53" t="e">
        <f>Q122/L122</f>
        <v>#DIV/0!</v>
      </c>
      <c r="S122" s="106"/>
      <c r="T122" s="145">
        <v>183040</v>
      </c>
      <c r="U122" s="146">
        <v>42240</v>
      </c>
      <c r="V122" s="146">
        <v>140800</v>
      </c>
      <c r="W122" s="146">
        <v>140800</v>
      </c>
      <c r="X122" s="66">
        <f t="shared" si="628"/>
        <v>0.23076923076923078</v>
      </c>
      <c r="Y122" s="147">
        <v>0</v>
      </c>
      <c r="Z122" s="67">
        <f>Y122/T122</f>
        <v>0</v>
      </c>
      <c r="AA122" s="106"/>
      <c r="AB122" s="141">
        <v>67000</v>
      </c>
      <c r="AC122" s="138">
        <v>0</v>
      </c>
      <c r="AD122" s="138">
        <v>67000</v>
      </c>
      <c r="AE122" s="138">
        <v>67000</v>
      </c>
      <c r="AF122" s="66">
        <f t="shared" si="630"/>
        <v>0</v>
      </c>
      <c r="AG122" s="138">
        <v>0</v>
      </c>
      <c r="AH122" s="67">
        <f>AG122/AB122</f>
        <v>0</v>
      </c>
      <c r="AI122" s="106"/>
      <c r="AJ122" s="141">
        <v>134000</v>
      </c>
      <c r="AK122" s="138"/>
      <c r="AL122" s="138">
        <v>134000</v>
      </c>
      <c r="AM122" s="138">
        <v>134000</v>
      </c>
      <c r="AN122" s="66">
        <f t="shared" si="632"/>
        <v>0</v>
      </c>
      <c r="AO122" s="138">
        <v>0</v>
      </c>
      <c r="AP122" s="67">
        <f>AO122/AJ122</f>
        <v>0</v>
      </c>
      <c r="AQ122" s="106"/>
      <c r="AR122" s="141">
        <v>124000</v>
      </c>
      <c r="AS122" s="138">
        <v>0</v>
      </c>
      <c r="AT122" s="138">
        <v>124000</v>
      </c>
      <c r="AU122" s="138">
        <v>124000</v>
      </c>
      <c r="AV122" s="66">
        <f t="shared" si="634"/>
        <v>0</v>
      </c>
      <c r="AW122" s="138">
        <v>0</v>
      </c>
      <c r="AX122" s="67">
        <f>AW122/AR122</f>
        <v>0</v>
      </c>
      <c r="AY122" s="106"/>
      <c r="AZ122" s="142">
        <v>0</v>
      </c>
      <c r="BA122" s="143">
        <v>0</v>
      </c>
      <c r="BB122" s="143">
        <v>0</v>
      </c>
      <c r="BC122" s="143">
        <v>0</v>
      </c>
      <c r="BD122" s="66" t="e">
        <f t="shared" si="636"/>
        <v>#DIV/0!</v>
      </c>
      <c r="BE122" s="143"/>
      <c r="BF122" s="67" t="e">
        <f>BE122/AZ122</f>
        <v>#DIV/0!</v>
      </c>
      <c r="BG122" s="106"/>
      <c r="BH122" s="60">
        <v>90000</v>
      </c>
      <c r="BI122" s="50">
        <v>10000</v>
      </c>
      <c r="BJ122" s="50">
        <v>80000</v>
      </c>
      <c r="BK122" s="50">
        <v>80000</v>
      </c>
      <c r="BL122" s="52">
        <f t="shared" si="638"/>
        <v>0.1111111111111111</v>
      </c>
      <c r="BM122" s="267"/>
      <c r="BN122" s="53">
        <f>BM122/BH122</f>
        <v>0</v>
      </c>
      <c r="BO122" s="190">
        <f>BK122*$A$126</f>
        <v>60800</v>
      </c>
      <c r="BP122" s="106"/>
      <c r="BQ122" s="60"/>
      <c r="BR122" s="50"/>
      <c r="BS122" s="50"/>
      <c r="BT122" s="50"/>
      <c r="BU122" s="52" t="e">
        <f t="shared" si="640"/>
        <v>#DIV/0!</v>
      </c>
      <c r="BV122" s="50"/>
      <c r="BW122" s="53" t="e">
        <f>BV122/BQ122</f>
        <v>#DIV/0!</v>
      </c>
      <c r="BX122" s="294">
        <f t="shared" si="650"/>
        <v>0</v>
      </c>
      <c r="BY122" s="106"/>
      <c r="BZ122" s="306">
        <v>55000</v>
      </c>
      <c r="CA122" s="307">
        <v>20000</v>
      </c>
      <c r="CB122" s="307">
        <v>35000</v>
      </c>
      <c r="CC122" s="307">
        <v>35000</v>
      </c>
      <c r="CD122" s="111">
        <f t="shared" si="642"/>
        <v>0.36363636363636365</v>
      </c>
      <c r="CE122" s="310">
        <v>7700</v>
      </c>
      <c r="CF122" s="113">
        <f>CE122/BZ122</f>
        <v>0.14000000000000001</v>
      </c>
      <c r="CG122" s="294">
        <f>CC122*$A$126</f>
        <v>26600</v>
      </c>
      <c r="CH122" s="106"/>
      <c r="CI122" s="153"/>
      <c r="CJ122" s="150"/>
      <c r="CK122" s="150"/>
      <c r="CL122" s="150"/>
      <c r="CM122" s="111" t="e">
        <f t="shared" si="644"/>
        <v>#DIV/0!</v>
      </c>
      <c r="CN122" s="151"/>
      <c r="CO122" s="113" t="e">
        <f>CN122/CI122</f>
        <v>#DIV/0!</v>
      </c>
      <c r="CP122" s="106"/>
      <c r="CQ122" s="153"/>
      <c r="CR122" s="150"/>
      <c r="CS122" s="150"/>
      <c r="CT122" s="150"/>
      <c r="CU122" s="111" t="e">
        <f t="shared" si="646"/>
        <v>#DIV/0!</v>
      </c>
      <c r="CV122" s="151"/>
      <c r="CW122" s="113" t="e">
        <f>CV122/CQ122</f>
        <v>#DIV/0!</v>
      </c>
      <c r="CX122" s="106"/>
      <c r="CY122" s="153"/>
      <c r="CZ122" s="150"/>
      <c r="DA122" s="150"/>
      <c r="DB122" s="150"/>
      <c r="DC122" s="111" t="e">
        <f t="shared" si="648"/>
        <v>#DIV/0!</v>
      </c>
      <c r="DD122" s="151"/>
      <c r="DE122" s="113" t="e">
        <f>DD122/CY122</f>
        <v>#DIV/0!</v>
      </c>
      <c r="DF122" s="9"/>
      <c r="DG122" s="290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</row>
    <row r="123" spans="1:135" s="11" customFormat="1" ht="13.15" customHeight="1">
      <c r="A123" s="330"/>
      <c r="B123" s="49" t="s">
        <v>16</v>
      </c>
      <c r="C123" s="282">
        <f t="shared" si="622"/>
        <v>3290724.64</v>
      </c>
      <c r="D123" s="282">
        <f t="shared" si="619"/>
        <v>733577.6399999999</v>
      </c>
      <c r="E123" s="282">
        <f t="shared" si="620"/>
        <v>2557147</v>
      </c>
      <c r="F123" s="282">
        <f t="shared" si="621"/>
        <v>2557147</v>
      </c>
      <c r="G123" s="14">
        <f t="shared" si="623"/>
        <v>0.2229228271132403</v>
      </c>
      <c r="H123" s="282">
        <f t="shared" si="624"/>
        <v>483689.89</v>
      </c>
      <c r="I123" s="14">
        <f t="shared" ref="I123:I124" si="652">H123/C123</f>
        <v>0.14698582923668752</v>
      </c>
      <c r="J123" s="190">
        <f>F123*$A$126</f>
        <v>1943431.72</v>
      </c>
      <c r="K123" s="106"/>
      <c r="L123" s="60">
        <v>126525.88</v>
      </c>
      <c r="M123" s="50">
        <v>24488.879999999997</v>
      </c>
      <c r="N123" s="50">
        <v>102037</v>
      </c>
      <c r="O123" s="50">
        <v>102037</v>
      </c>
      <c r="P123" s="52">
        <f t="shared" si="626"/>
        <v>0.19354838709677416</v>
      </c>
      <c r="Q123" s="138">
        <v>0</v>
      </c>
      <c r="R123" s="53">
        <f t="shared" ref="R123" si="653">Q123/L123</f>
        <v>0</v>
      </c>
      <c r="S123" s="106"/>
      <c r="T123" s="145">
        <v>363804.83999999997</v>
      </c>
      <c r="U123" s="146">
        <v>70413.84</v>
      </c>
      <c r="V123" s="146">
        <v>293391</v>
      </c>
      <c r="W123" s="146">
        <v>293391</v>
      </c>
      <c r="X123" s="66">
        <f t="shared" si="628"/>
        <v>0.19354838709677419</v>
      </c>
      <c r="Y123" s="147">
        <v>73347.75</v>
      </c>
      <c r="Z123" s="67">
        <f t="shared" ref="Z123" si="654">Y123/T123</f>
        <v>0.20161290322580647</v>
      </c>
      <c r="AA123" s="106"/>
      <c r="AB123" s="141">
        <v>470229.08</v>
      </c>
      <c r="AC123" s="138">
        <v>91012.08</v>
      </c>
      <c r="AD123" s="138">
        <v>379217</v>
      </c>
      <c r="AE123" s="138">
        <v>379217</v>
      </c>
      <c r="AF123" s="66">
        <f t="shared" si="630"/>
        <v>0.19354838709677419</v>
      </c>
      <c r="AG123" s="138">
        <v>48000</v>
      </c>
      <c r="AH123" s="67">
        <f t="shared" ref="AH123" si="655">AG123/AB123</f>
        <v>0.10207790636852999</v>
      </c>
      <c r="AI123" s="106"/>
      <c r="AJ123" s="141">
        <v>261487.47999999998</v>
      </c>
      <c r="AK123" s="138">
        <v>50610.479999999996</v>
      </c>
      <c r="AL123" s="138">
        <v>210877</v>
      </c>
      <c r="AM123" s="138">
        <v>210877</v>
      </c>
      <c r="AN123" s="66">
        <f t="shared" si="632"/>
        <v>0.19354838709677419</v>
      </c>
      <c r="AO123" s="138">
        <v>48000</v>
      </c>
      <c r="AP123" s="67">
        <f t="shared" ref="AP123" si="656">AO123/AJ123</f>
        <v>0.18356519401999669</v>
      </c>
      <c r="AQ123" s="106"/>
      <c r="AR123" s="141">
        <v>261487.47999999998</v>
      </c>
      <c r="AS123" s="138">
        <v>50610.479999999996</v>
      </c>
      <c r="AT123" s="138">
        <v>210877</v>
      </c>
      <c r="AU123" s="138">
        <v>210877</v>
      </c>
      <c r="AV123" s="66">
        <f t="shared" si="634"/>
        <v>0.19354838709677419</v>
      </c>
      <c r="AW123" s="138">
        <v>48000</v>
      </c>
      <c r="AX123" s="67">
        <f t="shared" ref="AX123" si="657">AW123/AR123</f>
        <v>0.18356519401999669</v>
      </c>
      <c r="AY123" s="106"/>
      <c r="AZ123" s="142">
        <v>447189.88</v>
      </c>
      <c r="BA123" s="143">
        <v>86552.87999999999</v>
      </c>
      <c r="BB123" s="143">
        <v>360637</v>
      </c>
      <c r="BC123" s="143">
        <v>360637</v>
      </c>
      <c r="BD123" s="66">
        <f t="shared" si="636"/>
        <v>0.19354838709677416</v>
      </c>
      <c r="BE123" s="143">
        <v>48000</v>
      </c>
      <c r="BF123" s="67">
        <f t="shared" ref="BF123" si="658">BE123/AZ123</f>
        <v>0.10733695494182471</v>
      </c>
      <c r="BG123" s="106"/>
      <c r="BH123" s="60">
        <v>420000</v>
      </c>
      <c r="BI123" s="50">
        <v>59363</v>
      </c>
      <c r="BJ123" s="50">
        <v>360637</v>
      </c>
      <c r="BK123" s="50">
        <v>360637</v>
      </c>
      <c r="BL123" s="52">
        <f t="shared" si="638"/>
        <v>0.14134047619047618</v>
      </c>
      <c r="BM123" s="267">
        <v>72000</v>
      </c>
      <c r="BN123" s="53">
        <f t="shared" ref="BN123" si="659">BM123/BH123</f>
        <v>0.17142857142857143</v>
      </c>
      <c r="BO123" s="190">
        <f>BK123*$A$126</f>
        <v>274084.12</v>
      </c>
      <c r="BP123" s="106"/>
      <c r="BQ123" s="60">
        <v>400000</v>
      </c>
      <c r="BR123" s="50">
        <v>80263</v>
      </c>
      <c r="BS123" s="50">
        <v>319737</v>
      </c>
      <c r="BT123" s="50">
        <v>319737</v>
      </c>
      <c r="BU123" s="52">
        <f t="shared" si="640"/>
        <v>0.20065749999999999</v>
      </c>
      <c r="BV123" s="50">
        <v>76000</v>
      </c>
      <c r="BW123" s="53">
        <f t="shared" ref="BW123" si="660">BV123/BQ123</f>
        <v>0.19</v>
      </c>
      <c r="BX123" s="294">
        <f>BT123*$A$126</f>
        <v>243000.12</v>
      </c>
      <c r="BY123" s="106"/>
      <c r="BZ123" s="306">
        <v>540000</v>
      </c>
      <c r="CA123" s="307">
        <v>220263</v>
      </c>
      <c r="CB123" s="307">
        <v>319737</v>
      </c>
      <c r="CC123" s="307">
        <v>319737</v>
      </c>
      <c r="CD123" s="111">
        <f t="shared" si="642"/>
        <v>0.40789444444444445</v>
      </c>
      <c r="CE123" s="310">
        <v>70342.14</v>
      </c>
      <c r="CF123" s="113">
        <f t="shared" ref="CF123" si="661">CE123/BZ123</f>
        <v>0.13026322222222222</v>
      </c>
      <c r="CG123" s="294">
        <f>CC123*$A$126</f>
        <v>243000.12</v>
      </c>
      <c r="CH123" s="106"/>
      <c r="CI123" s="153"/>
      <c r="CJ123" s="150"/>
      <c r="CK123" s="150"/>
      <c r="CL123" s="150"/>
      <c r="CM123" s="111" t="e">
        <f t="shared" si="644"/>
        <v>#DIV/0!</v>
      </c>
      <c r="CN123" s="151"/>
      <c r="CO123" s="113" t="e">
        <f t="shared" ref="CO123" si="662">CN123/CI123</f>
        <v>#DIV/0!</v>
      </c>
      <c r="CP123" s="106"/>
      <c r="CQ123" s="153"/>
      <c r="CR123" s="150"/>
      <c r="CS123" s="150"/>
      <c r="CT123" s="150"/>
      <c r="CU123" s="111" t="e">
        <f t="shared" si="646"/>
        <v>#DIV/0!</v>
      </c>
      <c r="CV123" s="151"/>
      <c r="CW123" s="113" t="e">
        <f t="shared" ref="CW123" si="663">CV123/CQ123</f>
        <v>#DIV/0!</v>
      </c>
      <c r="CX123" s="106"/>
      <c r="CY123" s="153"/>
      <c r="CZ123" s="150"/>
      <c r="DA123" s="150"/>
      <c r="DB123" s="150"/>
      <c r="DC123" s="111" t="e">
        <f t="shared" si="648"/>
        <v>#DIV/0!</v>
      </c>
      <c r="DD123" s="151"/>
      <c r="DE123" s="113" t="e">
        <f t="shared" ref="DE123" si="664">DD123/CY123</f>
        <v>#DIV/0!</v>
      </c>
      <c r="DF123" s="9"/>
      <c r="DG123" s="290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</row>
    <row r="124" spans="1:135" s="11" customFormat="1" ht="13.15" customHeight="1">
      <c r="A124" s="330"/>
      <c r="B124" s="49" t="s">
        <v>17</v>
      </c>
      <c r="C124" s="282">
        <f t="shared" si="622"/>
        <v>1766426.68</v>
      </c>
      <c r="D124" s="282">
        <f t="shared" si="619"/>
        <v>533469.67999999993</v>
      </c>
      <c r="E124" s="282">
        <f t="shared" si="620"/>
        <v>1232957</v>
      </c>
      <c r="F124" s="282">
        <f t="shared" si="621"/>
        <v>1232957</v>
      </c>
      <c r="G124" s="14">
        <f t="shared" si="623"/>
        <v>0.30200499462564728</v>
      </c>
      <c r="H124" s="282">
        <f t="shared" si="624"/>
        <v>886959.66826499999</v>
      </c>
      <c r="I124" s="14">
        <f t="shared" si="652"/>
        <v>0.50212085126850559</v>
      </c>
      <c r="J124" s="190">
        <f>F124*$A$126</f>
        <v>937047.32000000007</v>
      </c>
      <c r="K124" s="106"/>
      <c r="L124" s="60">
        <v>0</v>
      </c>
      <c r="M124" s="50">
        <v>0</v>
      </c>
      <c r="N124" s="50">
        <v>0</v>
      </c>
      <c r="O124" s="50">
        <v>0</v>
      </c>
      <c r="P124" s="52" t="e">
        <f t="shared" si="626"/>
        <v>#DIV/0!</v>
      </c>
      <c r="Q124" s="138">
        <v>33412</v>
      </c>
      <c r="R124" s="53" t="e">
        <f>Q124/L124</f>
        <v>#DIV/0!</v>
      </c>
      <c r="S124" s="106"/>
      <c r="T124" s="145">
        <v>254595.56</v>
      </c>
      <c r="U124" s="146">
        <v>49276.56</v>
      </c>
      <c r="V124" s="146">
        <v>205319</v>
      </c>
      <c r="W124" s="146">
        <v>205319</v>
      </c>
      <c r="X124" s="66">
        <f t="shared" si="628"/>
        <v>0.19354838709677419</v>
      </c>
      <c r="Y124" s="147">
        <v>106923.668265</v>
      </c>
      <c r="Z124" s="67">
        <f>Y124/T124</f>
        <v>0.41997459918389779</v>
      </c>
      <c r="AA124" s="106"/>
      <c r="AB124" s="141">
        <v>254595.56</v>
      </c>
      <c r="AC124" s="138">
        <v>49276.56</v>
      </c>
      <c r="AD124" s="138">
        <v>205319</v>
      </c>
      <c r="AE124" s="138">
        <v>205319</v>
      </c>
      <c r="AF124" s="66">
        <f t="shared" si="630"/>
        <v>0.19354838709677419</v>
      </c>
      <c r="AG124" s="138">
        <v>112112</v>
      </c>
      <c r="AH124" s="67">
        <f>AG124/AB124</f>
        <v>0.4403533195944187</v>
      </c>
      <c r="AI124" s="106"/>
      <c r="AJ124" s="141">
        <v>254595.56</v>
      </c>
      <c r="AK124" s="138">
        <v>49276.56</v>
      </c>
      <c r="AL124" s="138">
        <v>205319</v>
      </c>
      <c r="AM124" s="138">
        <v>205319</v>
      </c>
      <c r="AN124" s="66">
        <f t="shared" si="632"/>
        <v>0.19354838709677419</v>
      </c>
      <c r="AO124" s="138">
        <v>112112</v>
      </c>
      <c r="AP124" s="67">
        <f>AO124/AJ124</f>
        <v>0.4403533195944187</v>
      </c>
      <c r="AQ124" s="106"/>
      <c r="AR124" s="141">
        <v>200880</v>
      </c>
      <c r="AS124" s="138">
        <v>38880</v>
      </c>
      <c r="AT124" s="138">
        <v>162000</v>
      </c>
      <c r="AU124" s="138">
        <v>162000</v>
      </c>
      <c r="AV124" s="66">
        <f t="shared" si="634"/>
        <v>0.19354838709677419</v>
      </c>
      <c r="AW124" s="138">
        <v>60200</v>
      </c>
      <c r="AX124" s="67">
        <f>AW124/AR124</f>
        <v>0.29968140183193948</v>
      </c>
      <c r="AY124" s="106"/>
      <c r="AZ124" s="142">
        <v>253760</v>
      </c>
      <c r="BA124" s="143">
        <v>60760</v>
      </c>
      <c r="BB124" s="143">
        <v>193000</v>
      </c>
      <c r="BC124" s="143">
        <v>193000</v>
      </c>
      <c r="BD124" s="66">
        <f t="shared" si="636"/>
        <v>0.23943883984867592</v>
      </c>
      <c r="BE124" s="143">
        <v>60200</v>
      </c>
      <c r="BF124" s="67">
        <f>BE124/AZ124</f>
        <v>0.23723203026481715</v>
      </c>
      <c r="BG124" s="106"/>
      <c r="BH124" s="60">
        <v>190000</v>
      </c>
      <c r="BI124" s="50">
        <v>59000</v>
      </c>
      <c r="BJ124" s="50">
        <v>131000</v>
      </c>
      <c r="BK124" s="50">
        <v>131000</v>
      </c>
      <c r="BL124" s="52">
        <f t="shared" si="638"/>
        <v>0.31052631578947371</v>
      </c>
      <c r="BM124" s="267">
        <v>200000</v>
      </c>
      <c r="BN124" s="53">
        <f>BM124/BH124</f>
        <v>1.0526315789473684</v>
      </c>
      <c r="BO124" s="190">
        <f>BK124*$A$126</f>
        <v>99560</v>
      </c>
      <c r="BP124" s="106"/>
      <c r="BQ124" s="60">
        <v>196000</v>
      </c>
      <c r="BR124" s="50">
        <v>65000</v>
      </c>
      <c r="BS124" s="50">
        <v>131000</v>
      </c>
      <c r="BT124" s="50">
        <v>131000</v>
      </c>
      <c r="BU124" s="52">
        <f t="shared" si="640"/>
        <v>0.33163265306122447</v>
      </c>
      <c r="BV124" s="50">
        <v>40000</v>
      </c>
      <c r="BW124" s="53">
        <f>BV124/BQ124</f>
        <v>0.20408163265306123</v>
      </c>
      <c r="BX124" s="294">
        <f>BT124*$A$126</f>
        <v>99560</v>
      </c>
      <c r="BY124" s="106"/>
      <c r="BZ124" s="306">
        <v>162000</v>
      </c>
      <c r="CA124" s="307">
        <v>162000</v>
      </c>
      <c r="CB124" s="307">
        <v>0</v>
      </c>
      <c r="CC124" s="307">
        <v>0</v>
      </c>
      <c r="CD124" s="111">
        <f t="shared" si="642"/>
        <v>1</v>
      </c>
      <c r="CE124" s="310">
        <v>162000</v>
      </c>
      <c r="CF124" s="113">
        <f>CE124/BZ124</f>
        <v>1</v>
      </c>
      <c r="CG124" s="294">
        <f>CC124*$A$126</f>
        <v>0</v>
      </c>
      <c r="CH124" s="106"/>
      <c r="CI124" s="153"/>
      <c r="CJ124" s="150"/>
      <c r="CK124" s="150"/>
      <c r="CL124" s="150"/>
      <c r="CM124" s="111" t="e">
        <f t="shared" si="644"/>
        <v>#DIV/0!</v>
      </c>
      <c r="CN124" s="151"/>
      <c r="CO124" s="113" t="e">
        <f>CN124/CI124</f>
        <v>#DIV/0!</v>
      </c>
      <c r="CP124" s="106"/>
      <c r="CQ124" s="153"/>
      <c r="CR124" s="150"/>
      <c r="CS124" s="150"/>
      <c r="CT124" s="150"/>
      <c r="CU124" s="111" t="e">
        <f t="shared" si="646"/>
        <v>#DIV/0!</v>
      </c>
      <c r="CV124" s="151"/>
      <c r="CW124" s="113" t="e">
        <f>CV124/CQ124</f>
        <v>#DIV/0!</v>
      </c>
      <c r="CX124" s="106"/>
      <c r="CY124" s="153"/>
      <c r="CZ124" s="150"/>
      <c r="DA124" s="150"/>
      <c r="DB124" s="150"/>
      <c r="DC124" s="111" t="e">
        <f t="shared" si="648"/>
        <v>#DIV/0!</v>
      </c>
      <c r="DD124" s="151"/>
      <c r="DE124" s="113" t="e">
        <f>DD124/CY124</f>
        <v>#DIV/0!</v>
      </c>
      <c r="DF124" s="9"/>
      <c r="DG124" s="290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</row>
    <row r="125" spans="1:135" s="25" customFormat="1" ht="13" customHeight="1">
      <c r="A125" s="330"/>
      <c r="B125" s="171" t="s">
        <v>18</v>
      </c>
      <c r="C125" s="283">
        <f>SUM(C114:C124)</f>
        <v>17233267.704</v>
      </c>
      <c r="D125" s="283">
        <f>SUM(D114:D124)</f>
        <v>3563902.5239999993</v>
      </c>
      <c r="E125" s="283">
        <f>SUM(E114:E124)</f>
        <v>13699801.18</v>
      </c>
      <c r="F125" s="283">
        <f>SUM(F114:F124)</f>
        <v>13685281.18</v>
      </c>
      <c r="G125" s="15">
        <f>D125/C125</f>
        <v>0.20680364195658521</v>
      </c>
      <c r="H125" s="283">
        <f>SUM(H114:H124)</f>
        <v>3610114.2382649998</v>
      </c>
      <c r="I125" s="15">
        <f>H125/C125</f>
        <v>0.20948518297705426</v>
      </c>
      <c r="J125" s="195" t="b">
        <f>J126=F126</f>
        <v>1</v>
      </c>
      <c r="K125" s="107"/>
      <c r="L125" s="181">
        <f>SUM(L114:L124)</f>
        <v>848584.08</v>
      </c>
      <c r="M125" s="174">
        <f>SUM(M114:M124)</f>
        <v>164242.08000000002</v>
      </c>
      <c r="N125" s="174">
        <f>SUM(N114:N124)</f>
        <v>684342</v>
      </c>
      <c r="O125" s="174">
        <f>SUM(O114:O124)</f>
        <v>684342</v>
      </c>
      <c r="P125" s="15">
        <f>M125/L125</f>
        <v>0.19354838709677422</v>
      </c>
      <c r="Q125" s="174">
        <f>SUM(Q114:Q124)</f>
        <v>123412</v>
      </c>
      <c r="R125" s="62">
        <f>Q125/L125</f>
        <v>0.14543284856345645</v>
      </c>
      <c r="S125" s="107"/>
      <c r="T125" s="183">
        <f>SUM(T114:T124)</f>
        <v>1915443.4709999999</v>
      </c>
      <c r="U125" s="182">
        <f>SUM(U114:U124)</f>
        <v>398238.80099999992</v>
      </c>
      <c r="V125" s="182">
        <f>SUM(V114:V124)</f>
        <v>1517204.67</v>
      </c>
      <c r="W125" s="182">
        <f>SUM(W114:W124)</f>
        <v>1517204.67</v>
      </c>
      <c r="X125" s="15">
        <f>U125/T125</f>
        <v>0.20790945127296839</v>
      </c>
      <c r="Y125" s="182">
        <f>SUM(Y114:Y124)</f>
        <v>443073.41826499999</v>
      </c>
      <c r="Z125" s="62">
        <f>Y125/T125</f>
        <v>0.2313163635331319</v>
      </c>
      <c r="AA125" s="107"/>
      <c r="AB125" s="161">
        <f>SUM(AB114:AB124)</f>
        <v>2113274.0109999999</v>
      </c>
      <c r="AC125" s="159">
        <f>SUM(AC114:AC124)</f>
        <v>391366.34100000001</v>
      </c>
      <c r="AD125" s="159">
        <f>SUM(AD114:AD124)</f>
        <v>1721907.67</v>
      </c>
      <c r="AE125" s="159">
        <f>SUM(AE114:AE124)</f>
        <v>1721907.67</v>
      </c>
      <c r="AF125" s="15">
        <f>AC125/AB125</f>
        <v>0.18519431884500662</v>
      </c>
      <c r="AG125" s="159">
        <f>SUM(AG114:AG124)</f>
        <v>298112</v>
      </c>
      <c r="AH125" s="62">
        <f>AG125/AB125</f>
        <v>0.14106642037344394</v>
      </c>
      <c r="AI125" s="107"/>
      <c r="AJ125" s="161">
        <f>SUM(AJ114:AJ124)</f>
        <v>1974386.111</v>
      </c>
      <c r="AK125" s="159">
        <f>SUM(AK114:AK124)</f>
        <v>336195.44099999999</v>
      </c>
      <c r="AL125" s="159">
        <f>SUM(AL114:AL124)</f>
        <v>1638190.67</v>
      </c>
      <c r="AM125" s="159">
        <f>SUM(AM114:AM124)</f>
        <v>1638190.67</v>
      </c>
      <c r="AN125" s="15">
        <f>AK125/AJ125</f>
        <v>0.17027846738129732</v>
      </c>
      <c r="AO125" s="159">
        <f>SUM(AO114:AO124)</f>
        <v>505250</v>
      </c>
      <c r="AP125" s="62">
        <f>AO125/AJ125</f>
        <v>0.25590232689800357</v>
      </c>
      <c r="AQ125" s="107"/>
      <c r="AR125" s="161">
        <f>SUM(AR114:AR124)</f>
        <v>1709070.551</v>
      </c>
      <c r="AS125" s="159">
        <f t="shared" ref="AS125:AU125" si="665">SUM(AS114:AS124)</f>
        <v>325798.88099999999</v>
      </c>
      <c r="AT125" s="159">
        <f t="shared" si="665"/>
        <v>1383271.67</v>
      </c>
      <c r="AU125" s="159">
        <f t="shared" si="665"/>
        <v>1383271.67</v>
      </c>
      <c r="AV125" s="15">
        <f>AS125/AR125</f>
        <v>0.19062927554943282</v>
      </c>
      <c r="AW125" s="159">
        <f>SUM(AW114:AW124)</f>
        <v>440536</v>
      </c>
      <c r="AX125" s="62">
        <f>AW125/AR125</f>
        <v>0.25776349592018688</v>
      </c>
      <c r="AY125" s="107"/>
      <c r="AZ125" s="86">
        <f>SUM(AZ114:AZ124)</f>
        <v>2188486.48</v>
      </c>
      <c r="BA125" s="87">
        <f t="shared" ref="BA125" si="666">SUM(BA114:BA124)</f>
        <v>432431.48</v>
      </c>
      <c r="BB125" s="87">
        <f t="shared" ref="BB125" si="667">SUM(BB114:BB124)</f>
        <v>1786491</v>
      </c>
      <c r="BC125" s="87">
        <f t="shared" ref="BC125" si="668">SUM(BC114:BC124)</f>
        <v>1786491</v>
      </c>
      <c r="BD125" s="15">
        <f>BA125/AZ125</f>
        <v>0.19759385490926129</v>
      </c>
      <c r="BE125" s="87">
        <f>SUM(BE114:BE124)</f>
        <v>440536</v>
      </c>
      <c r="BF125" s="62">
        <f>BE125/AZ125</f>
        <v>0.20129710831021447</v>
      </c>
      <c r="BG125" s="107"/>
      <c r="BH125" s="161">
        <f>SUM(BH114:BH124)</f>
        <v>2330000</v>
      </c>
      <c r="BI125" s="159">
        <f t="shared" ref="BI125" si="669">SUM(BI114:BI124)</f>
        <v>396145.5</v>
      </c>
      <c r="BJ125" s="159">
        <f t="shared" ref="BJ125" si="670">SUM(BJ114:BJ124)</f>
        <v>1933854.5</v>
      </c>
      <c r="BK125" s="159">
        <f t="shared" ref="BK125" si="671">SUM(BK114:BK124)</f>
        <v>1933854.5</v>
      </c>
      <c r="BL125" s="15">
        <f>BI125/BH125</f>
        <v>0.1700195278969957</v>
      </c>
      <c r="BM125" s="159">
        <f>SUM(BM114:BM124)</f>
        <v>502520</v>
      </c>
      <c r="BN125" s="62">
        <f>BM125/BH125</f>
        <v>0.21567381974248928</v>
      </c>
      <c r="BO125" s="195" t="b">
        <f>BO126=BK126</f>
        <v>1</v>
      </c>
      <c r="BP125" s="107"/>
      <c r="BQ125" s="161">
        <f>SUM(BQ114:BQ124)</f>
        <v>2307023</v>
      </c>
      <c r="BR125" s="159">
        <f>SUM(BR114:BR124)</f>
        <v>586315</v>
      </c>
      <c r="BS125" s="159">
        <f t="shared" ref="BS125" si="672">SUM(BS114:BS124)</f>
        <v>1720708</v>
      </c>
      <c r="BT125" s="159">
        <f>SUM(BT114:BT115,BT121:BT124)</f>
        <v>1554508</v>
      </c>
      <c r="BU125" s="15">
        <f>BR125/BQ125</f>
        <v>0.25414354343238016</v>
      </c>
      <c r="BV125" s="159">
        <f>SUM(BV114:BV124)</f>
        <v>412200</v>
      </c>
      <c r="BW125" s="62">
        <f>BV125/BQ125</f>
        <v>0.17867182078375465</v>
      </c>
      <c r="BX125" s="195" t="b">
        <f>BX126=BT126</f>
        <v>1</v>
      </c>
      <c r="BY125" s="107"/>
      <c r="BZ125" s="311">
        <f t="shared" ref="BZ125:CB125" si="673">SUM(BZ114:BZ124)</f>
        <v>2242000</v>
      </c>
      <c r="CA125" s="311">
        <f t="shared" si="673"/>
        <v>614489</v>
      </c>
      <c r="CB125" s="311">
        <f t="shared" si="673"/>
        <v>1627511</v>
      </c>
      <c r="CC125" s="311">
        <f>SUM(CC114:CC115,CC121:CC124)</f>
        <v>1465511</v>
      </c>
      <c r="CD125" s="15">
        <f>CA125/BZ125</f>
        <v>0.27408073148974132</v>
      </c>
      <c r="CE125" s="311">
        <f>SUM(CE114:CE124)</f>
        <v>520052.42000000004</v>
      </c>
      <c r="CF125" s="62">
        <f>CE125/BZ125</f>
        <v>0.2319591525423729</v>
      </c>
      <c r="CG125" s="195" t="b">
        <f>CG126=CC126</f>
        <v>1</v>
      </c>
      <c r="CH125" s="107"/>
      <c r="CI125" s="161">
        <f>SUM(CI114:CI124)</f>
        <v>0</v>
      </c>
      <c r="CJ125" s="159">
        <f t="shared" ref="CJ125" si="674">SUM(CJ114:CJ124)</f>
        <v>0</v>
      </c>
      <c r="CK125" s="159">
        <f t="shared" ref="CK125" si="675">SUM(CK114:CK124)</f>
        <v>0</v>
      </c>
      <c r="CL125" s="159">
        <f t="shared" ref="CL125" si="676">SUM(CL114:CL124)</f>
        <v>0</v>
      </c>
      <c r="CM125" s="15" t="e">
        <f>CJ125/CI125</f>
        <v>#DIV/0!</v>
      </c>
      <c r="CN125" s="159">
        <f>SUM(CN114:CN124)</f>
        <v>0</v>
      </c>
      <c r="CO125" s="62" t="e">
        <f>CN125/CI125</f>
        <v>#DIV/0!</v>
      </c>
      <c r="CP125" s="107"/>
      <c r="CQ125" s="161">
        <f>SUM(CQ114:CQ124)</f>
        <v>0</v>
      </c>
      <c r="CR125" s="159">
        <f t="shared" ref="CR125" si="677">SUM(CR114:CR124)</f>
        <v>0</v>
      </c>
      <c r="CS125" s="159">
        <f t="shared" ref="CS125" si="678">SUM(CS114:CS124)</f>
        <v>0</v>
      </c>
      <c r="CT125" s="159">
        <f t="shared" ref="CT125" si="679">SUM(CT114:CT124)</f>
        <v>0</v>
      </c>
      <c r="CU125" s="15" t="e">
        <f>CR125/CQ125</f>
        <v>#DIV/0!</v>
      </c>
      <c r="CV125" s="159">
        <f>SUM(CV114:CV124)</f>
        <v>0</v>
      </c>
      <c r="CW125" s="62" t="e">
        <f>CV125/CQ125</f>
        <v>#DIV/0!</v>
      </c>
      <c r="CX125" s="107"/>
      <c r="CY125" s="161">
        <f>SUM(CY114:CY124)</f>
        <v>0</v>
      </c>
      <c r="CZ125" s="159">
        <f t="shared" ref="CZ125" si="680">SUM(CZ114:CZ124)</f>
        <v>0</v>
      </c>
      <c r="DA125" s="159">
        <f t="shared" ref="DA125" si="681">SUM(DA114:DA124)</f>
        <v>0</v>
      </c>
      <c r="DB125" s="159">
        <f t="shared" ref="DB125" si="682">SUM(DB114:DB124)</f>
        <v>0</v>
      </c>
      <c r="DC125" s="15" t="e">
        <f>CZ125/CY125</f>
        <v>#DIV/0!</v>
      </c>
      <c r="DD125" s="159">
        <f>SUM(DD114:DD124)</f>
        <v>0</v>
      </c>
      <c r="DE125" s="62" t="e">
        <f>DD125/CY125</f>
        <v>#DIV/0!</v>
      </c>
      <c r="DF125" s="24"/>
      <c r="DG125" s="287"/>
      <c r="DH125" s="24"/>
      <c r="DI125" s="24"/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24"/>
      <c r="DX125" s="24"/>
      <c r="DY125" s="24"/>
      <c r="DZ125" s="24"/>
      <c r="EA125" s="24"/>
      <c r="EB125" s="24"/>
      <c r="EC125" s="24"/>
      <c r="ED125" s="24"/>
      <c r="EE125" s="24"/>
    </row>
    <row r="126" spans="1:135" s="203" customFormat="1" ht="13" customHeight="1">
      <c r="A126" s="188">
        <v>0.76</v>
      </c>
      <c r="B126" s="165" t="s">
        <v>19</v>
      </c>
      <c r="C126" s="187">
        <f>C125*$A$126</f>
        <v>13097283.45504</v>
      </c>
      <c r="D126" s="187">
        <f t="shared" ref="D126" si="683">D125*$A$126</f>
        <v>2708565.9182399996</v>
      </c>
      <c r="E126" s="187">
        <f>E125*$A$126</f>
        <v>10411848.8968</v>
      </c>
      <c r="F126" s="187">
        <f>F125*$A$126</f>
        <v>10400813.696799999</v>
      </c>
      <c r="G126" s="155"/>
      <c r="H126" s="187">
        <f>H125*A126</f>
        <v>2743686.8210813999</v>
      </c>
      <c r="I126" s="155"/>
      <c r="J126" s="191">
        <f>SUM(J114:J124)</f>
        <v>10400813.696800001</v>
      </c>
      <c r="K126" s="107"/>
      <c r="L126" s="219">
        <f>L125*$A$126</f>
        <v>644923.90079999994</v>
      </c>
      <c r="M126" s="187">
        <f t="shared" ref="M126" si="684">M125*$A$126</f>
        <v>124823.98080000002</v>
      </c>
      <c r="N126" s="187">
        <f>N125*$A$126</f>
        <v>520099.92</v>
      </c>
      <c r="O126" s="187">
        <f>O125*$A$126</f>
        <v>520099.92</v>
      </c>
      <c r="P126" s="217"/>
      <c r="Q126" s="187">
        <f>Q125*J126</f>
        <v>1283585219949.4817</v>
      </c>
      <c r="R126" s="156"/>
      <c r="S126" s="201"/>
      <c r="T126" s="219">
        <f>T125*$A$126</f>
        <v>1455737.0379599999</v>
      </c>
      <c r="U126" s="187">
        <f t="shared" ref="U126" si="685">U125*$A$126</f>
        <v>302661.48875999992</v>
      </c>
      <c r="V126" s="187">
        <f>V125*$A$126</f>
        <v>1153075.5492</v>
      </c>
      <c r="W126" s="187">
        <f>W125*$A$126</f>
        <v>1153075.5492</v>
      </c>
      <c r="X126" s="217"/>
      <c r="Y126" s="187">
        <f>Y125*R126</f>
        <v>0</v>
      </c>
      <c r="Z126" s="156"/>
      <c r="AA126" s="201"/>
      <c r="AB126" s="219">
        <f>AB125*$A$126</f>
        <v>1606088.2483600001</v>
      </c>
      <c r="AC126" s="187">
        <f t="shared" ref="AC126" si="686">AC125*$A$126</f>
        <v>297438.41915999999</v>
      </c>
      <c r="AD126" s="187">
        <f>AD125*$A$126</f>
        <v>1308649.8292</v>
      </c>
      <c r="AE126" s="187">
        <f>AE125*$A$126</f>
        <v>1308649.8292</v>
      </c>
      <c r="AF126" s="217"/>
      <c r="AG126" s="187">
        <f>AG125*Z126</f>
        <v>0</v>
      </c>
      <c r="AH126" s="156"/>
      <c r="AI126" s="201"/>
      <c r="AJ126" s="219">
        <f>AJ125*$A$126</f>
        <v>1500533.4443600001</v>
      </c>
      <c r="AK126" s="187">
        <f t="shared" ref="AK126" si="687">AK125*$A$126</f>
        <v>255508.53516</v>
      </c>
      <c r="AL126" s="187">
        <f>AL125*$A$126</f>
        <v>1245024.9091999999</v>
      </c>
      <c r="AM126" s="187">
        <f>AM125*$A$126</f>
        <v>1245024.9091999999</v>
      </c>
      <c r="AN126" s="217"/>
      <c r="AO126" s="187">
        <f>AO125*AH126</f>
        <v>0</v>
      </c>
      <c r="AP126" s="156"/>
      <c r="AQ126" s="201"/>
      <c r="AR126" s="219">
        <f>AR125*$A$126</f>
        <v>1298893.61876</v>
      </c>
      <c r="AS126" s="187">
        <f t="shared" ref="AS126" si="688">AS125*$A$126</f>
        <v>247607.14955999999</v>
      </c>
      <c r="AT126" s="187">
        <f>AT125*$A$126</f>
        <v>1051286.4691999999</v>
      </c>
      <c r="AU126" s="187">
        <f>AU125*$A$126</f>
        <v>1051286.4691999999</v>
      </c>
      <c r="AV126" s="217"/>
      <c r="AW126" s="187">
        <f>AW125*AP126</f>
        <v>0</v>
      </c>
      <c r="AX126" s="156"/>
      <c r="AY126" s="201"/>
      <c r="AZ126" s="219">
        <f>AZ125*$A$126</f>
        <v>1663249.7248</v>
      </c>
      <c r="BA126" s="187">
        <f t="shared" ref="BA126" si="689">BA125*$A$126</f>
        <v>328647.92479999998</v>
      </c>
      <c r="BB126" s="187">
        <f>BB125*$A$126</f>
        <v>1357733.16</v>
      </c>
      <c r="BC126" s="187">
        <f>BC125*$A$126</f>
        <v>1357733.16</v>
      </c>
      <c r="BD126" s="217"/>
      <c r="BE126" s="187">
        <f>BE125*AX126</f>
        <v>0</v>
      </c>
      <c r="BF126" s="156"/>
      <c r="BG126" s="201"/>
      <c r="BH126" s="219">
        <f>BH125*$A$126</f>
        <v>1770800</v>
      </c>
      <c r="BI126" s="187">
        <f t="shared" ref="BI126" si="690">BI125*$A$126</f>
        <v>301070.58</v>
      </c>
      <c r="BJ126" s="187">
        <f>BJ125*$A$126</f>
        <v>1469729.42</v>
      </c>
      <c r="BK126" s="187">
        <f>BK125*$A$126</f>
        <v>1469729.42</v>
      </c>
      <c r="BL126" s="217"/>
      <c r="BM126" s="187">
        <f>BM125*A126</f>
        <v>381915.2</v>
      </c>
      <c r="BN126" s="156"/>
      <c r="BO126" s="191">
        <f>SUM(BO114:BO124)</f>
        <v>1469729.42</v>
      </c>
      <c r="BP126" s="201"/>
      <c r="BQ126" s="219">
        <f>BQ125*$A$126</f>
        <v>1753337.48</v>
      </c>
      <c r="BR126" s="187">
        <f>BR125*$A$126</f>
        <v>445599.4</v>
      </c>
      <c r="BS126" s="187">
        <f>BS125*$A$126</f>
        <v>1307738.08</v>
      </c>
      <c r="BT126" s="187">
        <f>BT125*$A$126</f>
        <v>1181426.08</v>
      </c>
      <c r="BU126" s="217"/>
      <c r="BV126" s="187">
        <f>BV125*A126</f>
        <v>313272</v>
      </c>
      <c r="BW126" s="156"/>
      <c r="BX126" s="191">
        <f>SUM(BX114:BX115,BX121:BX124)</f>
        <v>1181426.08</v>
      </c>
      <c r="BY126" s="201"/>
      <c r="BZ126" s="219">
        <f>BZ125*$A$126</f>
        <v>1703920</v>
      </c>
      <c r="CA126" s="187">
        <f t="shared" ref="CA126" si="691">CA125*$A$126</f>
        <v>467011.64</v>
      </c>
      <c r="CB126" s="187">
        <f>CB125*$A$126</f>
        <v>1236908.3600000001</v>
      </c>
      <c r="CC126" s="187">
        <f>CC125*$A$126</f>
        <v>1113788.3600000001</v>
      </c>
      <c r="CD126" s="217"/>
      <c r="CE126" s="187">
        <f>CE125*A126</f>
        <v>395239.83920000005</v>
      </c>
      <c r="CF126" s="156"/>
      <c r="CG126" s="191">
        <f>SUM(CG114:CG115,CG121:CG124)</f>
        <v>1113788.3599999999</v>
      </c>
      <c r="CH126" s="201"/>
      <c r="CI126" s="219">
        <f>CI125*$A$126</f>
        <v>0</v>
      </c>
      <c r="CJ126" s="187">
        <f t="shared" ref="CJ126" si="692">CJ125*$A$126</f>
        <v>0</v>
      </c>
      <c r="CK126" s="187">
        <f>CK125*$A$126</f>
        <v>0</v>
      </c>
      <c r="CL126" s="187">
        <f>CL125*$A$126</f>
        <v>0</v>
      </c>
      <c r="CM126" s="217"/>
      <c r="CN126" s="187">
        <f>CN125*CF126</f>
        <v>0</v>
      </c>
      <c r="CO126" s="156"/>
      <c r="CP126" s="201"/>
      <c r="CQ126" s="219">
        <f>CQ125*$A$126</f>
        <v>0</v>
      </c>
      <c r="CR126" s="187">
        <f t="shared" ref="CR126" si="693">CR125*$A$126</f>
        <v>0</v>
      </c>
      <c r="CS126" s="187">
        <f>CS125*$A$126</f>
        <v>0</v>
      </c>
      <c r="CT126" s="187">
        <f>CT125*$A$126</f>
        <v>0</v>
      </c>
      <c r="CU126" s="217"/>
      <c r="CV126" s="187">
        <f>CV125*CO126</f>
        <v>0</v>
      </c>
      <c r="CW126" s="156"/>
      <c r="CX126" s="201"/>
      <c r="CY126" s="219">
        <f>CY125*$A$126</f>
        <v>0</v>
      </c>
      <c r="CZ126" s="187">
        <f t="shared" ref="CZ126" si="694">CZ125*$A$126</f>
        <v>0</v>
      </c>
      <c r="DA126" s="187">
        <f>DA125*$A$126</f>
        <v>0</v>
      </c>
      <c r="DB126" s="187">
        <f>DB125*$A$126</f>
        <v>0</v>
      </c>
      <c r="DC126" s="217"/>
      <c r="DD126" s="187">
        <f>DD125*CW126</f>
        <v>0</v>
      </c>
      <c r="DE126" s="156"/>
      <c r="DF126" s="202"/>
      <c r="DG126" s="291"/>
      <c r="DH126" s="202"/>
      <c r="DI126" s="202"/>
      <c r="DJ126" s="202"/>
      <c r="DK126" s="202"/>
      <c r="DL126" s="202"/>
      <c r="DM126" s="202"/>
      <c r="DN126" s="202"/>
      <c r="DO126" s="202"/>
      <c r="DP126" s="202"/>
      <c r="DQ126" s="202"/>
      <c r="DR126" s="202"/>
      <c r="DS126" s="202"/>
      <c r="DT126" s="202"/>
      <c r="DU126" s="202"/>
      <c r="DV126" s="202"/>
      <c r="DW126" s="202"/>
      <c r="DX126" s="202"/>
      <c r="DY126" s="202"/>
      <c r="DZ126" s="202"/>
      <c r="EA126" s="202"/>
      <c r="EB126" s="202"/>
      <c r="EC126" s="202"/>
      <c r="ED126" s="202"/>
      <c r="EE126" s="202"/>
    </row>
    <row r="127" spans="1:135" s="21" customFormat="1" ht="13" customHeight="1">
      <c r="A127" s="200"/>
      <c r="B127" s="204" t="s">
        <v>28</v>
      </c>
      <c r="C127" s="205">
        <f>SUM(C18,C31,C47,C60,C73,C86,C100,C113,C126)</f>
        <v>96527209.246547103</v>
      </c>
      <c r="D127" s="205">
        <f>SUM(D18,D31,D47,D60,D73,D86,D100,D113,D126)</f>
        <v>34904739.211159296</v>
      </c>
      <c r="E127" s="205">
        <f>SUM(E18,E31,E47,E60,E73,E86,E100,E113,E126)</f>
        <v>61441613.254087806</v>
      </c>
      <c r="F127" s="205">
        <f>SUM(F18,F31,F47,F60,F73,F86,F100,F113,F126)</f>
        <v>61173538.530287802</v>
      </c>
      <c r="G127" s="206">
        <f>D127/C127</f>
        <v>0.36160518348776238</v>
      </c>
      <c r="H127" s="207">
        <f>SUM(H18,H31,H47,H60,H73,H86,H100,H113,H126)</f>
        <v>36359606.128051341</v>
      </c>
      <c r="I127" s="206">
        <f>H127/C127</f>
        <v>0.37667727485192959</v>
      </c>
      <c r="J127" s="208"/>
      <c r="K127" s="91"/>
      <c r="L127" s="209"/>
      <c r="M127" s="210"/>
      <c r="N127" s="210"/>
      <c r="O127" s="210"/>
      <c r="P127" s="206"/>
      <c r="Q127" s="210"/>
      <c r="R127" s="211"/>
      <c r="S127" s="91"/>
      <c r="T127" s="209"/>
      <c r="U127" s="210"/>
      <c r="V127" s="210"/>
      <c r="W127" s="210"/>
      <c r="X127" s="206"/>
      <c r="Y127" s="210"/>
      <c r="Z127" s="211"/>
      <c r="AA127" s="91"/>
      <c r="AB127" s="209"/>
      <c r="AC127" s="210"/>
      <c r="AD127" s="210"/>
      <c r="AE127" s="210"/>
      <c r="AF127" s="206"/>
      <c r="AG127" s="210"/>
      <c r="AH127" s="211"/>
      <c r="AI127" s="91"/>
      <c r="AJ127" s="209"/>
      <c r="AK127" s="210"/>
      <c r="AL127" s="210"/>
      <c r="AM127" s="210"/>
      <c r="AN127" s="206"/>
      <c r="AO127" s="210"/>
      <c r="AP127" s="211"/>
      <c r="AQ127" s="91"/>
      <c r="AR127" s="209"/>
      <c r="AS127" s="210"/>
      <c r="AT127" s="210"/>
      <c r="AU127" s="210"/>
      <c r="AV127" s="206"/>
      <c r="AW127" s="210"/>
      <c r="AX127" s="211"/>
      <c r="AY127" s="91"/>
      <c r="AZ127" s="209"/>
      <c r="BA127" s="205">
        <f>SUM(BB18,BB31,BB47,BB60,BB73,BB86,BB100,BB113,BB126)</f>
        <v>7176335.2368120002</v>
      </c>
      <c r="BB127" s="210"/>
      <c r="BC127" s="210"/>
      <c r="BD127" s="206"/>
      <c r="BE127" s="210"/>
      <c r="BF127" s="211"/>
      <c r="BG127" s="91"/>
      <c r="BH127" s="205">
        <f>SUM(BH18,BH31,BH47,BH60,BH73,BH86,BH100,BH113,BH126)</f>
        <v>10815669.254904762</v>
      </c>
      <c r="BI127" s="205">
        <f t="shared" ref="BI127" si="695">SUM(BI18,BI31,BI47,BI60,BI73,BI86,BI100,BI113,BI126)</f>
        <v>3037355.3124647625</v>
      </c>
      <c r="BJ127" s="205">
        <f t="shared" ref="BJ127" si="696">SUM(BJ18,BJ31,BJ47,BJ60,BJ73,BJ86,BJ100,BJ113,BJ126)</f>
        <v>7420557.5814399999</v>
      </c>
      <c r="BK127" s="205">
        <f>SUM(BK18,BK31,BK47,BK60,BK73,BK86,BK100,BK113,BK126)</f>
        <v>7369653.5864400007</v>
      </c>
      <c r="BL127" s="205">
        <f t="shared" ref="BL127:BM127" si="697">SUM(BL18,BL31,BL47,BL60,BL73,BL86,BL100,BL113,BL126)</f>
        <v>0</v>
      </c>
      <c r="BM127" s="205">
        <f t="shared" si="697"/>
        <v>1340351.0649999999</v>
      </c>
      <c r="BN127" s="211"/>
      <c r="BO127" s="208"/>
      <c r="BP127" s="91"/>
      <c r="BQ127" s="205">
        <f>SUM(BQ18,BQ31,BQ47,BQ60,BQ73,BQ86,BQ100,BQ113,BQ126)</f>
        <v>9477692.3982455041</v>
      </c>
      <c r="BR127" s="205">
        <f>SUM(BR18,BR31,BR47,BR60,BR73,BR86,BR100,BR113,BR126)</f>
        <v>2543682.3158055027</v>
      </c>
      <c r="BS127" s="205">
        <f>SUM(BS18,BS31,BS47,BS60,BS73,BS86,BS100,BS113,BS126)</f>
        <v>6958244.0224400004</v>
      </c>
      <c r="BT127" s="205">
        <f>SUM(BT18,BT31,BT47,BT60,BT73,BT86,BT100,BT113,BT126)</f>
        <v>6831932.0224400004</v>
      </c>
      <c r="BU127" s="205"/>
      <c r="BV127" s="205">
        <f>SUM(BV18,BV31,BV47,BV60,BV73,BV86,BV100,BV113,BV126)</f>
        <v>1496888.56</v>
      </c>
      <c r="BW127" s="211"/>
      <c r="BX127" s="208"/>
      <c r="BY127" s="91"/>
      <c r="BZ127" s="205">
        <f t="shared" ref="BZ127:CA127" si="698">SUM(BZ18,BZ31,BZ47,BZ60,BZ73,BZ86,BZ100,BZ113,BZ126)</f>
        <v>11894689.171303</v>
      </c>
      <c r="CA127" s="205">
        <f t="shared" si="698"/>
        <v>4569012.1506030001</v>
      </c>
      <c r="CB127" s="205">
        <f>SUM(CB18,CB31,CB47,CB60,CB73,CB86,CB100,CB113,CB126)</f>
        <v>8057570.0771000003</v>
      </c>
      <c r="CC127" s="205">
        <f>SUM(CC18,CC31,CC47,CC60,CC73,CC86,CC100,CC113,CC126)</f>
        <v>7898062.6183000011</v>
      </c>
      <c r="CD127" s="205">
        <f>SUM(CD18,CD31,CD47,CD60,CD73,CD86,CD100,CD113,CD126)</f>
        <v>0</v>
      </c>
      <c r="CE127" s="205">
        <f>SUM(CE18,CE31,CE47,CE60,CE73,CE86,CE100,CE113,CE126)</f>
        <v>2413063.6742000002</v>
      </c>
      <c r="CF127" s="211"/>
      <c r="CG127" s="208"/>
      <c r="CH127" s="91"/>
      <c r="CI127" s="209"/>
      <c r="CJ127" s="210"/>
      <c r="CK127" s="210"/>
      <c r="CL127" s="210"/>
      <c r="CM127" s="206"/>
      <c r="CN127" s="210"/>
      <c r="CO127" s="211"/>
      <c r="CP127" s="91"/>
      <c r="CQ127" s="209"/>
      <c r="CR127" s="210"/>
      <c r="CS127" s="210"/>
      <c r="CT127" s="210"/>
      <c r="CU127" s="206"/>
      <c r="CV127" s="210"/>
      <c r="CW127" s="211"/>
      <c r="CX127" s="91"/>
      <c r="CY127" s="209"/>
      <c r="CZ127" s="210"/>
      <c r="DA127" s="210"/>
      <c r="DB127" s="210"/>
      <c r="DC127" s="206"/>
      <c r="DD127" s="210"/>
      <c r="DE127" s="211"/>
      <c r="DF127" s="8"/>
      <c r="DG127" s="287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</row>
    <row r="128" spans="1:135">
      <c r="I128" s="213" t="s">
        <v>12</v>
      </c>
      <c r="J128" s="214">
        <f>SUM(J6,J19,J32,J48,J61,J74,J87,J101,J114)</f>
        <v>8692227.4092399999</v>
      </c>
      <c r="L128" s="221">
        <f>J128/$F$127</f>
        <v>0.14209129663042733</v>
      </c>
      <c r="BE128" s="274"/>
      <c r="BF128" s="276" t="s">
        <v>47</v>
      </c>
      <c r="BG128" s="277">
        <f>BI18</f>
        <v>121893.288</v>
      </c>
      <c r="BH128" s="277">
        <f>BJ18</f>
        <v>805206.29640000011</v>
      </c>
      <c r="BI128" s="277">
        <f>BK18</f>
        <v>805206.29640000011</v>
      </c>
      <c r="BJ128" s="278">
        <f>BL17</f>
        <v>0.13143355130621048</v>
      </c>
      <c r="BK128" s="268"/>
      <c r="BN128" s="213" t="s">
        <v>12</v>
      </c>
      <c r="BO128" s="214">
        <f>SUM(BO6,BO19,BO32,BO48,BO61,BO74,BO87,BO101,BO114)</f>
        <v>1276394.652</v>
      </c>
      <c r="BQ128" s="221"/>
      <c r="BX128" s="214">
        <f>SUM(BX6,BX19,BX32,BX48,BX61,BX74,BX87,BX101,BX114)</f>
        <v>977049.80480000004</v>
      </c>
      <c r="CG128" s="214">
        <f>SUM(CG6,CG19,CG32,CG48,CG61,CG74,CG87,CG101,CG114)</f>
        <v>1081867.2</v>
      </c>
      <c r="DF128" s="275">
        <f>BX128/$BT$127</f>
        <v>0.14301222576436734</v>
      </c>
      <c r="DI128" s="313"/>
    </row>
    <row r="129" spans="6:113">
      <c r="F129" s="275"/>
      <c r="I129" s="213" t="s">
        <v>13</v>
      </c>
      <c r="J129" s="214">
        <f>SUM(J7,J20,J33,J49,J62,J75,J88,J102,J115)</f>
        <v>12010135.4316312</v>
      </c>
      <c r="L129" s="221">
        <f t="shared" ref="L129:L133" si="699">J129/$F$127</f>
        <v>0.19632893110613225</v>
      </c>
      <c r="BF129" s="276" t="s">
        <v>48</v>
      </c>
      <c r="BG129" s="277">
        <f>BI31</f>
        <v>1755372.1919999998</v>
      </c>
      <c r="BH129" s="277">
        <f>BJ31</f>
        <v>2045866.2840000005</v>
      </c>
      <c r="BI129" s="277">
        <f>BK31</f>
        <v>1994962.2840000005</v>
      </c>
      <c r="BJ129" s="278">
        <f>BL30</f>
        <v>0.4751809552822383</v>
      </c>
      <c r="BK129" s="268"/>
      <c r="BN129" s="213" t="s">
        <v>13</v>
      </c>
      <c r="BO129" s="214">
        <f>SUM(BO7,BO20,BO33,BO49,BO62,BO75,BO88,BO102,BO115)</f>
        <v>1599529.3230000001</v>
      </c>
      <c r="BQ129" s="292"/>
      <c r="BR129" s="292"/>
      <c r="BS129" s="292"/>
      <c r="BT129" s="292"/>
      <c r="BV129" s="286"/>
      <c r="BX129" s="214">
        <f>SUM(BX7,BX20,BX33,BX49,BX62,BX75,BX88,BX102,BX115)</f>
        <v>1671522.5160000001</v>
      </c>
      <c r="CG129" s="214">
        <f>SUM(CG7,CG20,CG33,CG49,CG62,CG75,CG88,CG102,CG115)</f>
        <v>1400316.4948</v>
      </c>
      <c r="DF129" s="275">
        <f t="shared" ref="DF129:DF133" si="700">BX129/$BT$127</f>
        <v>0.24466322418164543</v>
      </c>
      <c r="DI129" s="313"/>
    </row>
    <row r="130" spans="6:113">
      <c r="F130" s="275"/>
      <c r="H130" s="275">
        <f>H127/F127</f>
        <v>0.59436820235679577</v>
      </c>
      <c r="I130" s="213" t="s">
        <v>14</v>
      </c>
      <c r="J130" s="214">
        <f>SUM(J13,J26,J42,J55,J68,J81,J95,J108,J121)</f>
        <v>14067423.766734606</v>
      </c>
      <c r="L130" s="221">
        <f t="shared" si="699"/>
        <v>0.22995929456932826</v>
      </c>
      <c r="BF130" s="276" t="s">
        <v>49</v>
      </c>
      <c r="BG130" s="277">
        <f>BI47</f>
        <v>29155.420000000002</v>
      </c>
      <c r="BH130" s="277">
        <f>BJ47</f>
        <v>613036.04180000012</v>
      </c>
      <c r="BI130" s="277">
        <f>BK47</f>
        <v>613036.04180000012</v>
      </c>
      <c r="BJ130" s="278">
        <f>BL46</f>
        <v>4.5399887314415861E-2</v>
      </c>
      <c r="BK130" s="268"/>
      <c r="BN130" s="213" t="s">
        <v>14</v>
      </c>
      <c r="BO130" s="214">
        <f>SUM(BO13,BO26,BO42,BO55,BO68,BO81,BO95,BO108,BO121)</f>
        <v>1453418.3506400001</v>
      </c>
      <c r="BQ130" s="221"/>
      <c r="BR130" s="293"/>
      <c r="BX130" s="214">
        <f>SUM(BX13,BX26,BX42,BX55,BX68,BX81,BX95,BX108,BX121)</f>
        <v>1247635.47804</v>
      </c>
      <c r="CG130" s="214">
        <f>SUM(CG13,CG26,CG42,CG55,CG68,CG81,CG95,CG108,CG121)</f>
        <v>1994124.8170999999</v>
      </c>
      <c r="DF130" s="275">
        <f t="shared" si="700"/>
        <v>0.18261825116849031</v>
      </c>
      <c r="DI130" s="313"/>
    </row>
    <row r="131" spans="6:113">
      <c r="H131" s="275"/>
      <c r="I131" s="213" t="s">
        <v>15</v>
      </c>
      <c r="J131" s="214">
        <f>SUM(J14,J27,J43,J56,J69,J82,J96,J109,J122)</f>
        <v>5917752.1808080003</v>
      </c>
      <c r="L131" s="221">
        <f t="shared" si="699"/>
        <v>9.6737123975230654E-2</v>
      </c>
      <c r="BF131" s="276" t="s">
        <v>50</v>
      </c>
      <c r="BG131" s="277">
        <f>BI60</f>
        <v>78823.290000000008</v>
      </c>
      <c r="BH131" s="277">
        <f>BJ60</f>
        <v>789804.99</v>
      </c>
      <c r="BI131" s="277">
        <f>BK60</f>
        <v>789804.99</v>
      </c>
      <c r="BJ131" s="278">
        <f>BL59</f>
        <v>9.0744558765689737E-2</v>
      </c>
      <c r="BK131" s="268"/>
      <c r="BN131" s="213" t="s">
        <v>15</v>
      </c>
      <c r="BO131" s="214">
        <f>SUM(BO14,BO27,BO43,BO56,BO69,BO82,BO96,BO109,BO122)</f>
        <v>529929.36880000005</v>
      </c>
      <c r="BQ131" s="221"/>
      <c r="BR131" s="275"/>
      <c r="BX131" s="214">
        <f>SUM(BX14,BX27,BX43,BX56,BX69,BX82,BX96,BX109,BX122)</f>
        <v>653836.02040000015</v>
      </c>
      <c r="CG131" s="214">
        <f>SUM(CG14,CG27,CG43,CG56,CG69,CG82,CG96,CG109,CG122)</f>
        <v>826706.64520000003</v>
      </c>
      <c r="DF131" s="275">
        <f t="shared" si="700"/>
        <v>9.5702945850811461E-2</v>
      </c>
      <c r="DI131" s="313"/>
    </row>
    <row r="132" spans="6:113">
      <c r="I132" s="213" t="s">
        <v>16</v>
      </c>
      <c r="J132" s="214">
        <f>SUM(J15,J28,J44,J57,J70,J83,J97,J110,J123)</f>
        <v>13483427.477464002</v>
      </c>
      <c r="L132" s="221">
        <f t="shared" si="699"/>
        <v>0.22041274383348258</v>
      </c>
      <c r="BF132" s="276" t="s">
        <v>51</v>
      </c>
      <c r="BG132" s="277">
        <f>BI73</f>
        <v>34005.885199999961</v>
      </c>
      <c r="BH132" s="277">
        <f>BJ73</f>
        <v>777941.04920000012</v>
      </c>
      <c r="BI132" s="277">
        <f>BK73</f>
        <v>777941.04920000012</v>
      </c>
      <c r="BJ132" s="278">
        <f>BL72</f>
        <v>4.1881906020285797E-2</v>
      </c>
      <c r="BK132" s="268"/>
      <c r="BN132" s="213" t="s">
        <v>16</v>
      </c>
      <c r="BO132" s="214">
        <f>SUM(BO15,BO28,BO44,BO57,BO70,BO83,BO97,BO110,BO123)</f>
        <v>1691766.0440000002</v>
      </c>
      <c r="BQ132" s="221"/>
      <c r="BS132" s="286"/>
      <c r="BX132" s="214">
        <f>SUM(BX15,BX28,BX44,BX57,BX70,BX83,BX97,BX110,BX123)</f>
        <v>1404292.42</v>
      </c>
      <c r="CG132" s="214">
        <f>SUM(CG15,CG28,CG44,CG57,CG70,CG83,CG97,CG110,CG123)</f>
        <v>1282516.5884000002</v>
      </c>
      <c r="DF132" s="275">
        <f t="shared" si="700"/>
        <v>0.20554835958371581</v>
      </c>
      <c r="DI132" s="313"/>
    </row>
    <row r="133" spans="6:113">
      <c r="I133" s="213" t="s">
        <v>17</v>
      </c>
      <c r="J133" s="214">
        <f>SUM(J16,J29,J45,J58,J71,J84,J98,J111,J124)</f>
        <v>7002572.2644100003</v>
      </c>
      <c r="L133" s="221">
        <f t="shared" si="699"/>
        <v>0.11447060988539902</v>
      </c>
      <c r="BF133" s="276" t="s">
        <v>52</v>
      </c>
      <c r="BG133" s="277">
        <f>BI86</f>
        <v>74534.657264762558</v>
      </c>
      <c r="BH133" s="277">
        <f>BJ86</f>
        <v>236627.92504000003</v>
      </c>
      <c r="BI133" s="277">
        <f>BK86</f>
        <v>236627.92504000003</v>
      </c>
      <c r="BJ133" s="278">
        <f>BL85</f>
        <v>0.23953605447251666</v>
      </c>
      <c r="BK133" s="268"/>
      <c r="BN133" s="213" t="s">
        <v>17</v>
      </c>
      <c r="BO133" s="214">
        <f>SUM(BO16,BO29,BO45,BO58,BO71,BO84,BO98,BO111,BO124)</f>
        <v>818615.84800000011</v>
      </c>
      <c r="BQ133" s="221"/>
      <c r="BX133" s="214">
        <f>SUM(BX16,BX29,BX45,BX58,BX71,BX84,BX98,BX111,BX124)</f>
        <v>877595.78320000006</v>
      </c>
      <c r="CG133" s="214">
        <f>SUM(CG16,CG29,CG45,CG58,CG71,CG84,CG98,CG111,CG124)</f>
        <v>1312530.8728</v>
      </c>
      <c r="DF133" s="275">
        <f t="shared" si="700"/>
        <v>0.12845499345096964</v>
      </c>
      <c r="DI133" s="313"/>
    </row>
    <row r="134" spans="6:113">
      <c r="J134" s="212" t="b">
        <f>SUM(J128:J133)=F127</f>
        <v>1</v>
      </c>
      <c r="BF134" s="276" t="s">
        <v>53</v>
      </c>
      <c r="BG134" s="277">
        <f>BI100</f>
        <v>0</v>
      </c>
      <c r="BH134" s="277">
        <f>BJ100</f>
        <v>42649.599999999999</v>
      </c>
      <c r="BI134" s="277">
        <f>BK100</f>
        <v>42649.599999999999</v>
      </c>
      <c r="BJ134" s="278">
        <f>BL99</f>
        <v>0</v>
      </c>
      <c r="BK134" s="268"/>
      <c r="BO134" s="212" t="b">
        <f>SUM(BO128:BO133)=BK127</f>
        <v>1</v>
      </c>
      <c r="BX134" s="212" t="b">
        <f>SUM(BX128:BX133)=BT127</f>
        <v>1</v>
      </c>
      <c r="CG134" s="212" t="b">
        <f>SUM(CG128:CG133)=CC127</f>
        <v>1</v>
      </c>
      <c r="DI134" s="313"/>
    </row>
    <row r="135" spans="6:113">
      <c r="BF135" s="276" t="s">
        <v>54</v>
      </c>
      <c r="BG135" s="277">
        <f>BI113</f>
        <v>642500</v>
      </c>
      <c r="BH135" s="277">
        <f>BJ113</f>
        <v>639695.97499999998</v>
      </c>
      <c r="BI135" s="277">
        <f>BK113</f>
        <v>639695.98</v>
      </c>
      <c r="BJ135" s="278">
        <f>BL112</f>
        <v>0.39176829268292684</v>
      </c>
      <c r="BK135" s="268"/>
    </row>
    <row r="136" spans="6:113">
      <c r="J136" s="284"/>
      <c r="BF136" s="276" t="s">
        <v>55</v>
      </c>
      <c r="BG136" s="277">
        <f>BI126</f>
        <v>301070.58</v>
      </c>
      <c r="BH136" s="277">
        <f>BJ126</f>
        <v>1469729.42</v>
      </c>
      <c r="BI136" s="277">
        <f>BK126</f>
        <v>1469729.42</v>
      </c>
      <c r="BJ136" s="278">
        <f>BL125</f>
        <v>0.1700195278969957</v>
      </c>
      <c r="BK136" s="268"/>
      <c r="BX136" s="284"/>
      <c r="CG136" s="284"/>
    </row>
    <row r="137" spans="6:113">
      <c r="J137" s="284"/>
      <c r="BF137" s="276"/>
      <c r="BG137" s="277">
        <f>SUM(BG128:BG136)</f>
        <v>3037355.3124647625</v>
      </c>
      <c r="BH137" s="277">
        <f>SUM(BH128:BH136)</f>
        <v>7420557.5814399999</v>
      </c>
      <c r="BI137" s="268"/>
      <c r="BJ137" s="268"/>
      <c r="BK137" s="268"/>
      <c r="CG137" s="275"/>
    </row>
    <row r="138" spans="6:113">
      <c r="BF138" s="276"/>
      <c r="BG138" s="268"/>
      <c r="BH138" s="268"/>
      <c r="BI138" s="268"/>
      <c r="BJ138" s="268"/>
      <c r="BK138" s="268"/>
      <c r="CG138" s="286"/>
    </row>
    <row r="139" spans="6:113">
      <c r="BF139" s="276"/>
      <c r="BG139" s="268"/>
      <c r="BH139" s="268"/>
      <c r="BI139" s="268"/>
      <c r="BJ139" s="268"/>
      <c r="BK139" s="268"/>
      <c r="CG139" s="286"/>
    </row>
    <row r="140" spans="6:113">
      <c r="BF140" s="276"/>
      <c r="BG140" s="268"/>
      <c r="BH140" s="268"/>
      <c r="BI140" s="268"/>
      <c r="BJ140" s="268"/>
      <c r="BK140" s="268"/>
      <c r="DF140" s="313"/>
    </row>
    <row r="141" spans="6:113">
      <c r="BF141" s="276"/>
      <c r="BG141" s="268"/>
      <c r="BH141" s="268"/>
      <c r="BI141" s="268"/>
      <c r="BJ141" s="268"/>
      <c r="BK141" s="268"/>
      <c r="DF141" s="313"/>
    </row>
    <row r="142" spans="6:113">
      <c r="BF142" s="276"/>
      <c r="BG142" s="268"/>
      <c r="BH142" s="268"/>
      <c r="BI142" s="268"/>
      <c r="BJ142" s="268"/>
      <c r="BK142" s="268"/>
      <c r="DF142" s="313"/>
    </row>
    <row r="143" spans="6:113">
      <c r="DF143" s="313"/>
    </row>
    <row r="144" spans="6:113">
      <c r="DF144" s="313"/>
    </row>
    <row r="145" spans="110:110">
      <c r="DF145" s="313"/>
    </row>
    <row r="146" spans="110:110">
      <c r="DF146" s="313"/>
    </row>
    <row r="147" spans="110:110">
      <c r="DF147" s="313"/>
    </row>
    <row r="148" spans="110:110">
      <c r="DF148" s="313"/>
    </row>
    <row r="149" spans="110:110">
      <c r="DF149" s="313"/>
    </row>
  </sheetData>
  <mergeCells count="22">
    <mergeCell ref="A4:I4"/>
    <mergeCell ref="A114:A125"/>
    <mergeCell ref="A101:A112"/>
    <mergeCell ref="A87:A99"/>
    <mergeCell ref="A6:A17"/>
    <mergeCell ref="A19:A30"/>
    <mergeCell ref="A32:A46"/>
    <mergeCell ref="A48:A59"/>
    <mergeCell ref="A61:A72"/>
    <mergeCell ref="A74:A85"/>
    <mergeCell ref="BZ4:CF4"/>
    <mergeCell ref="CI4:CO4"/>
    <mergeCell ref="CQ4:CW4"/>
    <mergeCell ref="CY4:DE4"/>
    <mergeCell ref="L4:R4"/>
    <mergeCell ref="T4:Z4"/>
    <mergeCell ref="AB4:AH4"/>
    <mergeCell ref="AJ4:AP4"/>
    <mergeCell ref="AR4:AX4"/>
    <mergeCell ref="AZ4:BF4"/>
    <mergeCell ref="BH4:BN4"/>
    <mergeCell ref="BQ4:BW4"/>
  </mergeCells>
  <conditionalFormatting sqref="A1 C1:I1 A2:I3 A4 A5:I5 J5:J21 BO5:BO75 BX5:BX75 CG5:CG75 A6:B6 C6:F12 G6:I16 B7:B12 B13:F16 B17:I18 A19:I19 K19:BL21 BM19:BN29 B20:I21 B22:BL25 J26:BL29 B26:I31 J30:BN31 A32:I32 J32:BL34 BM32:BN45 B33:I34 I35:AJ41 AK35:BL42 B35:H43 J42:AJ42 I42:I43 J43:BL45 B44:I47 BP46 BY46 CD46 CF46 J46:BN50 BP47:BW75 BY47:CF75 A48:G48 I48:I50 H48:H59 B49:G58 I51:BN54 I55:I58 K55:BN60 J55:J63 B59:I60 A61:G61 I61:I63 K61:AA63 AI61:BN63 H61:H72 B62:G72 I64:BK67 BL64:BN68 T68:Z68 AI68:BK68 I68:I72 K68:S72 AA68:AA72 J68:J75 T69:U69 X69:Z69 AI69:BN69 AI70:BL70 BN70 T70:Z72 AI71:BN72 AB72:AH72 B73:I73 K73:BN75 A74:G74 H74:I75 B75:G75 B76:AA76 AI76:XFD76 I77:BK80 BL77:BM81 BN77:BN83 B77:H85 BO77:XFD88 J81:BK81 I81:I85 J82:BM82 J83:BL83 J84:BN88 B86:I86 A87:I87 B88:I88 B89:AA89 AI89:XFD89 B90:BM94 BN90:BN95 BO90:XFD102 J95:BM95 B95:I100 J96:BN96 J97:BL97 BN97 J98:BN102 A101:I101 B102:I102 B103:AA103 AI103:XFD103 B104:BN107 BO104:XFD115 B108:I113 J108:BN115 A114:G114 H114:I115 B115:G115 B116:AA116 AI116:CC116 CD116:XFD121 BO117:CC121 B117:BN127 BO122:XFD1048576 A128:BN1048576 J1:J3 BO1:BO3 BX1:BX3 CG1:CG3 K1:BN18 BP1:BW45 BY1:CF45 CH1:XFD75">
    <cfRule type="cellIs" dxfId="3" priority="4" operator="lessThan">
      <formula>0</formula>
    </cfRule>
  </conditionalFormatting>
  <conditionalFormatting sqref="BQ46:BW46">
    <cfRule type="cellIs" dxfId="2" priority="3" operator="lessThan">
      <formula>0</formula>
    </cfRule>
  </conditionalFormatting>
  <conditionalFormatting sqref="BZ46:CC46">
    <cfRule type="cellIs" dxfId="1" priority="2" operator="lessThan">
      <formula>0</formula>
    </cfRule>
  </conditionalFormatting>
  <conditionalFormatting sqref="CE4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73AF-11BF-4F7B-A0C1-6BFA5B86C82F}">
  <dimension ref="A3:L28"/>
  <sheetViews>
    <sheetView workbookViewId="0">
      <selection activeCell="D29" sqref="D29"/>
    </sheetView>
  </sheetViews>
  <sheetFormatPr defaultRowHeight="14.5"/>
  <cols>
    <col min="1" max="1" width="13.90625" bestFit="1" customWidth="1"/>
    <col min="2" max="7" width="13.08984375" bestFit="1" customWidth="1"/>
    <col min="8" max="8" width="11.81640625" bestFit="1" customWidth="1"/>
    <col min="9" max="9" width="13.08984375" bestFit="1" customWidth="1"/>
    <col min="10" max="10" width="17.26953125" bestFit="1" customWidth="1"/>
    <col min="11" max="11" width="11.81640625" bestFit="1" customWidth="1"/>
  </cols>
  <sheetData>
    <row r="3" spans="1:12">
      <c r="A3" s="301" t="s">
        <v>60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J3" t="s">
        <v>60</v>
      </c>
    </row>
    <row r="4" spans="1:12">
      <c r="A4" s="302" t="s">
        <v>29</v>
      </c>
      <c r="B4">
        <v>392738.98</v>
      </c>
      <c r="C4">
        <v>279216.12</v>
      </c>
      <c r="D4">
        <v>263328.59999999998</v>
      </c>
      <c r="E4">
        <v>356661.33</v>
      </c>
      <c r="F4">
        <v>365352.23</v>
      </c>
      <c r="G4">
        <v>682960.44</v>
      </c>
      <c r="J4" s="316" t="s">
        <v>29</v>
      </c>
      <c r="K4" s="316">
        <v>370087.52</v>
      </c>
      <c r="L4" s="275">
        <f>K4/H17</f>
        <v>0.15813964419388513</v>
      </c>
    </row>
    <row r="5" spans="1:12">
      <c r="A5" s="302" t="s">
        <v>31</v>
      </c>
      <c r="B5">
        <v>276863.60685393267</v>
      </c>
      <c r="C5">
        <v>544268.92941142851</v>
      </c>
      <c r="D5">
        <v>876097.02249999996</v>
      </c>
      <c r="E5">
        <v>991026.37249999994</v>
      </c>
      <c r="F5">
        <v>748437.29570000002</v>
      </c>
      <c r="G5">
        <v>953179.29039999994</v>
      </c>
      <c r="J5" t="s">
        <v>13</v>
      </c>
      <c r="K5">
        <v>285000</v>
      </c>
      <c r="L5" s="275">
        <f t="shared" ref="L5:L28" si="0">K5/H18</f>
        <v>6.4922158644152711E-2</v>
      </c>
    </row>
    <row r="6" spans="1:12">
      <c r="A6" s="302" t="s">
        <v>32</v>
      </c>
      <c r="B6">
        <v>517634</v>
      </c>
      <c r="C6">
        <v>98813.989999999991</v>
      </c>
      <c r="E6">
        <v>176000</v>
      </c>
      <c r="J6" t="s">
        <v>30</v>
      </c>
      <c r="K6">
        <v>85087.52</v>
      </c>
      <c r="L6" s="275">
        <f t="shared" si="0"/>
        <v>0.10737300248562685</v>
      </c>
    </row>
    <row r="7" spans="1:12">
      <c r="A7" s="302" t="s">
        <v>33</v>
      </c>
      <c r="B7">
        <v>3959490</v>
      </c>
      <c r="C7">
        <v>6774222.0999999996</v>
      </c>
      <c r="D7">
        <v>9508483</v>
      </c>
      <c r="E7">
        <v>5054352.4700000007</v>
      </c>
      <c r="F7">
        <v>2224394</v>
      </c>
      <c r="G7">
        <v>1057893.6599999999</v>
      </c>
      <c r="J7" s="316" t="s">
        <v>31</v>
      </c>
      <c r="K7" s="316">
        <v>347597.06441142852</v>
      </c>
      <c r="L7" s="275">
        <f>K7/H18</f>
        <v>7.9181585122668527E-2</v>
      </c>
    </row>
    <row r="8" spans="1:12">
      <c r="A8" s="302" t="s">
        <v>34</v>
      </c>
      <c r="B8">
        <v>2424481.2385</v>
      </c>
      <c r="C8">
        <v>1568827.9100000001</v>
      </c>
      <c r="D8">
        <v>3141256.7228333335</v>
      </c>
      <c r="E8">
        <v>1799113.45</v>
      </c>
      <c r="F8">
        <v>1790487.55</v>
      </c>
      <c r="G8">
        <v>1885356.7</v>
      </c>
      <c r="J8" t="s">
        <v>13</v>
      </c>
      <c r="K8">
        <v>347597.06441142852</v>
      </c>
      <c r="L8" s="275">
        <f t="shared" si="0"/>
        <v>2.7566232970265468E-2</v>
      </c>
    </row>
    <row r="9" spans="1:12">
      <c r="A9" s="302" t="s">
        <v>39</v>
      </c>
      <c r="B9">
        <v>1681367.35</v>
      </c>
      <c r="C9">
        <v>2879153.35</v>
      </c>
      <c r="D9">
        <v>3094026.75</v>
      </c>
      <c r="E9">
        <v>3590410.95</v>
      </c>
      <c r="F9">
        <v>3123773.2</v>
      </c>
      <c r="G9">
        <v>3350373.32</v>
      </c>
      <c r="J9" t="s">
        <v>32</v>
      </c>
      <c r="K9">
        <v>98813.989999999991</v>
      </c>
      <c r="L9" s="275">
        <f t="shared" si="0"/>
        <v>5.576691963061077E-3</v>
      </c>
    </row>
    <row r="10" spans="1:12">
      <c r="A10" s="302" t="s">
        <v>38</v>
      </c>
      <c r="J10" t="s">
        <v>13</v>
      </c>
      <c r="K10">
        <v>98813.989999999991</v>
      </c>
      <c r="L10" s="275" t="e">
        <f t="shared" si="0"/>
        <v>#DIV/0!</v>
      </c>
    </row>
    <row r="11" spans="1:12">
      <c r="A11" s="302" t="s">
        <v>35</v>
      </c>
      <c r="C11">
        <v>31305483</v>
      </c>
      <c r="D11">
        <v>62387631</v>
      </c>
      <c r="E11">
        <v>69701631</v>
      </c>
      <c r="F11">
        <v>23030000</v>
      </c>
      <c r="G11">
        <v>16120000</v>
      </c>
      <c r="J11" s="316" t="s">
        <v>33</v>
      </c>
      <c r="K11" s="316">
        <v>11182131.23</v>
      </c>
      <c r="L11" s="275">
        <f>K11/H20</f>
        <v>0.39127316211480184</v>
      </c>
    </row>
    <row r="12" spans="1:12">
      <c r="A12" s="302" t="s">
        <v>37</v>
      </c>
      <c r="B12">
        <v>216966000</v>
      </c>
      <c r="C12">
        <v>273958857</v>
      </c>
      <c r="D12">
        <v>346177364</v>
      </c>
      <c r="E12">
        <v>248692117</v>
      </c>
      <c r="F12">
        <v>174321188</v>
      </c>
      <c r="G12">
        <v>266936996.47499999</v>
      </c>
      <c r="J12" t="s">
        <v>13</v>
      </c>
      <c r="K12">
        <v>11182131.23</v>
      </c>
      <c r="L12" s="275">
        <f t="shared" si="0"/>
        <v>7.3226893413439013E-3</v>
      </c>
    </row>
    <row r="13" spans="1:12">
      <c r="A13" s="302" t="s">
        <v>36</v>
      </c>
      <c r="B13">
        <v>684342</v>
      </c>
      <c r="C13">
        <v>1517204.67</v>
      </c>
      <c r="D13">
        <v>1721907.67</v>
      </c>
      <c r="E13">
        <v>1638190.67</v>
      </c>
      <c r="F13">
        <v>1383271.67</v>
      </c>
      <c r="G13">
        <v>1786491</v>
      </c>
      <c r="J13" t="s">
        <v>56</v>
      </c>
      <c r="K13">
        <v>0</v>
      </c>
      <c r="L13" s="275">
        <f t="shared" si="0"/>
        <v>0</v>
      </c>
    </row>
    <row r="14" spans="1:12">
      <c r="A14" s="302" t="s">
        <v>61</v>
      </c>
      <c r="B14">
        <v>226902917.17535394</v>
      </c>
      <c r="C14">
        <v>318926047.06941146</v>
      </c>
      <c r="D14">
        <v>427170094.76533335</v>
      </c>
      <c r="E14">
        <v>331999503.24250001</v>
      </c>
      <c r="F14">
        <v>206986903.94569999</v>
      </c>
      <c r="G14">
        <v>292773250.8854</v>
      </c>
      <c r="J14" s="316" t="s">
        <v>34</v>
      </c>
      <c r="K14" s="316">
        <v>3617610.3679999998</v>
      </c>
      <c r="L14" s="275">
        <f>K14/H21</f>
        <v>0.28689508747375081</v>
      </c>
    </row>
    <row r="15" spans="1:12">
      <c r="J15" t="s">
        <v>13</v>
      </c>
      <c r="K15">
        <v>3617610.3679999998</v>
      </c>
      <c r="L15" s="275" t="e">
        <f t="shared" si="0"/>
        <v>#DIV/0!</v>
      </c>
    </row>
    <row r="16" spans="1:12">
      <c r="A16" t="s">
        <v>60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69</v>
      </c>
      <c r="J16" s="316" t="s">
        <v>39</v>
      </c>
      <c r="K16" s="316">
        <v>4396301.5199999996</v>
      </c>
      <c r="L16" s="275">
        <f>K16/H22</f>
        <v>0.24811081258612463</v>
      </c>
    </row>
    <row r="17" spans="1:12">
      <c r="A17" t="s">
        <v>29</v>
      </c>
      <c r="B17">
        <v>392738.98</v>
      </c>
      <c r="C17">
        <v>279216.12</v>
      </c>
      <c r="D17">
        <v>263328.59999999998</v>
      </c>
      <c r="E17">
        <v>356661.33</v>
      </c>
      <c r="F17">
        <v>365352.23</v>
      </c>
      <c r="G17">
        <v>682960.44</v>
      </c>
      <c r="H17">
        <f>SUM(B17:G17)</f>
        <v>2340257.7000000002</v>
      </c>
      <c r="J17" t="s">
        <v>13</v>
      </c>
      <c r="K17">
        <v>4396301.5199999996</v>
      </c>
      <c r="L17" s="275" t="e">
        <f t="shared" si="0"/>
        <v>#DIV/0!</v>
      </c>
    </row>
    <row r="18" spans="1:12">
      <c r="A18" t="s">
        <v>31</v>
      </c>
      <c r="B18">
        <v>276863.60685393267</v>
      </c>
      <c r="C18">
        <v>544268.92941142851</v>
      </c>
      <c r="D18">
        <v>876097.02249999996</v>
      </c>
      <c r="E18">
        <v>991026.37249999994</v>
      </c>
      <c r="F18">
        <v>748437.29570000002</v>
      </c>
      <c r="G18">
        <v>953179.29039999994</v>
      </c>
      <c r="H18">
        <f t="shared" ref="H18:H27" si="1">SUM(B18:G18)</f>
        <v>4389872.5173653616</v>
      </c>
      <c r="J18" s="316" t="s">
        <v>38</v>
      </c>
      <c r="K18" s="316">
        <v>0</v>
      </c>
      <c r="L18" s="275" t="e">
        <f t="shared" si="0"/>
        <v>#DIV/0!</v>
      </c>
    </row>
    <row r="19" spans="1:12">
      <c r="A19" t="s">
        <v>32</v>
      </c>
      <c r="B19">
        <v>517634</v>
      </c>
      <c r="C19">
        <v>98813.989999999991</v>
      </c>
      <c r="E19">
        <v>176000</v>
      </c>
      <c r="H19">
        <f t="shared" si="1"/>
        <v>792447.99</v>
      </c>
      <c r="J19" t="s">
        <v>13</v>
      </c>
      <c r="K19">
        <v>0</v>
      </c>
      <c r="L19" s="275" t="e">
        <f>K19/H32</f>
        <v>#DIV/0!</v>
      </c>
    </row>
    <row r="20" spans="1:12">
      <c r="A20" t="s">
        <v>33</v>
      </c>
      <c r="B20">
        <v>3959490</v>
      </c>
      <c r="C20">
        <v>6774222.0999999996</v>
      </c>
      <c r="D20">
        <v>9508483</v>
      </c>
      <c r="E20">
        <v>5054352.4700000007</v>
      </c>
      <c r="F20">
        <v>2224394</v>
      </c>
      <c r="G20">
        <v>1057893.6599999999</v>
      </c>
      <c r="H20">
        <f t="shared" si="1"/>
        <v>28578835.23</v>
      </c>
      <c r="J20" s="316" t="s">
        <v>35</v>
      </c>
      <c r="K20" s="316">
        <v>21783245</v>
      </c>
      <c r="L20" s="275">
        <f>K20/H24</f>
        <v>0.10754781616279405</v>
      </c>
    </row>
    <row r="21" spans="1:12">
      <c r="A21" t="s">
        <v>34</v>
      </c>
      <c r="B21">
        <v>2424481.2385</v>
      </c>
      <c r="C21">
        <v>1568827.9100000001</v>
      </c>
      <c r="D21">
        <v>3141256.7228333335</v>
      </c>
      <c r="E21">
        <v>1799113.45</v>
      </c>
      <c r="F21">
        <v>1790487.55</v>
      </c>
      <c r="G21">
        <v>1885356.7</v>
      </c>
      <c r="H21">
        <f t="shared" si="1"/>
        <v>12609523.571333334</v>
      </c>
      <c r="J21" t="s">
        <v>13</v>
      </c>
      <c r="K21">
        <v>21783245</v>
      </c>
      <c r="L21" s="275" t="e">
        <f t="shared" si="0"/>
        <v>#DIV/0!</v>
      </c>
    </row>
    <row r="22" spans="1:12">
      <c r="A22" t="s">
        <v>39</v>
      </c>
      <c r="B22">
        <v>1681367.35</v>
      </c>
      <c r="C22">
        <v>2879153.35</v>
      </c>
      <c r="D22">
        <v>3094026.75</v>
      </c>
      <c r="E22">
        <v>3590410.95</v>
      </c>
      <c r="F22">
        <v>3123773.2</v>
      </c>
      <c r="G22">
        <v>3350373.32</v>
      </c>
      <c r="H22">
        <f t="shared" si="1"/>
        <v>17719104.920000002</v>
      </c>
      <c r="J22" t="s">
        <v>56</v>
      </c>
      <c r="K22">
        <v>0</v>
      </c>
      <c r="L22" s="275" t="e">
        <f t="shared" si="0"/>
        <v>#DIV/0!</v>
      </c>
    </row>
    <row r="23" spans="1:12">
      <c r="A23" t="s">
        <v>38</v>
      </c>
      <c r="H23">
        <f t="shared" si="1"/>
        <v>0</v>
      </c>
      <c r="J23" t="s">
        <v>63</v>
      </c>
      <c r="K23">
        <v>0</v>
      </c>
      <c r="L23" s="275" t="e">
        <f t="shared" si="0"/>
        <v>#DIV/0!</v>
      </c>
    </row>
    <row r="24" spans="1:12">
      <c r="A24" t="s">
        <v>35</v>
      </c>
      <c r="C24">
        <v>31305483</v>
      </c>
      <c r="D24">
        <v>62387631</v>
      </c>
      <c r="E24">
        <v>69701631</v>
      </c>
      <c r="F24">
        <v>23030000</v>
      </c>
      <c r="G24">
        <v>16120000</v>
      </c>
      <c r="H24">
        <f t="shared" si="1"/>
        <v>202544745</v>
      </c>
      <c r="J24" s="316" t="s">
        <v>37</v>
      </c>
      <c r="K24" s="316">
        <v>365227544.47500002</v>
      </c>
      <c r="L24" s="275">
        <f>K24/H25</f>
        <v>0.23917156685812641</v>
      </c>
    </row>
    <row r="25" spans="1:12">
      <c r="A25" t="s">
        <v>37</v>
      </c>
      <c r="B25">
        <v>216966000</v>
      </c>
      <c r="C25">
        <v>273958857</v>
      </c>
      <c r="D25">
        <v>346177364</v>
      </c>
      <c r="E25">
        <v>248692117</v>
      </c>
      <c r="F25">
        <v>174321188</v>
      </c>
      <c r="G25">
        <v>266936996.47499999</v>
      </c>
      <c r="H25">
        <f t="shared" si="1"/>
        <v>1527052522.4749999</v>
      </c>
      <c r="J25" t="s">
        <v>13</v>
      </c>
      <c r="K25">
        <v>365227544.47500002</v>
      </c>
      <c r="L25" s="275" t="e">
        <f t="shared" si="0"/>
        <v>#DIV/0!</v>
      </c>
    </row>
    <row r="26" spans="1:12">
      <c r="A26" t="s">
        <v>36</v>
      </c>
      <c r="B26">
        <v>684342</v>
      </c>
      <c r="C26">
        <v>1517204.67</v>
      </c>
      <c r="D26">
        <v>1721907.67</v>
      </c>
      <c r="E26">
        <v>1638190.67</v>
      </c>
      <c r="F26">
        <v>1383271.67</v>
      </c>
      <c r="G26">
        <v>1786491</v>
      </c>
      <c r="H26">
        <f t="shared" si="1"/>
        <v>8731407.6799999997</v>
      </c>
      <c r="J26" s="316" t="s">
        <v>36</v>
      </c>
      <c r="K26" s="316">
        <v>665351</v>
      </c>
      <c r="L26" s="275">
        <f>K26/H26</f>
        <v>7.6202031148315363E-2</v>
      </c>
    </row>
    <row r="27" spans="1:12">
      <c r="A27" t="s">
        <v>61</v>
      </c>
      <c r="B27">
        <v>226902917.17535394</v>
      </c>
      <c r="C27">
        <v>318926047.06941146</v>
      </c>
      <c r="D27">
        <v>427170094.76533335</v>
      </c>
      <c r="E27">
        <v>331999503.24250001</v>
      </c>
      <c r="F27">
        <v>206986903.94569999</v>
      </c>
      <c r="G27">
        <v>292773250.8854</v>
      </c>
      <c r="H27">
        <f t="shared" si="1"/>
        <v>1804758717.0836987</v>
      </c>
      <c r="J27" t="s">
        <v>13</v>
      </c>
      <c r="K27">
        <v>665351</v>
      </c>
      <c r="L27" s="275" t="e">
        <f t="shared" si="0"/>
        <v>#DIV/0!</v>
      </c>
    </row>
    <row r="28" spans="1:12">
      <c r="J28" t="s">
        <v>61</v>
      </c>
      <c r="K28">
        <v>407688682.16741139</v>
      </c>
      <c r="L28" s="275" t="e">
        <f t="shared" si="0"/>
        <v>#DIV/0!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ef91e0-3ad1-47a7-8bd0-ebaa033bb893" xsi:nil="true"/>
    <lcf76f155ced4ddcb4097134ff3c332f xmlns="a3ff68b8-99cc-4438-a88f-fa644e04a1f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9A7A75932A8743A2A42841F54939B0" ma:contentTypeVersion="13" ma:contentTypeDescription="Create a new document." ma:contentTypeScope="" ma:versionID="6a801c9b30be143e849eb1f178538513">
  <xsd:schema xmlns:xsd="http://www.w3.org/2001/XMLSchema" xmlns:xs="http://www.w3.org/2001/XMLSchema" xmlns:p="http://schemas.microsoft.com/office/2006/metadata/properties" xmlns:ns2="a3ff68b8-99cc-4438-a88f-fa644e04a1ff" xmlns:ns3="e5ef91e0-3ad1-47a7-8bd0-ebaa033bb893" targetNamespace="http://schemas.microsoft.com/office/2006/metadata/properties" ma:root="true" ma:fieldsID="2ce4529abe83ff5a5a3cafe7c6855e58" ns2:_="" ns3:_="">
    <xsd:import namespace="a3ff68b8-99cc-4438-a88f-fa644e04a1ff"/>
    <xsd:import namespace="e5ef91e0-3ad1-47a7-8bd0-ebaa033bb8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ff68b8-99cc-4438-a88f-fa644e04a1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ac8439e-0f4c-460c-87ac-674f609d5c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ef91e0-3ad1-47a7-8bd0-ebaa033bb89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b564c-9971-4e15-b8ea-64100bafb230}" ma:internalName="TaxCatchAll" ma:showField="CatchAllData" ma:web="e5ef91e0-3ad1-47a7-8bd0-ebaa033bb8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892255-522B-45BF-BD57-63339EC09F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4B964B-B721-424C-B289-2E85CD18785D}">
  <ds:schemaRefs>
    <ds:schemaRef ds:uri="http://schemas.microsoft.com/office/2006/metadata/properties"/>
    <ds:schemaRef ds:uri="http://schemas.microsoft.com/office/infopath/2007/PartnerControls"/>
    <ds:schemaRef ds:uri="e5ef91e0-3ad1-47a7-8bd0-ebaa033bb893"/>
    <ds:schemaRef ds:uri="a3ff68b8-99cc-4438-a88f-fa644e04a1ff"/>
  </ds:schemaRefs>
</ds:datastoreItem>
</file>

<file path=customXml/itemProps3.xml><?xml version="1.0" encoding="utf-8"?>
<ds:datastoreItem xmlns:ds="http://schemas.openxmlformats.org/officeDocument/2006/customXml" ds:itemID="{D6F411D2-9FFF-4501-94D1-0DE33C7701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ff68b8-99cc-4438-a88f-fa644e04a1ff"/>
    <ds:schemaRef ds:uri="e5ef91e0-3ad1-47a7-8bd0-ebaa033bb8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Mnth Spend&amp;Discount Report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Nadine Lerm</dc:creator>
  <cp:keywords/>
  <dc:description/>
  <cp:lastModifiedBy>Hein van der Westhuizen</cp:lastModifiedBy>
  <cp:revision/>
  <dcterms:created xsi:type="dcterms:W3CDTF">2025-08-11T10:56:01Z</dcterms:created>
  <dcterms:modified xsi:type="dcterms:W3CDTF">2025-12-23T07:35:13Z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0x010100D19A7A75932A8743A2A42841F54939B0</vt:lpwstr>
  </property>
  <property fmtid="{D5CDD505-2E9C-101B-9397-08002B2CF9AE}" pid="3" name="MediaServiceImageTags">
    <vt:lpwstr/>
  </property>
</Properties>
</file>