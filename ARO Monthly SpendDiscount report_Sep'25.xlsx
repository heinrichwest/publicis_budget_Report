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specconsa-my.sharepoint.com/personal/hein_speccon_co_za/Documents/Software Development/Projects v2/Publicis/Country Budget Report/"/>
    </mc:Choice>
  </mc:AlternateContent>
  <xr:revisionPtr revIDLastSave="29" documentId="8_{E791B490-D9D7-4771-869B-E20E640175FA}" xr6:coauthVersionLast="47" xr6:coauthVersionMax="47" xr10:uidLastSave="{041D565E-ABAF-49D6-9A51-60321E940E04}"/>
  <bookViews>
    <workbookView xWindow="-110" yWindow="-110" windowWidth="25820" windowHeight="13900" activeTab="3" xr2:uid="{B4B3A51A-76E0-4545-98E9-A298B3FE926E}"/>
  </bookViews>
  <sheets>
    <sheet name="Mnth Spend&amp;Discount Report" sheetId="1" r:id="rId1"/>
    <sheet name="Sheet1" sheetId="4" state="hidden" r:id="rId2"/>
    <sheet name="Sheet2" sheetId="5" r:id="rId3"/>
    <sheet name="Master Activity Plan (Local)" sheetId="2" r:id="rId4"/>
  </sheets>
  <definedNames>
    <definedName name="_xlnm._FilterDatabase" localSheetId="3" hidden="1">'Master Activity Plan (Local)'!$B$7:$S$315</definedName>
  </definedNames>
  <calcPr calcId="191028"/>
  <pivotCaches>
    <pivotCache cacheId="0" r:id="rId5"/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2" l="1"/>
  <c r="J5" i="2"/>
  <c r="K5" i="2"/>
  <c r="L5" i="2"/>
  <c r="M5" i="2"/>
  <c r="N5" i="2"/>
  <c r="O5" i="2"/>
  <c r="P5" i="2"/>
  <c r="Q5" i="2"/>
  <c r="R5" i="2"/>
  <c r="S5" i="2"/>
  <c r="H5" i="2"/>
  <c r="L26" i="4" l="1"/>
  <c r="L24" i="4"/>
  <c r="L20" i="4"/>
  <c r="L19" i="4"/>
  <c r="L16" i="4"/>
  <c r="L14" i="4"/>
  <c r="L11" i="4"/>
  <c r="L7" i="4"/>
  <c r="L4" i="4"/>
  <c r="L5" i="4"/>
  <c r="L6" i="4"/>
  <c r="L8" i="4"/>
  <c r="L9" i="4"/>
  <c r="L10" i="4"/>
  <c r="L12" i="4"/>
  <c r="L13" i="4"/>
  <c r="L15" i="4"/>
  <c r="L17" i="4"/>
  <c r="L18" i="4"/>
  <c r="L21" i="4"/>
  <c r="L22" i="4"/>
  <c r="L23" i="4"/>
  <c r="L25" i="4"/>
  <c r="L27" i="4"/>
  <c r="L28" i="4"/>
  <c r="H18" i="4"/>
  <c r="H19" i="4"/>
  <c r="H20" i="4"/>
  <c r="H21" i="4"/>
  <c r="H22" i="4"/>
  <c r="H23" i="4"/>
  <c r="H24" i="4"/>
  <c r="H25" i="4"/>
  <c r="H26" i="4"/>
  <c r="H27" i="4"/>
  <c r="H17" i="4"/>
  <c r="F4" i="1" l="1"/>
  <c r="J27" i="1" l="1"/>
  <c r="J26" i="1" s="1"/>
  <c r="H25" i="1"/>
  <c r="H26" i="1" s="1"/>
  <c r="H27" i="1" s="1"/>
  <c r="BZ129" i="1" l="1"/>
  <c r="CA129" i="1"/>
  <c r="BH129" i="1"/>
  <c r="BI129" i="1"/>
  <c r="BJ129" i="1"/>
  <c r="BL129" i="1"/>
  <c r="BM129" i="1"/>
  <c r="CD129" i="1"/>
  <c r="CE129" i="1"/>
  <c r="CB129" i="1"/>
  <c r="CG102" i="1"/>
  <c r="CC101" i="1"/>
  <c r="CC102" i="1" s="1"/>
  <c r="CG90" i="1"/>
  <c r="CD90" i="1"/>
  <c r="CC90" i="1"/>
  <c r="CA90" i="1"/>
  <c r="CB90" i="1"/>
  <c r="BZ90" i="1"/>
  <c r="CG96" i="1"/>
  <c r="CG130" i="1"/>
  <c r="CG128" i="1"/>
  <c r="CC117" i="1"/>
  <c r="CC127" i="1" s="1"/>
  <c r="CG122" i="1"/>
  <c r="CG120" i="1"/>
  <c r="CG119" i="1"/>
  <c r="CG116" i="1"/>
  <c r="CC114" i="1"/>
  <c r="CC87" i="1"/>
  <c r="CC88" i="1" s="1"/>
  <c r="CC74" i="1"/>
  <c r="CC19" i="1"/>
  <c r="BZ87" i="1"/>
  <c r="CA87" i="1"/>
  <c r="CD87" i="1" s="1"/>
  <c r="CB87" i="1"/>
  <c r="CE87" i="1"/>
  <c r="CE88" i="1" s="1"/>
  <c r="CD83" i="1"/>
  <c r="CF87" i="1" l="1"/>
  <c r="CG117" i="1"/>
  <c r="D334" i="2"/>
  <c r="D346" i="2"/>
  <c r="G276" i="2"/>
  <c r="F276" i="2" s="1"/>
  <c r="G277" i="2"/>
  <c r="F277" i="2" s="1"/>
  <c r="G274" i="2"/>
  <c r="F274" i="2" s="1"/>
  <c r="G275" i="2"/>
  <c r="F275" i="2" s="1"/>
  <c r="BZ114" i="1"/>
  <c r="CA114" i="1"/>
  <c r="CB114" i="1"/>
  <c r="CE114" i="1"/>
  <c r="BZ127" i="1" l="1"/>
  <c r="CA127" i="1"/>
  <c r="CB127" i="1"/>
  <c r="CC128" i="1"/>
  <c r="CE19" i="1"/>
  <c r="CE20" i="1" s="1"/>
  <c r="BW102" i="1"/>
  <c r="CF118" i="1"/>
  <c r="CF119" i="1"/>
  <c r="CF120" i="1"/>
  <c r="CF121" i="1"/>
  <c r="CF122" i="1"/>
  <c r="CD127" i="1"/>
  <c r="CD118" i="1"/>
  <c r="CD119" i="1"/>
  <c r="CD120" i="1"/>
  <c r="CD121" i="1"/>
  <c r="CD122" i="1"/>
  <c r="CD123" i="1"/>
  <c r="G246" i="2"/>
  <c r="F246" i="2" s="1"/>
  <c r="CC61" i="1"/>
  <c r="CC32" i="1"/>
  <c r="CC48" i="1"/>
  <c r="CB128" i="1"/>
  <c r="CG126" i="1"/>
  <c r="CG125" i="1"/>
  <c r="CG124" i="1"/>
  <c r="CG123" i="1"/>
  <c r="G196" i="2" l="1"/>
  <c r="F196" i="2" s="1"/>
  <c r="G197" i="2"/>
  <c r="F197" i="2" s="1"/>
  <c r="G198" i="2"/>
  <c r="F198" i="2" s="1"/>
  <c r="G199" i="2"/>
  <c r="F199" i="2" s="1"/>
  <c r="G200" i="2"/>
  <c r="F200" i="2" s="1"/>
  <c r="G201" i="2"/>
  <c r="F201" i="2" s="1"/>
  <c r="D345" i="2" s="1"/>
  <c r="G202" i="2"/>
  <c r="F202" i="2" s="1"/>
  <c r="G203" i="2"/>
  <c r="F203" i="2" s="1"/>
  <c r="G204" i="2"/>
  <c r="F204" i="2" s="1"/>
  <c r="G205" i="2"/>
  <c r="F205" i="2" s="1"/>
  <c r="CG100" i="1"/>
  <c r="CG99" i="1"/>
  <c r="CG98" i="1"/>
  <c r="CG97" i="1"/>
  <c r="CG95" i="1"/>
  <c r="CG94" i="1"/>
  <c r="CG93" i="1"/>
  <c r="CG92" i="1"/>
  <c r="CG91" i="1"/>
  <c r="CG131" i="1"/>
  <c r="CG89" i="1"/>
  <c r="CG73" i="1"/>
  <c r="CF100" i="1"/>
  <c r="CF98" i="1"/>
  <c r="CF97" i="1"/>
  <c r="CF96" i="1"/>
  <c r="CF89" i="1"/>
  <c r="CF83" i="1"/>
  <c r="CB101" i="1"/>
  <c r="BZ101" i="1"/>
  <c r="CA101" i="1"/>
  <c r="G184" i="2" l="1"/>
  <c r="F184" i="2" s="1"/>
  <c r="G185" i="2"/>
  <c r="F185" i="2" s="1"/>
  <c r="G186" i="2"/>
  <c r="F186" i="2" s="1"/>
  <c r="G187" i="2"/>
  <c r="F187" i="2" s="1"/>
  <c r="G183" i="2"/>
  <c r="F183" i="2" s="1"/>
  <c r="G182" i="2"/>
  <c r="F182" i="2" s="1"/>
  <c r="G181" i="2"/>
  <c r="F181" i="2" s="1"/>
  <c r="G180" i="2"/>
  <c r="F180" i="2" s="1"/>
  <c r="G65" i="2" l="1"/>
  <c r="F65" i="2" s="1"/>
  <c r="G86" i="2" l="1"/>
  <c r="G85" i="2"/>
  <c r="G84" i="2"/>
  <c r="G309" i="2" l="1"/>
  <c r="F309" i="2" s="1"/>
  <c r="G310" i="2"/>
  <c r="F310" i="2" s="1"/>
  <c r="G311" i="2"/>
  <c r="F311" i="2" s="1"/>
  <c r="G312" i="2"/>
  <c r="F312" i="2" s="1"/>
  <c r="G313" i="2"/>
  <c r="F313" i="2" s="1"/>
  <c r="G314" i="2"/>
  <c r="F314" i="2" s="1"/>
  <c r="G315" i="2"/>
  <c r="F315" i="2" s="1"/>
  <c r="CG66" i="1"/>
  <c r="CG67" i="1"/>
  <c r="CG68" i="1"/>
  <c r="CG69" i="1"/>
  <c r="CG70" i="1"/>
  <c r="CF66" i="1"/>
  <c r="CF67" i="1"/>
  <c r="CF68" i="1"/>
  <c r="CF69" i="1"/>
  <c r="CA73" i="1"/>
  <c r="CD73" i="1" s="1"/>
  <c r="CA64" i="1"/>
  <c r="CD64" i="1" s="1"/>
  <c r="CA66" i="1"/>
  <c r="CD66" i="1" s="1"/>
  <c r="CA68" i="1"/>
  <c r="CD68" i="1" s="1"/>
  <c r="CA69" i="1"/>
  <c r="CD69" i="1" s="1"/>
  <c r="CA70" i="1"/>
  <c r="CD70" i="1" s="1"/>
  <c r="CA71" i="1"/>
  <c r="CD71" i="1" s="1"/>
  <c r="CA72" i="1"/>
  <c r="CD72" i="1" s="1"/>
  <c r="CA63" i="1"/>
  <c r="CD67" i="1"/>
  <c r="F70" i="1" l="1"/>
  <c r="G137" i="2"/>
  <c r="F137" i="2" s="1"/>
  <c r="D333" i="2" s="1"/>
  <c r="CG34" i="1"/>
  <c r="CD45" i="1"/>
  <c r="CE48" i="1"/>
  <c r="CE49" i="1" s="1"/>
  <c r="CF37" i="1"/>
  <c r="CF38" i="1"/>
  <c r="CF39" i="1"/>
  <c r="CF40" i="1"/>
  <c r="CF41" i="1"/>
  <c r="CF42" i="1"/>
  <c r="CF43" i="1"/>
  <c r="CD37" i="1"/>
  <c r="CD38" i="1"/>
  <c r="CD39" i="1"/>
  <c r="CD40" i="1"/>
  <c r="CD41" i="1"/>
  <c r="CD42" i="1"/>
  <c r="CD43" i="1"/>
  <c r="G59" i="2"/>
  <c r="F59" i="2" s="1"/>
  <c r="CG8" i="1"/>
  <c r="CD15" i="1"/>
  <c r="CG121" i="1"/>
  <c r="CG113" i="1"/>
  <c r="CG112" i="1"/>
  <c r="CG111" i="1"/>
  <c r="CG110" i="1"/>
  <c r="CG104" i="1"/>
  <c r="CG103" i="1"/>
  <c r="CG86" i="1"/>
  <c r="CG85" i="1"/>
  <c r="CG84" i="1"/>
  <c r="CG83" i="1"/>
  <c r="CG77" i="1"/>
  <c r="CG76" i="1"/>
  <c r="CG72" i="1"/>
  <c r="CG71" i="1"/>
  <c r="CG64" i="1"/>
  <c r="CG63" i="1"/>
  <c r="CG60" i="1"/>
  <c r="CG59" i="1"/>
  <c r="CG58" i="1"/>
  <c r="CG57" i="1"/>
  <c r="CG51" i="1"/>
  <c r="CG50" i="1"/>
  <c r="CG47" i="1"/>
  <c r="CG46" i="1"/>
  <c r="CG45" i="1"/>
  <c r="CG44" i="1"/>
  <c r="CG43" i="1"/>
  <c r="CG42" i="1"/>
  <c r="CG41" i="1"/>
  <c r="CG40" i="1"/>
  <c r="CG39" i="1"/>
  <c r="CG38" i="1"/>
  <c r="CG37" i="1"/>
  <c r="CG31" i="1"/>
  <c r="CG30" i="1"/>
  <c r="CG29" i="1"/>
  <c r="CG28" i="1"/>
  <c r="CG22" i="1"/>
  <c r="CG21" i="1"/>
  <c r="CG18" i="1"/>
  <c r="CG17" i="1"/>
  <c r="CG16" i="1"/>
  <c r="CG15" i="1"/>
  <c r="CG132" i="1" s="1"/>
  <c r="CG14" i="1"/>
  <c r="CG13" i="1"/>
  <c r="CG12" i="1"/>
  <c r="CG11" i="1"/>
  <c r="CG9" i="1"/>
  <c r="BR127" i="1"/>
  <c r="BR128" i="1" s="1"/>
  <c r="G83" i="2"/>
  <c r="F83" i="2" s="1"/>
  <c r="F84" i="2"/>
  <c r="F85" i="2"/>
  <c r="F86" i="2"/>
  <c r="G87" i="2"/>
  <c r="F87" i="2" s="1"/>
  <c r="G88" i="2"/>
  <c r="F88" i="2" s="1"/>
  <c r="G89" i="2"/>
  <c r="F89" i="2" s="1"/>
  <c r="G90" i="2"/>
  <c r="F90" i="2" s="1"/>
  <c r="G91" i="2"/>
  <c r="F91" i="2" s="1"/>
  <c r="G92" i="2"/>
  <c r="F92" i="2" s="1"/>
  <c r="G93" i="2"/>
  <c r="F93" i="2" s="1"/>
  <c r="G94" i="2"/>
  <c r="F94" i="2" s="1"/>
  <c r="G95" i="2"/>
  <c r="F95" i="2" s="1"/>
  <c r="G96" i="2"/>
  <c r="F96" i="2" s="1"/>
  <c r="BU22" i="1"/>
  <c r="CG135" i="1" l="1"/>
  <c r="CG75" i="1"/>
  <c r="CG134" i="1"/>
  <c r="CG133" i="1"/>
  <c r="CG88" i="1"/>
  <c r="CG115" i="1"/>
  <c r="CG62" i="1"/>
  <c r="CG33" i="1"/>
  <c r="CG35" i="1"/>
  <c r="CG49" i="1"/>
  <c r="CG20" i="1"/>
  <c r="BV114" i="1"/>
  <c r="BT127" i="1"/>
  <c r="BT128" i="1" s="1"/>
  <c r="BT87" i="1"/>
  <c r="BT74" i="1"/>
  <c r="BT61" i="1"/>
  <c r="BT62" i="1" s="1"/>
  <c r="BX40" i="1"/>
  <c r="BX39" i="1"/>
  <c r="BX38" i="1"/>
  <c r="BX37" i="1"/>
  <c r="BT32" i="1"/>
  <c r="BT33" i="1" s="1"/>
  <c r="BT19" i="1"/>
  <c r="BV48" i="1"/>
  <c r="BR35" i="1"/>
  <c r="BR48" i="1" s="1"/>
  <c r="BS35" i="1"/>
  <c r="BS48" i="1" s="1"/>
  <c r="BS49" i="1" s="1"/>
  <c r="BT35" i="1"/>
  <c r="BT48" i="1" s="1"/>
  <c r="BQ35" i="1"/>
  <c r="BQ48" i="1" s="1"/>
  <c r="BM48" i="1"/>
  <c r="BK48" i="1"/>
  <c r="BJ48" i="1"/>
  <c r="BI48" i="1"/>
  <c r="BH48" i="1"/>
  <c r="BH35" i="1"/>
  <c r="C37" i="1"/>
  <c r="BU48" i="1" l="1"/>
  <c r="BT49" i="1"/>
  <c r="G262" i="2"/>
  <c r="F262" i="2" s="1"/>
  <c r="G249" i="2"/>
  <c r="BR87" i="1" l="1"/>
  <c r="BS87" i="1"/>
  <c r="BV87" i="1"/>
  <c r="BV88" i="1" s="1"/>
  <c r="BV115" i="1"/>
  <c r="G175" i="2" l="1"/>
  <c r="F175" i="2" s="1"/>
  <c r="G176" i="2"/>
  <c r="F176" i="2" s="1"/>
  <c r="G177" i="2"/>
  <c r="F177" i="2" s="1"/>
  <c r="G178" i="2"/>
  <c r="F178" i="2" s="1"/>
  <c r="G179" i="2"/>
  <c r="F179" i="2" s="1"/>
  <c r="H37" i="1" l="1"/>
  <c r="I37" i="1" s="1"/>
  <c r="H38" i="1"/>
  <c r="H39" i="1"/>
  <c r="H40" i="1"/>
  <c r="H41" i="1"/>
  <c r="H42" i="1"/>
  <c r="H43" i="1"/>
  <c r="H44" i="1"/>
  <c r="H45" i="1"/>
  <c r="C40" i="1"/>
  <c r="C38" i="1"/>
  <c r="C35" i="1"/>
  <c r="E37" i="1"/>
  <c r="F37" i="1"/>
  <c r="J37" i="1" s="1"/>
  <c r="E38" i="1"/>
  <c r="F38" i="1"/>
  <c r="J38" i="1" s="1"/>
  <c r="C39" i="1"/>
  <c r="E39" i="1"/>
  <c r="F39" i="1"/>
  <c r="J39" i="1" s="1"/>
  <c r="E40" i="1"/>
  <c r="F40" i="1"/>
  <c r="J40" i="1" s="1"/>
  <c r="C41" i="1"/>
  <c r="E41" i="1"/>
  <c r="F41" i="1"/>
  <c r="J41" i="1" s="1"/>
  <c r="C42" i="1"/>
  <c r="E42" i="1"/>
  <c r="F42" i="1"/>
  <c r="J42" i="1" s="1"/>
  <c r="C43" i="1"/>
  <c r="E43" i="1"/>
  <c r="F43" i="1"/>
  <c r="J43" i="1" s="1"/>
  <c r="G37" i="2"/>
  <c r="F37" i="2" s="1"/>
  <c r="G38" i="2"/>
  <c r="F38" i="2" s="1"/>
  <c r="G39" i="2"/>
  <c r="F39" i="2" s="1"/>
  <c r="G40" i="2"/>
  <c r="F40" i="2" s="1"/>
  <c r="G41" i="2"/>
  <c r="F41" i="2" s="1"/>
  <c r="G42" i="2"/>
  <c r="F42" i="2" s="1"/>
  <c r="G43" i="2"/>
  <c r="F43" i="2" s="1"/>
  <c r="G44" i="2"/>
  <c r="F44" i="2" s="1"/>
  <c r="G45" i="2"/>
  <c r="F45" i="2" s="1"/>
  <c r="G46" i="2"/>
  <c r="F46" i="2" s="1"/>
  <c r="G47" i="2"/>
  <c r="F47" i="2" s="1"/>
  <c r="G48" i="2"/>
  <c r="F48" i="2" s="1"/>
  <c r="G49" i="2"/>
  <c r="F49" i="2" s="1"/>
  <c r="G50" i="2"/>
  <c r="F50" i="2" s="1"/>
  <c r="G51" i="2"/>
  <c r="F51" i="2" s="1"/>
  <c r="G52" i="2"/>
  <c r="F52" i="2" s="1"/>
  <c r="G53" i="2"/>
  <c r="F53" i="2" s="1"/>
  <c r="G54" i="2"/>
  <c r="F54" i="2" s="1"/>
  <c r="G55" i="2"/>
  <c r="F55" i="2" s="1"/>
  <c r="G56" i="2"/>
  <c r="F56" i="2" s="1"/>
  <c r="G57" i="2"/>
  <c r="F57" i="2" s="1"/>
  <c r="G58" i="2"/>
  <c r="F58" i="2" s="1"/>
  <c r="I43" i="1" l="1"/>
  <c r="I40" i="1"/>
  <c r="I41" i="1"/>
  <c r="I39" i="1"/>
  <c r="I38" i="1"/>
  <c r="I42" i="1"/>
  <c r="J35" i="1"/>
  <c r="BK114" i="1"/>
  <c r="G273" i="2"/>
  <c r="F273" i="2" s="1"/>
  <c r="G272" i="2"/>
  <c r="F272" i="2" s="1"/>
  <c r="G271" i="2"/>
  <c r="F271" i="2" s="1"/>
  <c r="G270" i="2"/>
  <c r="F270" i="2" s="1"/>
  <c r="G269" i="2"/>
  <c r="F269" i="2" s="1"/>
  <c r="G268" i="2"/>
  <c r="F268" i="2" s="1"/>
  <c r="G267" i="2"/>
  <c r="F267" i="2" s="1"/>
  <c r="G266" i="2"/>
  <c r="F266" i="2" s="1"/>
  <c r="G265" i="2"/>
  <c r="F265" i="2" s="1"/>
  <c r="G264" i="2"/>
  <c r="F264" i="2" s="1"/>
  <c r="G263" i="2"/>
  <c r="F263" i="2" s="1"/>
  <c r="G261" i="2"/>
  <c r="F261" i="2" s="1"/>
  <c r="G260" i="2"/>
  <c r="F260" i="2" s="1"/>
  <c r="G259" i="2"/>
  <c r="F259" i="2" s="1"/>
  <c r="G258" i="2"/>
  <c r="F258" i="2" s="1"/>
  <c r="G257" i="2"/>
  <c r="F257" i="2" s="1"/>
  <c r="G256" i="2"/>
  <c r="F256" i="2" s="1"/>
  <c r="G255" i="2"/>
  <c r="F255" i="2" s="1"/>
  <c r="G254" i="2"/>
  <c r="F254" i="2" s="1"/>
  <c r="G253" i="2"/>
  <c r="F253" i="2" s="1"/>
  <c r="G252" i="2"/>
  <c r="F252" i="2" s="1"/>
  <c r="G251" i="2"/>
  <c r="F251" i="2" s="1"/>
  <c r="G250" i="2"/>
  <c r="F250" i="2" s="1"/>
  <c r="F249" i="2"/>
  <c r="Y114" i="1"/>
  <c r="BQ113" i="1"/>
  <c r="BR113" i="1" s="1"/>
  <c r="BS111" i="1"/>
  <c r="BT111" i="1" s="1"/>
  <c r="BT114" i="1" s="1"/>
  <c r="BQ111" i="1"/>
  <c r="BR110" i="1"/>
  <c r="BQ103" i="1"/>
  <c r="BQ114" i="1" l="1"/>
  <c r="BR103" i="1"/>
  <c r="BR114" i="1" s="1"/>
  <c r="BS114" i="1"/>
  <c r="BR115" i="1" l="1"/>
  <c r="BU114" i="1"/>
  <c r="G230" i="2"/>
  <c r="F230" i="2" s="1"/>
  <c r="G231" i="2"/>
  <c r="F231" i="2" s="1"/>
  <c r="G232" i="2"/>
  <c r="F232" i="2" s="1"/>
  <c r="G233" i="2"/>
  <c r="F233" i="2" s="1"/>
  <c r="G234" i="2"/>
  <c r="F234" i="2" s="1"/>
  <c r="G235" i="2"/>
  <c r="F235" i="2" s="1"/>
  <c r="G236" i="2"/>
  <c r="F236" i="2" s="1"/>
  <c r="G237" i="2"/>
  <c r="F237" i="2" s="1"/>
  <c r="G238" i="2"/>
  <c r="F238" i="2" s="1"/>
  <c r="G239" i="2"/>
  <c r="F239" i="2" s="1"/>
  <c r="BX116" i="1"/>
  <c r="BX119" i="1"/>
  <c r="BX120" i="1"/>
  <c r="BX121" i="1"/>
  <c r="BX122" i="1"/>
  <c r="BX123" i="1"/>
  <c r="BX124" i="1"/>
  <c r="BW119" i="1"/>
  <c r="BW120" i="1"/>
  <c r="BU119" i="1"/>
  <c r="BU120" i="1"/>
  <c r="BO116" i="1"/>
  <c r="G134" i="2" l="1"/>
  <c r="F134" i="2" s="1"/>
  <c r="G135" i="2"/>
  <c r="F135" i="2" s="1"/>
  <c r="G133" i="2"/>
  <c r="F133" i="2" s="1"/>
  <c r="G125" i="2"/>
  <c r="F125" i="2" s="1"/>
  <c r="G126" i="2"/>
  <c r="F126" i="2" s="1"/>
  <c r="G127" i="2"/>
  <c r="F127" i="2" s="1"/>
  <c r="G128" i="2"/>
  <c r="F128" i="2" s="1"/>
  <c r="G129" i="2"/>
  <c r="F129" i="2" s="1"/>
  <c r="G130" i="2"/>
  <c r="F130" i="2" s="1"/>
  <c r="G131" i="2"/>
  <c r="F131" i="2" s="1"/>
  <c r="G132" i="2"/>
  <c r="F132" i="2" s="1"/>
  <c r="G136" i="2"/>
  <c r="F136" i="2" s="1"/>
  <c r="BX126" i="1" l="1"/>
  <c r="BX125" i="1"/>
  <c r="BX117" i="1"/>
  <c r="BX113" i="1"/>
  <c r="BX112" i="1"/>
  <c r="BX111" i="1"/>
  <c r="BX110" i="1"/>
  <c r="BX104" i="1"/>
  <c r="BX103" i="1"/>
  <c r="BX102" i="1"/>
  <c r="BX86" i="1"/>
  <c r="BX85" i="1"/>
  <c r="BX84" i="1"/>
  <c r="BX83" i="1"/>
  <c r="BX77" i="1"/>
  <c r="BX76" i="1"/>
  <c r="BX73" i="1"/>
  <c r="BX72" i="1"/>
  <c r="BX71" i="1"/>
  <c r="BX70" i="1"/>
  <c r="BX64" i="1"/>
  <c r="BX63" i="1"/>
  <c r="BX60" i="1"/>
  <c r="BX59" i="1"/>
  <c r="BX58" i="1"/>
  <c r="BX57" i="1"/>
  <c r="BX51" i="1"/>
  <c r="BX50" i="1"/>
  <c r="BX47" i="1"/>
  <c r="BX46" i="1"/>
  <c r="BX45" i="1"/>
  <c r="BX44" i="1"/>
  <c r="BX43" i="1"/>
  <c r="BX42" i="1"/>
  <c r="BX41" i="1"/>
  <c r="BX34" i="1"/>
  <c r="BX31" i="1"/>
  <c r="BX30" i="1"/>
  <c r="BX29" i="1"/>
  <c r="BX28" i="1"/>
  <c r="BX22" i="1"/>
  <c r="BX21" i="1"/>
  <c r="BX18" i="1"/>
  <c r="BX17" i="1"/>
  <c r="BX16" i="1"/>
  <c r="BX15" i="1"/>
  <c r="BX14" i="1"/>
  <c r="BX13" i="1"/>
  <c r="BX12" i="1"/>
  <c r="BX11" i="1"/>
  <c r="BX9" i="1"/>
  <c r="BX8" i="1"/>
  <c r="BU37" i="1"/>
  <c r="BU38" i="1"/>
  <c r="BU39" i="1"/>
  <c r="BU40" i="1"/>
  <c r="BU41" i="1"/>
  <c r="BU42" i="1"/>
  <c r="BU43" i="1"/>
  <c r="BX75" i="1" l="1"/>
  <c r="BX35" i="1"/>
  <c r="BX128" i="1"/>
  <c r="BX49" i="1"/>
  <c r="BX48" i="1" s="1"/>
  <c r="BX20" i="1"/>
  <c r="BX130" i="1"/>
  <c r="BX33" i="1"/>
  <c r="BX131" i="1"/>
  <c r="BX88" i="1"/>
  <c r="BX62" i="1"/>
  <c r="BX132" i="1"/>
  <c r="BX115" i="1"/>
  <c r="BX133" i="1"/>
  <c r="BX134" i="1"/>
  <c r="BX135" i="1"/>
  <c r="BO37" i="1"/>
  <c r="BO38" i="1"/>
  <c r="BO39" i="1"/>
  <c r="BO40" i="1"/>
  <c r="BO41" i="1"/>
  <c r="BO42" i="1"/>
  <c r="BO43" i="1"/>
  <c r="BO44" i="1"/>
  <c r="BO45" i="1"/>
  <c r="BO46" i="1"/>
  <c r="BO47" i="1"/>
  <c r="BM49" i="1"/>
  <c r="BK49" i="1"/>
  <c r="BI132" i="1" s="1"/>
  <c r="BH49" i="1"/>
  <c r="BI49" i="1"/>
  <c r="BG132" i="1" s="1"/>
  <c r="BO34" i="1"/>
  <c r="BO8" i="1"/>
  <c r="BO126" i="1"/>
  <c r="BO125" i="1"/>
  <c r="BO124" i="1"/>
  <c r="BO123" i="1"/>
  <c r="BO117" i="1"/>
  <c r="BO113" i="1"/>
  <c r="BO112" i="1"/>
  <c r="BO111" i="1"/>
  <c r="BO110" i="1"/>
  <c r="BO104" i="1"/>
  <c r="BO103" i="1"/>
  <c r="BO100" i="1"/>
  <c r="BO99" i="1"/>
  <c r="BO98" i="1"/>
  <c r="BO97" i="1"/>
  <c r="BO90" i="1"/>
  <c r="BO89" i="1"/>
  <c r="BO86" i="1"/>
  <c r="BO85" i="1"/>
  <c r="BO84" i="1"/>
  <c r="BO83" i="1"/>
  <c r="BO77" i="1"/>
  <c r="BO76" i="1"/>
  <c r="BO73" i="1"/>
  <c r="BO72" i="1"/>
  <c r="BO71" i="1"/>
  <c r="BO70" i="1"/>
  <c r="BO64" i="1"/>
  <c r="BO63" i="1"/>
  <c r="BO60" i="1"/>
  <c r="BO59" i="1"/>
  <c r="BO58" i="1"/>
  <c r="BO57" i="1"/>
  <c r="BO51" i="1"/>
  <c r="BO50" i="1"/>
  <c r="BO31" i="1"/>
  <c r="BO30" i="1"/>
  <c r="BO29" i="1"/>
  <c r="BO28" i="1"/>
  <c r="BO22" i="1"/>
  <c r="BO21" i="1"/>
  <c r="BO14" i="1"/>
  <c r="BO13" i="1"/>
  <c r="BO12" i="1"/>
  <c r="BO11" i="1"/>
  <c r="BO9" i="1"/>
  <c r="H99" i="1"/>
  <c r="C63" i="1"/>
  <c r="C50" i="1"/>
  <c r="C34" i="1"/>
  <c r="C21" i="1"/>
  <c r="C8" i="1"/>
  <c r="BN86" i="1"/>
  <c r="BO62" i="1" l="1"/>
  <c r="BO128" i="1"/>
  <c r="BO102" i="1"/>
  <c r="BO130" i="1"/>
  <c r="BO33" i="1"/>
  <c r="BO35" i="1"/>
  <c r="BO131" i="1" s="1"/>
  <c r="BO88" i="1"/>
  <c r="BO49" i="1"/>
  <c r="BO48" i="1" s="1"/>
  <c r="BO75" i="1"/>
  <c r="BO115" i="1"/>
  <c r="BH74" i="1"/>
  <c r="BH75" i="1" l="1"/>
  <c r="C116" i="1" l="1"/>
  <c r="C113" i="1" l="1"/>
  <c r="C112" i="1"/>
  <c r="C111" i="1"/>
  <c r="C110" i="1"/>
  <c r="C103" i="1"/>
  <c r="BJ114" i="1"/>
  <c r="BI114" i="1"/>
  <c r="BH114" i="1"/>
  <c r="BN79" i="1"/>
  <c r="BN80" i="1"/>
  <c r="BN81" i="1"/>
  <c r="BN82" i="1"/>
  <c r="BN83" i="1"/>
  <c r="BN84" i="1"/>
  <c r="BL79" i="1"/>
  <c r="BL80" i="1"/>
  <c r="BL81" i="1"/>
  <c r="BL82" i="1"/>
  <c r="BL83" i="1"/>
  <c r="R43" i="1" l="1"/>
  <c r="P43" i="1"/>
  <c r="Q48" i="1"/>
  <c r="Q49" i="1" s="1"/>
  <c r="BN43" i="1"/>
  <c r="BL43" i="1"/>
  <c r="BF37" i="1"/>
  <c r="BF38" i="1"/>
  <c r="BF39" i="1"/>
  <c r="BF40" i="1"/>
  <c r="BF41" i="1"/>
  <c r="BF42" i="1"/>
  <c r="BF43" i="1"/>
  <c r="BD37" i="1"/>
  <c r="BD38" i="1"/>
  <c r="BD39" i="1"/>
  <c r="BD40" i="1"/>
  <c r="BD41" i="1"/>
  <c r="BD42" i="1"/>
  <c r="BD43" i="1"/>
  <c r="BA37" i="1"/>
  <c r="BA38" i="1"/>
  <c r="BA39" i="1"/>
  <c r="BA40" i="1"/>
  <c r="BA41" i="1"/>
  <c r="BA42" i="1"/>
  <c r="BA43" i="1"/>
  <c r="AX37" i="1"/>
  <c r="AX38" i="1"/>
  <c r="AX39" i="1"/>
  <c r="AX40" i="1"/>
  <c r="AX41" i="1"/>
  <c r="AX42" i="1"/>
  <c r="AX43" i="1"/>
  <c r="AV37" i="1"/>
  <c r="AV38" i="1"/>
  <c r="AV39" i="1"/>
  <c r="AV40" i="1"/>
  <c r="AV41" i="1"/>
  <c r="AV42" i="1"/>
  <c r="AV43" i="1"/>
  <c r="AP37" i="1"/>
  <c r="AP38" i="1"/>
  <c r="AP39" i="1"/>
  <c r="AP40" i="1"/>
  <c r="AP41" i="1"/>
  <c r="AP42" i="1"/>
  <c r="AP43" i="1"/>
  <c r="AN37" i="1"/>
  <c r="AN38" i="1"/>
  <c r="AN39" i="1"/>
  <c r="AN40" i="1"/>
  <c r="AN41" i="1"/>
  <c r="AN42" i="1"/>
  <c r="AN43" i="1"/>
  <c r="AN44" i="1"/>
  <c r="AH37" i="1"/>
  <c r="AH38" i="1"/>
  <c r="AH39" i="1"/>
  <c r="AH40" i="1"/>
  <c r="AH41" i="1"/>
  <c r="AH42" i="1"/>
  <c r="AH43" i="1"/>
  <c r="AF37" i="1"/>
  <c r="AF38" i="1"/>
  <c r="AF39" i="1"/>
  <c r="AF40" i="1"/>
  <c r="AF41" i="1"/>
  <c r="AF42" i="1"/>
  <c r="AF43" i="1"/>
  <c r="AC37" i="1"/>
  <c r="AC38" i="1"/>
  <c r="AC39" i="1"/>
  <c r="D39" i="1" s="1"/>
  <c r="G39" i="1" s="1"/>
  <c r="AC40" i="1"/>
  <c r="AC41" i="1"/>
  <c r="AC42" i="1"/>
  <c r="AC43" i="1"/>
  <c r="Z37" i="1"/>
  <c r="Z38" i="1"/>
  <c r="Z39" i="1"/>
  <c r="Z40" i="1"/>
  <c r="Z41" i="1"/>
  <c r="Z42" i="1"/>
  <c r="Z43" i="1"/>
  <c r="X34" i="1"/>
  <c r="X35" i="1"/>
  <c r="X37" i="1"/>
  <c r="X38" i="1"/>
  <c r="X39" i="1"/>
  <c r="X40" i="1"/>
  <c r="X41" i="1"/>
  <c r="X42" i="1"/>
  <c r="X43" i="1"/>
  <c r="R37" i="1"/>
  <c r="R38" i="1"/>
  <c r="R39" i="1"/>
  <c r="R40" i="1"/>
  <c r="R41" i="1"/>
  <c r="R42" i="1"/>
  <c r="P37" i="1"/>
  <c r="P38" i="1"/>
  <c r="P39" i="1"/>
  <c r="P40" i="1"/>
  <c r="P41" i="1"/>
  <c r="P42" i="1"/>
  <c r="BN37" i="1"/>
  <c r="BN38" i="1"/>
  <c r="BN39" i="1"/>
  <c r="BN40" i="1"/>
  <c r="BN41" i="1"/>
  <c r="BN42" i="1"/>
  <c r="BN44" i="1"/>
  <c r="BL34" i="1"/>
  <c r="BL35" i="1"/>
  <c r="BL37" i="1"/>
  <c r="BL38" i="1"/>
  <c r="BL39" i="1"/>
  <c r="BL40" i="1"/>
  <c r="BL41" i="1"/>
  <c r="BL42" i="1"/>
  <c r="BJ49" i="1"/>
  <c r="BH132" i="1" s="1"/>
  <c r="BL22" i="1"/>
  <c r="BL28" i="1"/>
  <c r="BL29" i="1"/>
  <c r="BL30" i="1"/>
  <c r="BL31" i="1"/>
  <c r="BL21" i="1"/>
  <c r="H9" i="1"/>
  <c r="H11" i="1"/>
  <c r="H12" i="1"/>
  <c r="H13" i="1"/>
  <c r="H14" i="1"/>
  <c r="H15" i="1"/>
  <c r="H16" i="1"/>
  <c r="H17" i="1"/>
  <c r="H18" i="1"/>
  <c r="H8" i="1"/>
  <c r="D8" i="1"/>
  <c r="E8" i="1"/>
  <c r="F8" i="1"/>
  <c r="J8" i="1" s="1"/>
  <c r="D9" i="1"/>
  <c r="E9" i="1"/>
  <c r="F9" i="1"/>
  <c r="J9" i="1" s="1"/>
  <c r="D11" i="1"/>
  <c r="E11" i="1"/>
  <c r="F11" i="1"/>
  <c r="J11" i="1" s="1"/>
  <c r="D12" i="1"/>
  <c r="E12" i="1"/>
  <c r="F12" i="1"/>
  <c r="J12" i="1" s="1"/>
  <c r="D13" i="1"/>
  <c r="E13" i="1"/>
  <c r="F13" i="1"/>
  <c r="J13" i="1" s="1"/>
  <c r="D14" i="1"/>
  <c r="E14" i="1"/>
  <c r="F14" i="1"/>
  <c r="J14" i="1" s="1"/>
  <c r="D15" i="1"/>
  <c r="E15" i="1"/>
  <c r="D16" i="1"/>
  <c r="E16" i="1"/>
  <c r="D17" i="1"/>
  <c r="E17" i="1"/>
  <c r="D18" i="1"/>
  <c r="E18" i="1"/>
  <c r="C9" i="1"/>
  <c r="C11" i="1"/>
  <c r="C12" i="1"/>
  <c r="C13" i="1"/>
  <c r="C14" i="1"/>
  <c r="C16" i="1"/>
  <c r="C17" i="1"/>
  <c r="C18" i="1"/>
  <c r="C15" i="1"/>
  <c r="BL16" i="1"/>
  <c r="BL15" i="1"/>
  <c r="BK16" i="1"/>
  <c r="BK17" i="1"/>
  <c r="BK18" i="1"/>
  <c r="BK15" i="1"/>
  <c r="BO15" i="1" s="1"/>
  <c r="BH19" i="1"/>
  <c r="G303" i="2"/>
  <c r="F303" i="2" s="1"/>
  <c r="G304" i="2"/>
  <c r="F304" i="2" s="1"/>
  <c r="G305" i="2"/>
  <c r="F305" i="2" s="1"/>
  <c r="G306" i="2"/>
  <c r="F306" i="2" s="1"/>
  <c r="G307" i="2"/>
  <c r="F307" i="2" s="1"/>
  <c r="G308" i="2"/>
  <c r="F308" i="2" s="1"/>
  <c r="D351" i="2" s="1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C342" i="2"/>
  <c r="C330" i="2"/>
  <c r="D43" i="1" l="1"/>
  <c r="G43" i="1" s="1"/>
  <c r="D37" i="1"/>
  <c r="G37" i="1" s="1"/>
  <c r="D42" i="1"/>
  <c r="G42" i="1" s="1"/>
  <c r="D38" i="1"/>
  <c r="G38" i="1" s="1"/>
  <c r="D40" i="1"/>
  <c r="G40" i="1" s="1"/>
  <c r="D41" i="1"/>
  <c r="G41" i="1" s="1"/>
  <c r="F15" i="1"/>
  <c r="J15" i="1" s="1"/>
  <c r="F18" i="1"/>
  <c r="J18" i="1" s="1"/>
  <c r="BO18" i="1"/>
  <c r="BO135" i="1" s="1"/>
  <c r="F17" i="1"/>
  <c r="J17" i="1" s="1"/>
  <c r="BO17" i="1"/>
  <c r="BO134" i="1" s="1"/>
  <c r="F16" i="1"/>
  <c r="J16" i="1" s="1"/>
  <c r="BO16" i="1"/>
  <c r="BO133" i="1" s="1"/>
  <c r="BL48" i="1"/>
  <c r="BJ132" i="1" s="1"/>
  <c r="I9" i="1"/>
  <c r="I8" i="1"/>
  <c r="I14" i="1"/>
  <c r="I12" i="1"/>
  <c r="I11" i="1"/>
  <c r="I13" i="1"/>
  <c r="G15" i="1"/>
  <c r="G138" i="2"/>
  <c r="F138" i="2" s="1"/>
  <c r="G140" i="2"/>
  <c r="F140" i="2" s="1"/>
  <c r="G141" i="2"/>
  <c r="F141" i="2" s="1"/>
  <c r="G142" i="2"/>
  <c r="F142" i="2" s="1"/>
  <c r="G143" i="2"/>
  <c r="F143" i="2" s="1"/>
  <c r="G144" i="2"/>
  <c r="F144" i="2" s="1"/>
  <c r="G145" i="2"/>
  <c r="F145" i="2" s="1"/>
  <c r="G146" i="2"/>
  <c r="F146" i="2" s="1"/>
  <c r="G147" i="2"/>
  <c r="F147" i="2" s="1"/>
  <c r="G148" i="2"/>
  <c r="F148" i="2" s="1"/>
  <c r="G149" i="2"/>
  <c r="F149" i="2" s="1"/>
  <c r="G150" i="2"/>
  <c r="F150" i="2" s="1"/>
  <c r="G151" i="2"/>
  <c r="F151" i="2" s="1"/>
  <c r="G152" i="2"/>
  <c r="F152" i="2" s="1"/>
  <c r="G153" i="2"/>
  <c r="F153" i="2" s="1"/>
  <c r="G154" i="2"/>
  <c r="F154" i="2" s="1"/>
  <c r="G155" i="2"/>
  <c r="F155" i="2" s="1"/>
  <c r="G156" i="2"/>
  <c r="F156" i="2" s="1"/>
  <c r="G157" i="2"/>
  <c r="F157" i="2" s="1"/>
  <c r="G158" i="2"/>
  <c r="F158" i="2" s="1"/>
  <c r="G159" i="2"/>
  <c r="F159" i="2" s="1"/>
  <c r="G160" i="2"/>
  <c r="F160" i="2" s="1"/>
  <c r="G161" i="2"/>
  <c r="F161" i="2" s="1"/>
  <c r="G162" i="2"/>
  <c r="F162" i="2" s="1"/>
  <c r="G163" i="2"/>
  <c r="F163" i="2" s="1"/>
  <c r="G164" i="2"/>
  <c r="F164" i="2" s="1"/>
  <c r="G165" i="2"/>
  <c r="F165" i="2" s="1"/>
  <c r="G166" i="2"/>
  <c r="F166" i="2" s="1"/>
  <c r="G167" i="2"/>
  <c r="F167" i="2" s="1"/>
  <c r="G168" i="2"/>
  <c r="F168" i="2" s="1"/>
  <c r="G169" i="2"/>
  <c r="F169" i="2" s="1"/>
  <c r="G170" i="2"/>
  <c r="F170" i="2" s="1"/>
  <c r="G171" i="2"/>
  <c r="F171" i="2" s="1"/>
  <c r="G172" i="2"/>
  <c r="F172" i="2" s="1"/>
  <c r="G173" i="2"/>
  <c r="F173" i="2" s="1"/>
  <c r="G174" i="2"/>
  <c r="F174" i="2" s="1"/>
  <c r="G139" i="2"/>
  <c r="F139" i="2" s="1"/>
  <c r="G188" i="2"/>
  <c r="F188" i="2" s="1"/>
  <c r="AE88" i="1"/>
  <c r="AD88" i="1"/>
  <c r="AC88" i="1"/>
  <c r="AB88" i="1"/>
  <c r="W88" i="1"/>
  <c r="V88" i="1"/>
  <c r="U88" i="1"/>
  <c r="T88" i="1"/>
  <c r="BO132" i="1" l="1"/>
  <c r="BO20" i="1"/>
  <c r="BE114" i="1"/>
  <c r="BE115" i="1" s="1"/>
  <c r="BW103" i="1" l="1"/>
  <c r="CF126" i="1"/>
  <c r="CF125" i="1"/>
  <c r="CF124" i="1"/>
  <c r="CF123" i="1"/>
  <c r="CF117" i="1"/>
  <c r="CF116" i="1"/>
  <c r="CF113" i="1"/>
  <c r="CF112" i="1"/>
  <c r="CF111" i="1"/>
  <c r="CF110" i="1"/>
  <c r="CF104" i="1"/>
  <c r="CF103" i="1"/>
  <c r="DE126" i="1"/>
  <c r="DE125" i="1"/>
  <c r="DE124" i="1"/>
  <c r="DE123" i="1"/>
  <c r="DE117" i="1"/>
  <c r="DE116" i="1"/>
  <c r="DE113" i="1"/>
  <c r="DE112" i="1"/>
  <c r="DE111" i="1"/>
  <c r="DE110" i="1"/>
  <c r="DE104" i="1"/>
  <c r="DE103" i="1"/>
  <c r="CW126" i="1"/>
  <c r="CW125" i="1"/>
  <c r="CW124" i="1"/>
  <c r="CW123" i="1"/>
  <c r="CW117" i="1"/>
  <c r="CW116" i="1"/>
  <c r="CW113" i="1"/>
  <c r="CW112" i="1"/>
  <c r="CW111" i="1"/>
  <c r="CW110" i="1"/>
  <c r="CW104" i="1"/>
  <c r="CW103" i="1"/>
  <c r="CO126" i="1"/>
  <c r="CO125" i="1"/>
  <c r="CO124" i="1"/>
  <c r="CO123" i="1"/>
  <c r="CO117" i="1"/>
  <c r="CO116" i="1"/>
  <c r="CO113" i="1"/>
  <c r="CO112" i="1"/>
  <c r="CO111" i="1"/>
  <c r="CO110" i="1"/>
  <c r="CO104" i="1"/>
  <c r="CO103" i="1"/>
  <c r="BW126" i="1"/>
  <c r="BW125" i="1"/>
  <c r="BW124" i="1"/>
  <c r="BW123" i="1"/>
  <c r="BW117" i="1"/>
  <c r="BW116" i="1"/>
  <c r="BW113" i="1"/>
  <c r="BW112" i="1"/>
  <c r="BW111" i="1"/>
  <c r="BW110" i="1"/>
  <c r="BW104" i="1"/>
  <c r="BN126" i="1"/>
  <c r="BN125" i="1"/>
  <c r="BN124" i="1"/>
  <c r="BN123" i="1"/>
  <c r="BN117" i="1"/>
  <c r="BN116" i="1"/>
  <c r="BN113" i="1"/>
  <c r="BN112" i="1"/>
  <c r="BN111" i="1"/>
  <c r="BN110" i="1"/>
  <c r="BN104" i="1"/>
  <c r="BN103" i="1"/>
  <c r="BF126" i="1"/>
  <c r="BF125" i="1"/>
  <c r="BF124" i="1"/>
  <c r="BF123" i="1"/>
  <c r="BF117" i="1"/>
  <c r="BF116" i="1"/>
  <c r="BF113" i="1"/>
  <c r="BF112" i="1"/>
  <c r="BF111" i="1"/>
  <c r="BF110" i="1"/>
  <c r="BF104" i="1"/>
  <c r="BF103" i="1"/>
  <c r="DC126" i="1"/>
  <c r="DC125" i="1"/>
  <c r="DC124" i="1"/>
  <c r="DC123" i="1"/>
  <c r="DC117" i="1"/>
  <c r="DC116" i="1"/>
  <c r="DC113" i="1"/>
  <c r="DC112" i="1"/>
  <c r="DC111" i="1"/>
  <c r="DC110" i="1"/>
  <c r="DC104" i="1"/>
  <c r="DC103" i="1"/>
  <c r="CU126" i="1"/>
  <c r="CU125" i="1"/>
  <c r="CU124" i="1"/>
  <c r="CU123" i="1"/>
  <c r="CU117" i="1"/>
  <c r="CU116" i="1"/>
  <c r="CU113" i="1"/>
  <c r="CU112" i="1"/>
  <c r="CU111" i="1"/>
  <c r="CU110" i="1"/>
  <c r="CU104" i="1"/>
  <c r="CU103" i="1"/>
  <c r="CM126" i="1"/>
  <c r="CM125" i="1"/>
  <c r="CM124" i="1"/>
  <c r="CM123" i="1"/>
  <c r="CG127" i="1" s="1"/>
  <c r="CM117" i="1"/>
  <c r="CM116" i="1"/>
  <c r="CM113" i="1"/>
  <c r="CM112" i="1"/>
  <c r="CM111" i="1"/>
  <c r="CM110" i="1"/>
  <c r="CM104" i="1"/>
  <c r="CM103" i="1"/>
  <c r="CD126" i="1"/>
  <c r="CD125" i="1"/>
  <c r="CD124" i="1"/>
  <c r="CD117" i="1"/>
  <c r="CD116" i="1"/>
  <c r="CD113" i="1"/>
  <c r="CD112" i="1"/>
  <c r="CD111" i="1"/>
  <c r="CD110" i="1"/>
  <c r="CD104" i="1"/>
  <c r="CD103" i="1"/>
  <c r="BU126" i="1"/>
  <c r="BU125" i="1"/>
  <c r="BU124" i="1"/>
  <c r="BU123" i="1"/>
  <c r="BU117" i="1"/>
  <c r="BU116" i="1"/>
  <c r="BU113" i="1"/>
  <c r="BU112" i="1"/>
  <c r="BU111" i="1"/>
  <c r="BU110" i="1"/>
  <c r="BU104" i="1"/>
  <c r="BU103" i="1"/>
  <c r="BL126" i="1"/>
  <c r="BL125" i="1"/>
  <c r="BL124" i="1"/>
  <c r="BL123" i="1"/>
  <c r="BL117" i="1"/>
  <c r="BL116" i="1"/>
  <c r="BL113" i="1"/>
  <c r="BL112" i="1"/>
  <c r="BL111" i="1"/>
  <c r="BL110" i="1"/>
  <c r="BL104" i="1"/>
  <c r="BL103" i="1"/>
  <c r="BD126" i="1"/>
  <c r="BD125" i="1"/>
  <c r="BD124" i="1"/>
  <c r="BD123" i="1"/>
  <c r="BD117" i="1"/>
  <c r="BD116" i="1"/>
  <c r="BD113" i="1"/>
  <c r="BD112" i="1"/>
  <c r="BD111" i="1"/>
  <c r="BD110" i="1"/>
  <c r="BD104" i="1"/>
  <c r="BD103" i="1"/>
  <c r="DD114" i="1"/>
  <c r="DD115" i="1" s="1"/>
  <c r="DB114" i="1"/>
  <c r="DB115" i="1" s="1"/>
  <c r="DA114" i="1"/>
  <c r="DA115" i="1" s="1"/>
  <c r="CZ114" i="1"/>
  <c r="CZ115" i="1" s="1"/>
  <c r="CY114" i="1"/>
  <c r="CY115" i="1" s="1"/>
  <c r="CV114" i="1"/>
  <c r="CV115" i="1" s="1"/>
  <c r="CT114" i="1"/>
  <c r="CT115" i="1" s="1"/>
  <c r="CS114" i="1"/>
  <c r="CS115" i="1" s="1"/>
  <c r="CR114" i="1"/>
  <c r="CR115" i="1" s="1"/>
  <c r="CQ114" i="1"/>
  <c r="CQ115" i="1" s="1"/>
  <c r="CN114" i="1"/>
  <c r="CN115" i="1" s="1"/>
  <c r="CL114" i="1"/>
  <c r="CL115" i="1" s="1"/>
  <c r="CK114" i="1"/>
  <c r="CK115" i="1" s="1"/>
  <c r="CJ114" i="1"/>
  <c r="CJ115" i="1" s="1"/>
  <c r="CI114" i="1"/>
  <c r="CI115" i="1" s="1"/>
  <c r="CE115" i="1"/>
  <c r="CC115" i="1"/>
  <c r="CG114" i="1" s="1"/>
  <c r="CB115" i="1"/>
  <c r="CA115" i="1"/>
  <c r="BZ115" i="1"/>
  <c r="BT115" i="1"/>
  <c r="BX114" i="1" s="1"/>
  <c r="BS115" i="1"/>
  <c r="BQ115" i="1"/>
  <c r="BM114" i="1"/>
  <c r="BM115" i="1" s="1"/>
  <c r="BK115" i="1"/>
  <c r="BJ115" i="1"/>
  <c r="BH137" i="1" s="1"/>
  <c r="BI115" i="1"/>
  <c r="BG137" i="1" s="1"/>
  <c r="BC114" i="1"/>
  <c r="BC115" i="1" s="1"/>
  <c r="BB114" i="1"/>
  <c r="BB115" i="1" s="1"/>
  <c r="BA114" i="1"/>
  <c r="BA115" i="1" s="1"/>
  <c r="AZ114" i="1"/>
  <c r="AZ115" i="1" s="1"/>
  <c r="DD127" i="1"/>
  <c r="DD128" i="1" s="1"/>
  <c r="DB127" i="1"/>
  <c r="DB128" i="1" s="1"/>
  <c r="DA127" i="1"/>
  <c r="DA128" i="1" s="1"/>
  <c r="CZ127" i="1"/>
  <c r="CZ128" i="1" s="1"/>
  <c r="CY127" i="1"/>
  <c r="CY128" i="1" s="1"/>
  <c r="CV127" i="1"/>
  <c r="CV128" i="1" s="1"/>
  <c r="CT127" i="1"/>
  <c r="CT128" i="1" s="1"/>
  <c r="CS127" i="1"/>
  <c r="CS128" i="1" s="1"/>
  <c r="CR127" i="1"/>
  <c r="CR128" i="1" s="1"/>
  <c r="CQ127" i="1"/>
  <c r="CQ128" i="1" s="1"/>
  <c r="CN127" i="1"/>
  <c r="CN128" i="1" s="1"/>
  <c r="CL127" i="1"/>
  <c r="CL128" i="1" s="1"/>
  <c r="CK127" i="1"/>
  <c r="CK128" i="1" s="1"/>
  <c r="CJ127" i="1"/>
  <c r="CJ128" i="1" s="1"/>
  <c r="CI127" i="1"/>
  <c r="CI128" i="1" s="1"/>
  <c r="CE127" i="1"/>
  <c r="CA128" i="1"/>
  <c r="BV127" i="1"/>
  <c r="BV128" i="1" s="1"/>
  <c r="BS127" i="1"/>
  <c r="BS128" i="1" s="1"/>
  <c r="BQ127" i="1"/>
  <c r="BQ128" i="1" s="1"/>
  <c r="BM127" i="1"/>
  <c r="BM128" i="1" s="1"/>
  <c r="BK127" i="1"/>
  <c r="BK128" i="1" s="1"/>
  <c r="BJ127" i="1"/>
  <c r="BJ128" i="1" s="1"/>
  <c r="BH138" i="1" s="1"/>
  <c r="BI127" i="1"/>
  <c r="BI128" i="1" s="1"/>
  <c r="BG138" i="1" s="1"/>
  <c r="BH127" i="1"/>
  <c r="BH128" i="1" s="1"/>
  <c r="BE127" i="1"/>
  <c r="BE128" i="1" s="1"/>
  <c r="BC127" i="1"/>
  <c r="BC128" i="1" s="1"/>
  <c r="BB127" i="1"/>
  <c r="BB128" i="1" s="1"/>
  <c r="BA127" i="1"/>
  <c r="BA128" i="1" s="1"/>
  <c r="AZ127" i="1"/>
  <c r="AZ128" i="1" s="1"/>
  <c r="AW127" i="1"/>
  <c r="AW128" i="1" s="1"/>
  <c r="AS127" i="1"/>
  <c r="AS128" i="1" s="1"/>
  <c r="AT127" i="1"/>
  <c r="AT128" i="1" s="1"/>
  <c r="AU127" i="1"/>
  <c r="AU128" i="1" s="1"/>
  <c r="AR127" i="1"/>
  <c r="AR128" i="1" s="1"/>
  <c r="AW114" i="1"/>
  <c r="AW115" i="1" s="1"/>
  <c r="AS114" i="1"/>
  <c r="AS115" i="1" s="1"/>
  <c r="AT114" i="1"/>
  <c r="AT115" i="1" s="1"/>
  <c r="AU114" i="1"/>
  <c r="AU115" i="1" s="1"/>
  <c r="AR114" i="1"/>
  <c r="AR115" i="1" s="1"/>
  <c r="AV126" i="1"/>
  <c r="AV125" i="1"/>
  <c r="AV124" i="1"/>
  <c r="AV123" i="1"/>
  <c r="AV117" i="1"/>
  <c r="AV116" i="1"/>
  <c r="AV113" i="1"/>
  <c r="AV112" i="1"/>
  <c r="AV111" i="1"/>
  <c r="AV110" i="1"/>
  <c r="AV104" i="1"/>
  <c r="AV103" i="1"/>
  <c r="AX126" i="1"/>
  <c r="AX125" i="1"/>
  <c r="AX124" i="1"/>
  <c r="AX123" i="1"/>
  <c r="AX117" i="1"/>
  <c r="AX116" i="1"/>
  <c r="AX113" i="1"/>
  <c r="AX112" i="1"/>
  <c r="AX111" i="1"/>
  <c r="AX110" i="1"/>
  <c r="AX104" i="1"/>
  <c r="AX103" i="1"/>
  <c r="AP111" i="1"/>
  <c r="AP126" i="1"/>
  <c r="AP125" i="1"/>
  <c r="AP124" i="1"/>
  <c r="AP123" i="1"/>
  <c r="AP117" i="1"/>
  <c r="AP116" i="1"/>
  <c r="AP113" i="1"/>
  <c r="AP112" i="1"/>
  <c r="AP110" i="1"/>
  <c r="AP104" i="1"/>
  <c r="AP103" i="1"/>
  <c r="AN126" i="1"/>
  <c r="AN125" i="1"/>
  <c r="AN124" i="1"/>
  <c r="AN123" i="1"/>
  <c r="AN117" i="1"/>
  <c r="AN116" i="1"/>
  <c r="AN113" i="1"/>
  <c r="AN112" i="1"/>
  <c r="AN111" i="1"/>
  <c r="AN110" i="1"/>
  <c r="AN104" i="1"/>
  <c r="AN103" i="1"/>
  <c r="AO114" i="1"/>
  <c r="AO115" i="1" s="1"/>
  <c r="AO127" i="1"/>
  <c r="AO128" i="1" s="1"/>
  <c r="AK114" i="1"/>
  <c r="AK115" i="1" s="1"/>
  <c r="AJ114" i="1"/>
  <c r="AJ115" i="1" s="1"/>
  <c r="AH124" i="1"/>
  <c r="AB114" i="1"/>
  <c r="AB115" i="1" s="1"/>
  <c r="AD127" i="1"/>
  <c r="AD128" i="1" s="1"/>
  <c r="AG127" i="1"/>
  <c r="AE127" i="1"/>
  <c r="AE128" i="1" s="1"/>
  <c r="AC127" i="1"/>
  <c r="AC128" i="1" s="1"/>
  <c r="AB127" i="1"/>
  <c r="AB128" i="1" s="1"/>
  <c r="AG114" i="1"/>
  <c r="AE114" i="1"/>
  <c r="AE115" i="1" s="1"/>
  <c r="AD114" i="1"/>
  <c r="AD115" i="1" s="1"/>
  <c r="AC114" i="1"/>
  <c r="AC115" i="1" s="1"/>
  <c r="V114" i="1"/>
  <c r="V115" i="1" s="1"/>
  <c r="AF111" i="1"/>
  <c r="AH126" i="1"/>
  <c r="AH125" i="1"/>
  <c r="AH123" i="1"/>
  <c r="AH117" i="1"/>
  <c r="AH116" i="1"/>
  <c r="AH113" i="1"/>
  <c r="AH112" i="1"/>
  <c r="AH111" i="1"/>
  <c r="AH110" i="1"/>
  <c r="AH104" i="1"/>
  <c r="AH103" i="1"/>
  <c r="AF126" i="1"/>
  <c r="AF125" i="1"/>
  <c r="AF124" i="1"/>
  <c r="AF123" i="1"/>
  <c r="AF117" i="1"/>
  <c r="AF116" i="1"/>
  <c r="AF113" i="1"/>
  <c r="AF112" i="1"/>
  <c r="AF110" i="1"/>
  <c r="AF104" i="1"/>
  <c r="AF103" i="1"/>
  <c r="T127" i="1"/>
  <c r="T128" i="1" s="1"/>
  <c r="T114" i="1"/>
  <c r="T115" i="1" s="1"/>
  <c r="Y115" i="1"/>
  <c r="W114" i="1"/>
  <c r="W115" i="1" s="1"/>
  <c r="U114" i="1"/>
  <c r="U115" i="1" s="1"/>
  <c r="Y127" i="1"/>
  <c r="Y128" i="1" s="1"/>
  <c r="W127" i="1"/>
  <c r="W128" i="1" s="1"/>
  <c r="V127" i="1"/>
  <c r="V128" i="1" s="1"/>
  <c r="U127" i="1"/>
  <c r="U128" i="1" s="1"/>
  <c r="Z103" i="1"/>
  <c r="Z126" i="1"/>
  <c r="Z125" i="1"/>
  <c r="Z124" i="1"/>
  <c r="Z123" i="1"/>
  <c r="Z117" i="1"/>
  <c r="Z116" i="1"/>
  <c r="Z113" i="1"/>
  <c r="Z112" i="1"/>
  <c r="Z111" i="1"/>
  <c r="Z110" i="1"/>
  <c r="Z104" i="1"/>
  <c r="X126" i="1"/>
  <c r="X125" i="1"/>
  <c r="X124" i="1"/>
  <c r="X123" i="1"/>
  <c r="X117" i="1"/>
  <c r="X116" i="1"/>
  <c r="X113" i="1"/>
  <c r="X112" i="1"/>
  <c r="X111" i="1"/>
  <c r="X110" i="1"/>
  <c r="X104" i="1"/>
  <c r="X103" i="1"/>
  <c r="O127" i="1"/>
  <c r="O128" i="1" s="1"/>
  <c r="R124" i="1"/>
  <c r="R116" i="1"/>
  <c r="R111" i="1"/>
  <c r="R103" i="1"/>
  <c r="P116" i="1"/>
  <c r="P112" i="1"/>
  <c r="O114" i="1"/>
  <c r="O115" i="1" s="1"/>
  <c r="N114" i="1"/>
  <c r="N115" i="1" s="1"/>
  <c r="M114" i="1"/>
  <c r="M115" i="1" s="1"/>
  <c r="L114" i="1"/>
  <c r="L115" i="1" s="1"/>
  <c r="P126" i="1"/>
  <c r="P125" i="1"/>
  <c r="P124" i="1"/>
  <c r="P123" i="1"/>
  <c r="P117" i="1"/>
  <c r="P103" i="1"/>
  <c r="N127" i="1"/>
  <c r="N128" i="1" s="1"/>
  <c r="M127" i="1"/>
  <c r="M128" i="1" s="1"/>
  <c r="L127" i="1"/>
  <c r="L128" i="1" s="1"/>
  <c r="R126" i="1"/>
  <c r="R125" i="1"/>
  <c r="R123" i="1"/>
  <c r="R117" i="1"/>
  <c r="R113" i="1"/>
  <c r="R112" i="1"/>
  <c r="R110" i="1"/>
  <c r="R104" i="1"/>
  <c r="P113" i="1"/>
  <c r="P111" i="1"/>
  <c r="P110" i="1"/>
  <c r="P104" i="1"/>
  <c r="C104" i="1"/>
  <c r="CE128" i="1" l="1"/>
  <c r="CF127" i="1"/>
  <c r="AG115" i="1"/>
  <c r="AH114" i="1"/>
  <c r="BO127" i="1"/>
  <c r="BI138" i="1"/>
  <c r="BO114" i="1"/>
  <c r="BI137" i="1"/>
  <c r="AH127" i="1"/>
  <c r="AG128" i="1"/>
  <c r="BZ128" i="1"/>
  <c r="BN114" i="1"/>
  <c r="BH115" i="1"/>
  <c r="CO114" i="1"/>
  <c r="CU127" i="1"/>
  <c r="P127" i="1"/>
  <c r="CU114" i="1"/>
  <c r="DE114" i="1"/>
  <c r="DC127" i="1"/>
  <c r="BL114" i="1"/>
  <c r="BJ137" i="1" s="1"/>
  <c r="DE127" i="1"/>
  <c r="P114" i="1"/>
  <c r="CF114" i="1"/>
  <c r="BU127" i="1"/>
  <c r="BN127" i="1"/>
  <c r="CM127" i="1"/>
  <c r="CW127" i="1"/>
  <c r="AV127" i="1"/>
  <c r="BW127" i="1"/>
  <c r="CM114" i="1"/>
  <c r="CW114" i="1"/>
  <c r="AX127" i="1"/>
  <c r="BF127" i="1"/>
  <c r="CO127" i="1"/>
  <c r="CD114" i="1"/>
  <c r="DC114" i="1"/>
  <c r="BL127" i="1"/>
  <c r="BJ138" i="1" s="1"/>
  <c r="AF127" i="1"/>
  <c r="BD127" i="1"/>
  <c r="BW114" i="1"/>
  <c r="AV114" i="1"/>
  <c r="AX114" i="1"/>
  <c r="AF114" i="1"/>
  <c r="Z114" i="1"/>
  <c r="BF114" i="1"/>
  <c r="BD114" i="1"/>
  <c r="AN114" i="1"/>
  <c r="AP114" i="1"/>
  <c r="Z127" i="1"/>
  <c r="X127" i="1"/>
  <c r="X114" i="1"/>
  <c r="DD32" i="1" l="1"/>
  <c r="DD33" i="1" s="1"/>
  <c r="DE31" i="1"/>
  <c r="DC31" i="1"/>
  <c r="DE30" i="1"/>
  <c r="DC30" i="1"/>
  <c r="DE29" i="1"/>
  <c r="DC29" i="1"/>
  <c r="DE28" i="1"/>
  <c r="DC28" i="1"/>
  <c r="DE22" i="1"/>
  <c r="DC22" i="1"/>
  <c r="DE21" i="1"/>
  <c r="DC21" i="1"/>
  <c r="CW31" i="1"/>
  <c r="CU31" i="1"/>
  <c r="CW30" i="1"/>
  <c r="CU30" i="1"/>
  <c r="CW29" i="1"/>
  <c r="CU29" i="1"/>
  <c r="CW28" i="1"/>
  <c r="CU28" i="1"/>
  <c r="CW22" i="1"/>
  <c r="CU22" i="1"/>
  <c r="CW21" i="1"/>
  <c r="CU21" i="1"/>
  <c r="CN32" i="1"/>
  <c r="CN33" i="1" s="1"/>
  <c r="CO31" i="1"/>
  <c r="CM31" i="1"/>
  <c r="CO30" i="1"/>
  <c r="CM30" i="1"/>
  <c r="CO29" i="1"/>
  <c r="CM29" i="1"/>
  <c r="CO28" i="1"/>
  <c r="CM28" i="1"/>
  <c r="CO22" i="1"/>
  <c r="CM22" i="1"/>
  <c r="CO21" i="1"/>
  <c r="CM21" i="1"/>
  <c r="CD21" i="1"/>
  <c r="CE32" i="1"/>
  <c r="CE33" i="1" s="1"/>
  <c r="CF31" i="1"/>
  <c r="CD31" i="1"/>
  <c r="CF30" i="1"/>
  <c r="CD30" i="1"/>
  <c r="CF29" i="1"/>
  <c r="CD29" i="1"/>
  <c r="CF28" i="1"/>
  <c r="CD28" i="1"/>
  <c r="CF22" i="1"/>
  <c r="CD22" i="1"/>
  <c r="CF21" i="1"/>
  <c r="BU21" i="1"/>
  <c r="BV32" i="1"/>
  <c r="BW31" i="1"/>
  <c r="BW30" i="1"/>
  <c r="BU30" i="1"/>
  <c r="BW29" i="1"/>
  <c r="BW28" i="1"/>
  <c r="BU28" i="1"/>
  <c r="BW22" i="1"/>
  <c r="BW21" i="1"/>
  <c r="BM32" i="1"/>
  <c r="BM33" i="1" s="1"/>
  <c r="BN31" i="1"/>
  <c r="BN30" i="1"/>
  <c r="BN29" i="1"/>
  <c r="BN28" i="1"/>
  <c r="BN22" i="1"/>
  <c r="BN21" i="1"/>
  <c r="BK32" i="1"/>
  <c r="BK33" i="1" s="1"/>
  <c r="BF31" i="1"/>
  <c r="BF30" i="1"/>
  <c r="BF29" i="1"/>
  <c r="BF28" i="1"/>
  <c r="BF22" i="1"/>
  <c r="BF21" i="1"/>
  <c r="BD31" i="1"/>
  <c r="BD30" i="1"/>
  <c r="BD29" i="1"/>
  <c r="BD28" i="1"/>
  <c r="BD22" i="1"/>
  <c r="BD21" i="1"/>
  <c r="AZ32" i="1"/>
  <c r="AZ33" i="1" s="1"/>
  <c r="AR32" i="1"/>
  <c r="AR33" i="1" s="1"/>
  <c r="AS32" i="1"/>
  <c r="AS33" i="1" s="1"/>
  <c r="AT32" i="1"/>
  <c r="AT33" i="1" s="1"/>
  <c r="AN22" i="1"/>
  <c r="AN21" i="1"/>
  <c r="AM32" i="1"/>
  <c r="AM33" i="1" s="1"/>
  <c r="AW32" i="1"/>
  <c r="AW33" i="1" s="1"/>
  <c r="AX31" i="1"/>
  <c r="AV31" i="1"/>
  <c r="AX30" i="1"/>
  <c r="AV30" i="1"/>
  <c r="AX29" i="1"/>
  <c r="AV29" i="1"/>
  <c r="AX28" i="1"/>
  <c r="AV28" i="1"/>
  <c r="AX22" i="1"/>
  <c r="AV22" i="1"/>
  <c r="AX21" i="1"/>
  <c r="AV21" i="1"/>
  <c r="AO32" i="1"/>
  <c r="AO33" i="1" s="1"/>
  <c r="AP31" i="1"/>
  <c r="AN31" i="1"/>
  <c r="AP30" i="1"/>
  <c r="AN30" i="1"/>
  <c r="AP29" i="1"/>
  <c r="AN29" i="1"/>
  <c r="AP28" i="1"/>
  <c r="AN28" i="1"/>
  <c r="AP22" i="1"/>
  <c r="AP21" i="1"/>
  <c r="DB32" i="1"/>
  <c r="DB33" i="1" s="1"/>
  <c r="DA32" i="1"/>
  <c r="DA33" i="1" s="1"/>
  <c r="CZ32" i="1"/>
  <c r="CZ33" i="1" s="1"/>
  <c r="CY32" i="1"/>
  <c r="CY33" i="1" s="1"/>
  <c r="CV32" i="1"/>
  <c r="CT32" i="1"/>
  <c r="CT33" i="1" s="1"/>
  <c r="CS32" i="1"/>
  <c r="CS33" i="1" s="1"/>
  <c r="CR32" i="1"/>
  <c r="CR33" i="1" s="1"/>
  <c r="CQ32" i="1"/>
  <c r="CQ33" i="1" s="1"/>
  <c r="CL32" i="1"/>
  <c r="CL33" i="1" s="1"/>
  <c r="CK32" i="1"/>
  <c r="CK33" i="1" s="1"/>
  <c r="CJ32" i="1"/>
  <c r="CJ33" i="1" s="1"/>
  <c r="CI32" i="1"/>
  <c r="CI33" i="1" s="1"/>
  <c r="CC33" i="1"/>
  <c r="CG32" i="1" s="1"/>
  <c r="CB32" i="1"/>
  <c r="CB33" i="1" s="1"/>
  <c r="CA32" i="1"/>
  <c r="CA33" i="1" s="1"/>
  <c r="BZ32" i="1"/>
  <c r="BX32" i="1"/>
  <c r="BS32" i="1"/>
  <c r="BS33" i="1" s="1"/>
  <c r="BR32" i="1"/>
  <c r="BR33" i="1" s="1"/>
  <c r="BQ32" i="1"/>
  <c r="BJ32" i="1"/>
  <c r="BJ33" i="1" s="1"/>
  <c r="BH131" i="1" s="1"/>
  <c r="BI32" i="1"/>
  <c r="BI33" i="1" s="1"/>
  <c r="BG131" i="1" s="1"/>
  <c r="BH32" i="1"/>
  <c r="BE32" i="1"/>
  <c r="BE33" i="1" s="1"/>
  <c r="BC32" i="1"/>
  <c r="BB32" i="1"/>
  <c r="BB33" i="1" s="1"/>
  <c r="BA32" i="1"/>
  <c r="BA33" i="1" s="1"/>
  <c r="AU32" i="1"/>
  <c r="AU33" i="1" s="1"/>
  <c r="AL32" i="1"/>
  <c r="AL33" i="1" s="1"/>
  <c r="AK32" i="1"/>
  <c r="AK33" i="1" s="1"/>
  <c r="AJ32" i="1"/>
  <c r="AJ33" i="1" s="1"/>
  <c r="AC32" i="1"/>
  <c r="AC33" i="1" s="1"/>
  <c r="AD32" i="1"/>
  <c r="AD33" i="1" s="1"/>
  <c r="AE32" i="1"/>
  <c r="AE33" i="1" s="1"/>
  <c r="AG32" i="1"/>
  <c r="AB32" i="1"/>
  <c r="AH30" i="1"/>
  <c r="AH29" i="1"/>
  <c r="AH28" i="1"/>
  <c r="AH22" i="1"/>
  <c r="AH21" i="1"/>
  <c r="AF31" i="1"/>
  <c r="AF30" i="1"/>
  <c r="AF29" i="1"/>
  <c r="AF28" i="1"/>
  <c r="AF22" i="1"/>
  <c r="AF21" i="1"/>
  <c r="AF8" i="1"/>
  <c r="X31" i="1"/>
  <c r="X30" i="1"/>
  <c r="X21" i="1"/>
  <c r="X29" i="1"/>
  <c r="X28" i="1"/>
  <c r="X22" i="1"/>
  <c r="Z31" i="1"/>
  <c r="Z30" i="1"/>
  <c r="Z29" i="1"/>
  <c r="Z28" i="1"/>
  <c r="Z22" i="1"/>
  <c r="Z21" i="1"/>
  <c r="Y32" i="1"/>
  <c r="Y33" i="1" s="1"/>
  <c r="W32" i="1"/>
  <c r="W33" i="1" s="1"/>
  <c r="V32" i="1"/>
  <c r="V33" i="1" s="1"/>
  <c r="U32" i="1"/>
  <c r="U33" i="1" s="1"/>
  <c r="T32" i="1"/>
  <c r="T33" i="1" s="1"/>
  <c r="O32" i="1"/>
  <c r="O33" i="1" s="1"/>
  <c r="M32" i="1"/>
  <c r="M33" i="1" s="1"/>
  <c r="L32" i="1"/>
  <c r="BZ33" i="1" l="1"/>
  <c r="CD32" i="1"/>
  <c r="BQ33" i="1"/>
  <c r="BU32" i="1"/>
  <c r="BV33" i="1"/>
  <c r="BO32" i="1"/>
  <c r="BI131" i="1"/>
  <c r="BH33" i="1"/>
  <c r="BL32" i="1"/>
  <c r="BJ131" i="1" s="1"/>
  <c r="AH31" i="1"/>
  <c r="AG33" i="1"/>
  <c r="P32" i="1"/>
  <c r="L33" i="1"/>
  <c r="CW32" i="1"/>
  <c r="CV33" i="1"/>
  <c r="BD32" i="1"/>
  <c r="BC33" i="1"/>
  <c r="AH32" i="1"/>
  <c r="AB33" i="1"/>
  <c r="AV32" i="1"/>
  <c r="X32" i="1"/>
  <c r="BF32" i="1"/>
  <c r="CU32" i="1"/>
  <c r="AP32" i="1"/>
  <c r="Z32" i="1"/>
  <c r="CO32" i="1"/>
  <c r="BW32" i="1"/>
  <c r="CM32" i="1"/>
  <c r="CF32" i="1"/>
  <c r="DC32" i="1"/>
  <c r="AF32" i="1"/>
  <c r="AN32" i="1"/>
  <c r="BN32" i="1"/>
  <c r="DE32" i="1"/>
  <c r="AX32" i="1"/>
  <c r="AN8" i="1" l="1"/>
  <c r="AL19" i="1"/>
  <c r="AL20" i="1" s="1"/>
  <c r="AB19" i="1"/>
  <c r="AB20" i="1" s="1"/>
  <c r="AH16" i="1"/>
  <c r="AH17" i="1"/>
  <c r="X8" i="1"/>
  <c r="Y19" i="1"/>
  <c r="Y20" i="1" s="1"/>
  <c r="P8" i="1"/>
  <c r="M19" i="1"/>
  <c r="M20" i="1" s="1"/>
  <c r="L19" i="1"/>
  <c r="L20" i="1" s="1"/>
  <c r="P19" i="1" l="1"/>
  <c r="BU76" i="1" l="1"/>
  <c r="BL76" i="1"/>
  <c r="BH87" i="1"/>
  <c r="BH88" i="1" s="1"/>
  <c r="F76" i="1"/>
  <c r="J76" i="1" l="1"/>
  <c r="DD87" i="1"/>
  <c r="DD88" i="1" s="1"/>
  <c r="DB87" i="1"/>
  <c r="DB88" i="1" s="1"/>
  <c r="DA87" i="1"/>
  <c r="DA88" i="1" s="1"/>
  <c r="CZ87" i="1"/>
  <c r="CZ88" i="1" s="1"/>
  <c r="CY87" i="1"/>
  <c r="CY88" i="1" s="1"/>
  <c r="DE86" i="1"/>
  <c r="DC86" i="1"/>
  <c r="DE85" i="1"/>
  <c r="DC85" i="1"/>
  <c r="DE84" i="1"/>
  <c r="DC84" i="1"/>
  <c r="DE83" i="1"/>
  <c r="DC83" i="1"/>
  <c r="DE77" i="1"/>
  <c r="DC77" i="1"/>
  <c r="DE76" i="1"/>
  <c r="DC76" i="1"/>
  <c r="CV87" i="1"/>
  <c r="CV88" i="1" s="1"/>
  <c r="CT87" i="1"/>
  <c r="CT88" i="1" s="1"/>
  <c r="CS87" i="1"/>
  <c r="CS88" i="1" s="1"/>
  <c r="CR87" i="1"/>
  <c r="CR88" i="1" s="1"/>
  <c r="CQ87" i="1"/>
  <c r="CQ88" i="1" s="1"/>
  <c r="CW86" i="1"/>
  <c r="CU86" i="1"/>
  <c r="CW85" i="1"/>
  <c r="CU85" i="1"/>
  <c r="CW84" i="1"/>
  <c r="CU84" i="1"/>
  <c r="CW83" i="1"/>
  <c r="CU83" i="1"/>
  <c r="CW77" i="1"/>
  <c r="CU77" i="1"/>
  <c r="CW76" i="1"/>
  <c r="CU76" i="1"/>
  <c r="CN87" i="1"/>
  <c r="CL87" i="1"/>
  <c r="CL88" i="1" s="1"/>
  <c r="CK87" i="1"/>
  <c r="CK88" i="1" s="1"/>
  <c r="CJ87" i="1"/>
  <c r="CJ88" i="1" s="1"/>
  <c r="CI87" i="1"/>
  <c r="CI88" i="1" s="1"/>
  <c r="CO86" i="1"/>
  <c r="CM86" i="1"/>
  <c r="CO85" i="1"/>
  <c r="CM85" i="1"/>
  <c r="CO84" i="1"/>
  <c r="CM84" i="1"/>
  <c r="CO83" i="1"/>
  <c r="CM83" i="1"/>
  <c r="CO77" i="1"/>
  <c r="CM77" i="1"/>
  <c r="CO76" i="1"/>
  <c r="CM76" i="1"/>
  <c r="CG87" i="1"/>
  <c r="CB88" i="1"/>
  <c r="CA88" i="1"/>
  <c r="CF86" i="1"/>
  <c r="CD86" i="1"/>
  <c r="CF85" i="1"/>
  <c r="CD85" i="1"/>
  <c r="CF84" i="1"/>
  <c r="CD84" i="1"/>
  <c r="CF77" i="1"/>
  <c r="CD77" i="1"/>
  <c r="CF76" i="1"/>
  <c r="CD76" i="1"/>
  <c r="BT88" i="1"/>
  <c r="BX87" i="1" s="1"/>
  <c r="BS88" i="1"/>
  <c r="BR88" i="1"/>
  <c r="BQ87" i="1"/>
  <c r="BQ88" i="1" s="1"/>
  <c r="BW86" i="1"/>
  <c r="BU86" i="1"/>
  <c r="BW85" i="1"/>
  <c r="BU85" i="1"/>
  <c r="BW84" i="1"/>
  <c r="BU84" i="1"/>
  <c r="BW83" i="1"/>
  <c r="BU83" i="1"/>
  <c r="BW77" i="1"/>
  <c r="BU77" i="1"/>
  <c r="BW76" i="1"/>
  <c r="BM87" i="1"/>
  <c r="BM88" i="1" s="1"/>
  <c r="BI87" i="1"/>
  <c r="BJ87" i="1"/>
  <c r="BJ88" i="1" s="1"/>
  <c r="BH135" i="1" s="1"/>
  <c r="BK87" i="1"/>
  <c r="BK88" i="1" s="1"/>
  <c r="BL86" i="1"/>
  <c r="BN85" i="1"/>
  <c r="BL85" i="1"/>
  <c r="BL84" i="1"/>
  <c r="BN77" i="1"/>
  <c r="BL77" i="1"/>
  <c r="BN76" i="1"/>
  <c r="BE87" i="1"/>
  <c r="BE88" i="1" s="1"/>
  <c r="BA87" i="1"/>
  <c r="BA88" i="1" s="1"/>
  <c r="BB87" i="1"/>
  <c r="BB88" i="1" s="1"/>
  <c r="BC87" i="1"/>
  <c r="BC88" i="1" s="1"/>
  <c r="AZ87" i="1"/>
  <c r="AZ88" i="1" s="1"/>
  <c r="BF83" i="1"/>
  <c r="BF77" i="1"/>
  <c r="BF76" i="1"/>
  <c r="BF86" i="1"/>
  <c r="BF85" i="1"/>
  <c r="BF84" i="1"/>
  <c r="BD86" i="1"/>
  <c r="BD85" i="1"/>
  <c r="BD84" i="1"/>
  <c r="BD83" i="1"/>
  <c r="BD77" i="1"/>
  <c r="BD76" i="1"/>
  <c r="AU87" i="1"/>
  <c r="AU88" i="1" s="1"/>
  <c r="AT87" i="1"/>
  <c r="AT88" i="1" s="1"/>
  <c r="AS87" i="1"/>
  <c r="AS88" i="1" s="1"/>
  <c r="AR87" i="1"/>
  <c r="AR88" i="1" s="1"/>
  <c r="AX77" i="1"/>
  <c r="AX76" i="1"/>
  <c r="AX86" i="1"/>
  <c r="AX85" i="1"/>
  <c r="AX84" i="1"/>
  <c r="AX83" i="1"/>
  <c r="AV86" i="1"/>
  <c r="AV85" i="1"/>
  <c r="AV84" i="1"/>
  <c r="AV83" i="1"/>
  <c r="AV77" i="1"/>
  <c r="AV76" i="1"/>
  <c r="AW87" i="1"/>
  <c r="AW88" i="1" s="1"/>
  <c r="AJ87" i="1"/>
  <c r="AJ88" i="1" s="1"/>
  <c r="AO87" i="1"/>
  <c r="AO88" i="1" s="1"/>
  <c r="AN76" i="1"/>
  <c r="AP86" i="1"/>
  <c r="AN86" i="1"/>
  <c r="AP85" i="1"/>
  <c r="AN85" i="1"/>
  <c r="AP84" i="1"/>
  <c r="AN84" i="1"/>
  <c r="AP83" i="1"/>
  <c r="AN83" i="1"/>
  <c r="AP77" i="1"/>
  <c r="AN77" i="1"/>
  <c r="AP76" i="1"/>
  <c r="AG87" i="1"/>
  <c r="AF87" i="1"/>
  <c r="AH86" i="1"/>
  <c r="AF86" i="1"/>
  <c r="AH85" i="1"/>
  <c r="AF85" i="1"/>
  <c r="AH84" i="1"/>
  <c r="AF84" i="1"/>
  <c r="AH83" i="1"/>
  <c r="AF83" i="1"/>
  <c r="AH77" i="1"/>
  <c r="AF77" i="1"/>
  <c r="AH76" i="1"/>
  <c r="AF76" i="1"/>
  <c r="Y87" i="1"/>
  <c r="X77" i="1"/>
  <c r="X76" i="1"/>
  <c r="X87" i="1"/>
  <c r="Z86" i="1"/>
  <c r="X86" i="1"/>
  <c r="Z85" i="1"/>
  <c r="X85" i="1"/>
  <c r="Z84" i="1"/>
  <c r="X84" i="1"/>
  <c r="Z83" i="1"/>
  <c r="X83" i="1"/>
  <c r="Z77" i="1"/>
  <c r="Z76" i="1"/>
  <c r="P86" i="1"/>
  <c r="P85" i="1"/>
  <c r="P84" i="1"/>
  <c r="P83" i="1"/>
  <c r="P77" i="1"/>
  <c r="P76" i="1"/>
  <c r="R86" i="1"/>
  <c r="R85" i="1"/>
  <c r="R84" i="1"/>
  <c r="R83" i="1"/>
  <c r="R77" i="1"/>
  <c r="R76" i="1"/>
  <c r="Q87" i="1"/>
  <c r="O87" i="1"/>
  <c r="O88" i="1" s="1"/>
  <c r="N87" i="1"/>
  <c r="N88" i="1" s="1"/>
  <c r="M87" i="1"/>
  <c r="M88" i="1" s="1"/>
  <c r="G228" i="2"/>
  <c r="F228" i="2" s="1"/>
  <c r="BZ88" i="1" l="1"/>
  <c r="BO87" i="1"/>
  <c r="BI135" i="1"/>
  <c r="H86" i="1"/>
  <c r="BL87" i="1"/>
  <c r="BJ135" i="1" s="1"/>
  <c r="BI88" i="1"/>
  <c r="BG135" i="1" s="1"/>
  <c r="AH87" i="1"/>
  <c r="AG88" i="1"/>
  <c r="CO87" i="1"/>
  <c r="CN88" i="1"/>
  <c r="Z87" i="1"/>
  <c r="Y88" i="1"/>
  <c r="CM87" i="1"/>
  <c r="DC87" i="1"/>
  <c r="CU87" i="1"/>
  <c r="CW87" i="1"/>
  <c r="DE87" i="1"/>
  <c r="BD87" i="1"/>
  <c r="AV87" i="1"/>
  <c r="BU87" i="1"/>
  <c r="BW87" i="1"/>
  <c r="BN87" i="1"/>
  <c r="BF87" i="1"/>
  <c r="AX87" i="1"/>
  <c r="AP87" i="1"/>
  <c r="F100" i="1" l="1"/>
  <c r="J100" i="1" s="1"/>
  <c r="C100" i="1"/>
  <c r="C99" i="1"/>
  <c r="C98" i="1"/>
  <c r="C97" i="1"/>
  <c r="C90" i="1"/>
  <c r="C89" i="1"/>
  <c r="DD101" i="1"/>
  <c r="DD102" i="1" s="1"/>
  <c r="DC100" i="1"/>
  <c r="DC99" i="1"/>
  <c r="DC98" i="1"/>
  <c r="DC97" i="1"/>
  <c r="DC90" i="1"/>
  <c r="DC89" i="1"/>
  <c r="CV101" i="1"/>
  <c r="CV102" i="1" s="1"/>
  <c r="CU100" i="1"/>
  <c r="CU99" i="1"/>
  <c r="CU98" i="1"/>
  <c r="CU97" i="1"/>
  <c r="CU90" i="1"/>
  <c r="CU89" i="1"/>
  <c r="CN101" i="1"/>
  <c r="CN102" i="1" s="1"/>
  <c r="CM100" i="1"/>
  <c r="CM99" i="1"/>
  <c r="CM98" i="1"/>
  <c r="CM97" i="1"/>
  <c r="CM90" i="1"/>
  <c r="CM89" i="1"/>
  <c r="CE101" i="1"/>
  <c r="CD100" i="1"/>
  <c r="CD99" i="1"/>
  <c r="CD98" i="1"/>
  <c r="CD97" i="1"/>
  <c r="CD89" i="1"/>
  <c r="BV101" i="1"/>
  <c r="BV102" i="1" s="1"/>
  <c r="BL90" i="1"/>
  <c r="BD89" i="1"/>
  <c r="BD100" i="1"/>
  <c r="BD99" i="1"/>
  <c r="BD98" i="1"/>
  <c r="BD97" i="1"/>
  <c r="BD90" i="1"/>
  <c r="BF100" i="1"/>
  <c r="BF99" i="1"/>
  <c r="BF98" i="1"/>
  <c r="BF97" i="1"/>
  <c r="BF90" i="1"/>
  <c r="BF89" i="1"/>
  <c r="AX97" i="1"/>
  <c r="AX100" i="1"/>
  <c r="AX99" i="1"/>
  <c r="AX98" i="1"/>
  <c r="AX90" i="1"/>
  <c r="AX89" i="1"/>
  <c r="AV89" i="1"/>
  <c r="AV100" i="1"/>
  <c r="AV99" i="1"/>
  <c r="AV98" i="1"/>
  <c r="AV97" i="1"/>
  <c r="AV90" i="1"/>
  <c r="AR101" i="1"/>
  <c r="AJ101" i="1"/>
  <c r="AJ102" i="1" s="1"/>
  <c r="AK101" i="1"/>
  <c r="AK102" i="1" s="1"/>
  <c r="AL101" i="1"/>
  <c r="AL102" i="1" s="1"/>
  <c r="AM101" i="1"/>
  <c r="AM102" i="1" s="1"/>
  <c r="X100" i="1"/>
  <c r="AF100" i="1"/>
  <c r="AN89" i="1"/>
  <c r="AF89" i="1"/>
  <c r="AP98" i="1"/>
  <c r="AP97" i="1"/>
  <c r="AP90" i="1"/>
  <c r="AP89" i="1"/>
  <c r="AP100" i="1"/>
  <c r="AP99" i="1"/>
  <c r="AN100" i="1"/>
  <c r="AN99" i="1"/>
  <c r="AN98" i="1"/>
  <c r="AN97" i="1"/>
  <c r="AN90" i="1"/>
  <c r="DB101" i="1"/>
  <c r="DB102" i="1" s="1"/>
  <c r="DA101" i="1"/>
  <c r="DA102" i="1" s="1"/>
  <c r="CZ101" i="1"/>
  <c r="CY101" i="1"/>
  <c r="CY102" i="1" s="1"/>
  <c r="CT101" i="1"/>
  <c r="CT102" i="1" s="1"/>
  <c r="CS101" i="1"/>
  <c r="CS102" i="1" s="1"/>
  <c r="CR101" i="1"/>
  <c r="CR102" i="1" s="1"/>
  <c r="CQ101" i="1"/>
  <c r="CQ102" i="1" s="1"/>
  <c r="CL101" i="1"/>
  <c r="CL102" i="1" s="1"/>
  <c r="CK101" i="1"/>
  <c r="CK102" i="1" s="1"/>
  <c r="CJ101" i="1"/>
  <c r="CI101" i="1"/>
  <c r="CI102" i="1" s="1"/>
  <c r="CB102" i="1"/>
  <c r="CA102" i="1"/>
  <c r="BZ102" i="1"/>
  <c r="BT101" i="1"/>
  <c r="BT102" i="1" s="1"/>
  <c r="BX101" i="1" s="1"/>
  <c r="BS101" i="1"/>
  <c r="BS102" i="1" s="1"/>
  <c r="BR101" i="1"/>
  <c r="BQ101" i="1"/>
  <c r="BQ102" i="1" s="1"/>
  <c r="BM101" i="1"/>
  <c r="BK101" i="1"/>
  <c r="BK102" i="1" s="1"/>
  <c r="BJ101" i="1"/>
  <c r="BJ102" i="1" s="1"/>
  <c r="BH136" i="1" s="1"/>
  <c r="BI101" i="1"/>
  <c r="BI102" i="1" s="1"/>
  <c r="BG136" i="1" s="1"/>
  <c r="BH101" i="1"/>
  <c r="BH102" i="1" s="1"/>
  <c r="BE101" i="1"/>
  <c r="BE102" i="1" s="1"/>
  <c r="BC101" i="1"/>
  <c r="BC102" i="1" s="1"/>
  <c r="BB101" i="1"/>
  <c r="BB102" i="1" s="1"/>
  <c r="BA101" i="1"/>
  <c r="BA102" i="1" s="1"/>
  <c r="AZ101" i="1"/>
  <c r="AZ102" i="1" s="1"/>
  <c r="AW101" i="1"/>
  <c r="AU101" i="1"/>
  <c r="AT101" i="1"/>
  <c r="AS101" i="1"/>
  <c r="AO101" i="1"/>
  <c r="AO102" i="1" s="1"/>
  <c r="AB101" i="1"/>
  <c r="AB102" i="1" s="1"/>
  <c r="AG101" i="1"/>
  <c r="AE101" i="1"/>
  <c r="AE102" i="1" s="1"/>
  <c r="AD101" i="1"/>
  <c r="AD102" i="1" s="1"/>
  <c r="AC101" i="1"/>
  <c r="T101" i="1"/>
  <c r="T102" i="1" s="1"/>
  <c r="P100" i="1"/>
  <c r="AH100" i="1"/>
  <c r="AH99" i="1"/>
  <c r="AH98" i="1"/>
  <c r="AH97" i="1"/>
  <c r="AH90" i="1"/>
  <c r="AH89" i="1"/>
  <c r="Z89" i="1"/>
  <c r="AF99" i="1"/>
  <c r="AF98" i="1"/>
  <c r="AF97" i="1"/>
  <c r="AF90" i="1"/>
  <c r="X89" i="1"/>
  <c r="W101" i="1"/>
  <c r="W102" i="1" s="1"/>
  <c r="Z100" i="1"/>
  <c r="Z99" i="1"/>
  <c r="Z98" i="1"/>
  <c r="Z97" i="1"/>
  <c r="Z90" i="1"/>
  <c r="X99" i="1"/>
  <c r="X98" i="1"/>
  <c r="X97" i="1"/>
  <c r="X90" i="1"/>
  <c r="O101" i="1"/>
  <c r="O102" i="1" s="1"/>
  <c r="Q101" i="1"/>
  <c r="R89" i="1"/>
  <c r="R100" i="1"/>
  <c r="R99" i="1"/>
  <c r="R98" i="1"/>
  <c r="R97" i="1"/>
  <c r="R90" i="1"/>
  <c r="P99" i="1"/>
  <c r="P98" i="1"/>
  <c r="P97" i="1"/>
  <c r="P90" i="1"/>
  <c r="P89" i="1"/>
  <c r="N101" i="1"/>
  <c r="N102" i="1" s="1"/>
  <c r="M101" i="1"/>
  <c r="M102" i="1" s="1"/>
  <c r="L101" i="1"/>
  <c r="L102" i="1" s="1"/>
  <c r="Y101" i="1"/>
  <c r="U101" i="1"/>
  <c r="U102" i="1" s="1"/>
  <c r="V101" i="1"/>
  <c r="V102" i="1" s="1"/>
  <c r="CG101" i="1" l="1"/>
  <c r="CC129" i="1"/>
  <c r="CE102" i="1"/>
  <c r="CF101" i="1"/>
  <c r="BO101" i="1"/>
  <c r="BI136" i="1"/>
  <c r="BM102" i="1"/>
  <c r="H100" i="1"/>
  <c r="DC101" i="1"/>
  <c r="CZ102" i="1"/>
  <c r="Z101" i="1"/>
  <c r="Y102" i="1"/>
  <c r="CM101" i="1"/>
  <c r="CJ102" i="1"/>
  <c r="BU101" i="1"/>
  <c r="BR102" i="1"/>
  <c r="AF101" i="1"/>
  <c r="AC102" i="1"/>
  <c r="AH101" i="1"/>
  <c r="AG102" i="1"/>
  <c r="BF101" i="1"/>
  <c r="AV101" i="1"/>
  <c r="AX101" i="1"/>
  <c r="P101" i="1"/>
  <c r="CD101" i="1"/>
  <c r="CU101" i="1"/>
  <c r="AN101" i="1"/>
  <c r="BD101" i="1"/>
  <c r="AP101" i="1"/>
  <c r="R101" i="1"/>
  <c r="X101" i="1"/>
  <c r="BL101" i="1"/>
  <c r="BJ136" i="1" s="1"/>
  <c r="AX34" i="1"/>
  <c r="AP47" i="1"/>
  <c r="AP46" i="1"/>
  <c r="AP45" i="1"/>
  <c r="AP44" i="1"/>
  <c r="AX35" i="1"/>
  <c r="AX44" i="1"/>
  <c r="AX45" i="1"/>
  <c r="AX46" i="1"/>
  <c r="AX47" i="1"/>
  <c r="AL48" i="1"/>
  <c r="AL49" i="1" s="1"/>
  <c r="AP34" i="1"/>
  <c r="AN34" i="1"/>
  <c r="U48" i="1"/>
  <c r="U49" i="1" s="1"/>
  <c r="V48" i="1"/>
  <c r="V49" i="1" s="1"/>
  <c r="Z34" i="1"/>
  <c r="W46" i="1"/>
  <c r="R34" i="1"/>
  <c r="P34" i="1"/>
  <c r="L48" i="1"/>
  <c r="C47" i="1"/>
  <c r="C46" i="1"/>
  <c r="C45" i="1"/>
  <c r="C44" i="1"/>
  <c r="C48" i="1" l="1"/>
  <c r="L49" i="1"/>
  <c r="L54" i="1"/>
  <c r="L61" i="1" s="1"/>
  <c r="L62" i="1" s="1"/>
  <c r="DD61" i="1"/>
  <c r="DD62" i="1" s="1"/>
  <c r="DE60" i="1"/>
  <c r="DC60" i="1"/>
  <c r="DE59" i="1"/>
  <c r="DC59" i="1"/>
  <c r="DE58" i="1"/>
  <c r="DC58" i="1"/>
  <c r="DE57" i="1"/>
  <c r="DC57" i="1"/>
  <c r="DE51" i="1"/>
  <c r="DC51" i="1"/>
  <c r="DE50" i="1"/>
  <c r="DC50" i="1"/>
  <c r="CV61" i="1"/>
  <c r="CV62" i="1" s="1"/>
  <c r="CW60" i="1"/>
  <c r="CU60" i="1"/>
  <c r="CW59" i="1"/>
  <c r="CU59" i="1"/>
  <c r="CW58" i="1"/>
  <c r="CU58" i="1"/>
  <c r="CW57" i="1"/>
  <c r="CU57" i="1"/>
  <c r="CW51" i="1"/>
  <c r="CU51" i="1"/>
  <c r="CW50" i="1"/>
  <c r="CU50" i="1"/>
  <c r="CN61" i="1"/>
  <c r="CN62" i="1" s="1"/>
  <c r="CO60" i="1"/>
  <c r="CM60" i="1"/>
  <c r="CO59" i="1"/>
  <c r="CM59" i="1"/>
  <c r="CO58" i="1"/>
  <c r="CM58" i="1"/>
  <c r="CO57" i="1"/>
  <c r="CM57" i="1"/>
  <c r="CO51" i="1"/>
  <c r="CM51" i="1"/>
  <c r="CO50" i="1"/>
  <c r="CM50" i="1"/>
  <c r="CE61" i="1"/>
  <c r="CE62" i="1" s="1"/>
  <c r="CF60" i="1"/>
  <c r="CD60" i="1"/>
  <c r="CF59" i="1"/>
  <c r="CD59" i="1"/>
  <c r="CF58" i="1"/>
  <c r="CD58" i="1"/>
  <c r="CF57" i="1"/>
  <c r="CD57" i="1"/>
  <c r="CF51" i="1"/>
  <c r="CD51" i="1"/>
  <c r="CF50" i="1"/>
  <c r="CD50" i="1"/>
  <c r="BV61" i="1"/>
  <c r="BV62" i="1" s="1"/>
  <c r="BW60" i="1"/>
  <c r="BU60" i="1"/>
  <c r="BW59" i="1"/>
  <c r="BU59" i="1"/>
  <c r="BW58" i="1"/>
  <c r="BU58" i="1"/>
  <c r="BW57" i="1"/>
  <c r="BU57" i="1"/>
  <c r="BW51" i="1"/>
  <c r="BU51" i="1"/>
  <c r="BW50" i="1"/>
  <c r="BU50" i="1"/>
  <c r="BM61" i="1"/>
  <c r="BM62" i="1" s="1"/>
  <c r="BN60" i="1"/>
  <c r="BL60" i="1"/>
  <c r="BN59" i="1"/>
  <c r="BL59" i="1"/>
  <c r="BN58" i="1"/>
  <c r="BL58" i="1"/>
  <c r="BN57" i="1"/>
  <c r="BL57" i="1"/>
  <c r="BN51" i="1"/>
  <c r="BL51" i="1"/>
  <c r="BN50" i="1"/>
  <c r="BL50" i="1"/>
  <c r="BH61" i="1"/>
  <c r="BH62" i="1" s="1"/>
  <c r="BI61" i="1"/>
  <c r="BI62" i="1" s="1"/>
  <c r="BG133" i="1" s="1"/>
  <c r="BJ61" i="1"/>
  <c r="BJ62" i="1" s="1"/>
  <c r="BH133" i="1" s="1"/>
  <c r="BK61" i="1"/>
  <c r="BK62" i="1" s="1"/>
  <c r="BQ61" i="1"/>
  <c r="BQ62" i="1" s="1"/>
  <c r="BR61" i="1"/>
  <c r="BR62" i="1" s="1"/>
  <c r="BS61" i="1"/>
  <c r="BS62" i="1" s="1"/>
  <c r="BX61" i="1"/>
  <c r="BZ61" i="1"/>
  <c r="BZ62" i="1" s="1"/>
  <c r="CA61" i="1"/>
  <c r="CA62" i="1" s="1"/>
  <c r="CB61" i="1"/>
  <c r="CB62" i="1" s="1"/>
  <c r="CC62" i="1"/>
  <c r="CG61" i="1" s="1"/>
  <c r="CI61" i="1"/>
  <c r="CI62" i="1" s="1"/>
  <c r="CJ61" i="1"/>
  <c r="CJ62" i="1" s="1"/>
  <c r="CK61" i="1"/>
  <c r="CK62" i="1" s="1"/>
  <c r="CL61" i="1"/>
  <c r="CL62" i="1" s="1"/>
  <c r="CQ61" i="1"/>
  <c r="CQ62" i="1" s="1"/>
  <c r="CR61" i="1"/>
  <c r="CR62" i="1" s="1"/>
  <c r="CS61" i="1"/>
  <c r="CS62" i="1" s="1"/>
  <c r="CT61" i="1"/>
  <c r="CT62" i="1" s="1"/>
  <c r="CY61" i="1"/>
  <c r="CY62" i="1" s="1"/>
  <c r="CZ61" i="1"/>
  <c r="CZ62" i="1" s="1"/>
  <c r="DA61" i="1"/>
  <c r="DA62" i="1" s="1"/>
  <c r="DB61" i="1"/>
  <c r="DB62" i="1" s="1"/>
  <c r="BE61" i="1"/>
  <c r="BE62" i="1" s="1"/>
  <c r="BC61" i="1"/>
  <c r="BC62" i="1" s="1"/>
  <c r="BB61" i="1"/>
  <c r="BB62" i="1" s="1"/>
  <c r="BA61" i="1"/>
  <c r="BA62" i="1" s="1"/>
  <c r="AZ61" i="1"/>
  <c r="AZ62" i="1" s="1"/>
  <c r="BF60" i="1"/>
  <c r="BD60" i="1"/>
  <c r="BF59" i="1"/>
  <c r="BD59" i="1"/>
  <c r="BF58" i="1"/>
  <c r="BD58" i="1"/>
  <c r="BF57" i="1"/>
  <c r="BD57" i="1"/>
  <c r="BF51" i="1"/>
  <c r="BD51" i="1"/>
  <c r="BF50" i="1"/>
  <c r="BD50" i="1"/>
  <c r="AW61" i="1"/>
  <c r="AW62" i="1" s="1"/>
  <c r="AU61" i="1"/>
  <c r="AU62" i="1" s="1"/>
  <c r="AT61" i="1"/>
  <c r="AT62" i="1" s="1"/>
  <c r="AS61" i="1"/>
  <c r="AS62" i="1" s="1"/>
  <c r="AR61" i="1"/>
  <c r="AR62" i="1" s="1"/>
  <c r="AX60" i="1"/>
  <c r="AV60" i="1"/>
  <c r="AX59" i="1"/>
  <c r="AV59" i="1"/>
  <c r="AX58" i="1"/>
  <c r="AV58" i="1"/>
  <c r="AX57" i="1"/>
  <c r="AV57" i="1"/>
  <c r="AX51" i="1"/>
  <c r="AV51" i="1"/>
  <c r="AX50" i="1"/>
  <c r="AV50" i="1"/>
  <c r="AL61" i="1"/>
  <c r="AL62" i="1" s="1"/>
  <c r="AP50" i="1"/>
  <c r="AP60" i="1"/>
  <c r="AP59" i="1"/>
  <c r="AP58" i="1"/>
  <c r="AP57" i="1"/>
  <c r="AP51" i="1"/>
  <c r="AN60" i="1"/>
  <c r="AN59" i="1"/>
  <c r="AN58" i="1"/>
  <c r="AN57" i="1"/>
  <c r="AN51" i="1"/>
  <c r="AN50" i="1"/>
  <c r="AF50" i="1"/>
  <c r="AH60" i="1"/>
  <c r="AH59" i="1"/>
  <c r="AH58" i="1"/>
  <c r="AH57" i="1"/>
  <c r="AH51" i="1"/>
  <c r="AH50" i="1"/>
  <c r="AF60" i="1"/>
  <c r="AF59" i="1"/>
  <c r="AF58" i="1"/>
  <c r="AF57" i="1"/>
  <c r="AF51" i="1"/>
  <c r="G98" i="2"/>
  <c r="F98" i="2" s="1"/>
  <c r="G99" i="2"/>
  <c r="F99" i="2" s="1"/>
  <c r="G100" i="2"/>
  <c r="F100" i="2" s="1"/>
  <c r="G101" i="2"/>
  <c r="F101" i="2" s="1"/>
  <c r="G102" i="2"/>
  <c r="F102" i="2" s="1"/>
  <c r="G103" i="2"/>
  <c r="F103" i="2" s="1"/>
  <c r="G104" i="2"/>
  <c r="F104" i="2" s="1"/>
  <c r="G105" i="2"/>
  <c r="F105" i="2" s="1"/>
  <c r="G106" i="2"/>
  <c r="F106" i="2" s="1"/>
  <c r="G108" i="2"/>
  <c r="F108" i="2" s="1"/>
  <c r="G109" i="2"/>
  <c r="F109" i="2" s="1"/>
  <c r="G110" i="2"/>
  <c r="F110" i="2" s="1"/>
  <c r="G111" i="2"/>
  <c r="F111" i="2" s="1"/>
  <c r="G112" i="2"/>
  <c r="F112" i="2" s="1"/>
  <c r="G113" i="2"/>
  <c r="F113" i="2" s="1"/>
  <c r="G114" i="2"/>
  <c r="F114" i="2" s="1"/>
  <c r="G115" i="2"/>
  <c r="F115" i="2" s="1"/>
  <c r="G116" i="2"/>
  <c r="F116" i="2" s="1"/>
  <c r="G117" i="2"/>
  <c r="F117" i="2" s="1"/>
  <c r="G118" i="2"/>
  <c r="F118" i="2" s="1"/>
  <c r="G119" i="2"/>
  <c r="F119" i="2" s="1"/>
  <c r="G120" i="2"/>
  <c r="F120" i="2" s="1"/>
  <c r="G121" i="2"/>
  <c r="F121" i="2" s="1"/>
  <c r="G122" i="2"/>
  <c r="F122" i="2" s="1"/>
  <c r="G123" i="2"/>
  <c r="F123" i="2" s="1"/>
  <c r="G124" i="2"/>
  <c r="F124" i="2" s="1"/>
  <c r="G8" i="2"/>
  <c r="F8" i="2" s="1"/>
  <c r="G9" i="2"/>
  <c r="F9" i="2" s="1"/>
  <c r="G10" i="2"/>
  <c r="F10" i="2" s="1"/>
  <c r="G11" i="2"/>
  <c r="F11" i="2" s="1"/>
  <c r="D324" i="2" s="1"/>
  <c r="G12" i="2"/>
  <c r="F12" i="2" s="1"/>
  <c r="G13" i="2"/>
  <c r="F13" i="2" s="1"/>
  <c r="G14" i="2"/>
  <c r="F14" i="2" s="1"/>
  <c r="G15" i="2"/>
  <c r="F15" i="2" s="1"/>
  <c r="G16" i="2"/>
  <c r="F16" i="2" s="1"/>
  <c r="G17" i="2"/>
  <c r="F17" i="2" s="1"/>
  <c r="G18" i="2"/>
  <c r="F18" i="2" s="1"/>
  <c r="G19" i="2"/>
  <c r="F19" i="2" s="1"/>
  <c r="G20" i="2"/>
  <c r="F20" i="2" s="1"/>
  <c r="G21" i="2"/>
  <c r="F21" i="2" s="1"/>
  <c r="G22" i="2"/>
  <c r="F22" i="2" s="1"/>
  <c r="G23" i="2"/>
  <c r="F23" i="2" s="1"/>
  <c r="G24" i="2"/>
  <c r="F24" i="2" s="1"/>
  <c r="G25" i="2"/>
  <c r="F25" i="2" s="1"/>
  <c r="G26" i="2"/>
  <c r="F26" i="2" s="1"/>
  <c r="G27" i="2"/>
  <c r="F27" i="2" s="1"/>
  <c r="G28" i="2"/>
  <c r="F28" i="2" s="1"/>
  <c r="G29" i="2"/>
  <c r="F29" i="2" s="1"/>
  <c r="G30" i="2"/>
  <c r="F30" i="2" s="1"/>
  <c r="G31" i="2"/>
  <c r="F31" i="2" s="1"/>
  <c r="G32" i="2"/>
  <c r="F32" i="2" s="1"/>
  <c r="G33" i="2"/>
  <c r="F33" i="2" s="1"/>
  <c r="G34" i="2"/>
  <c r="F34" i="2" s="1"/>
  <c r="G35" i="2"/>
  <c r="F35" i="2" s="1"/>
  <c r="G36" i="2"/>
  <c r="F36" i="2" s="1"/>
  <c r="G60" i="2"/>
  <c r="F60" i="2" s="1"/>
  <c r="G61" i="2"/>
  <c r="F61" i="2" s="1"/>
  <c r="G62" i="2"/>
  <c r="F62" i="2" s="1"/>
  <c r="G63" i="2"/>
  <c r="F63" i="2" s="1"/>
  <c r="D340" i="2" s="1"/>
  <c r="G64" i="2"/>
  <c r="F64" i="2" s="1"/>
  <c r="G66" i="2"/>
  <c r="F66" i="2" s="1"/>
  <c r="G67" i="2"/>
  <c r="F67" i="2" s="1"/>
  <c r="G68" i="2"/>
  <c r="F68" i="2" s="1"/>
  <c r="G69" i="2"/>
  <c r="F69" i="2" s="1"/>
  <c r="G70" i="2"/>
  <c r="F70" i="2" s="1"/>
  <c r="G71" i="2"/>
  <c r="F71" i="2" s="1"/>
  <c r="G72" i="2"/>
  <c r="F72" i="2" s="1"/>
  <c r="G73" i="2"/>
  <c r="F73" i="2" s="1"/>
  <c r="G74" i="2"/>
  <c r="F74" i="2" s="1"/>
  <c r="G75" i="2"/>
  <c r="F75" i="2" s="1"/>
  <c r="G76" i="2"/>
  <c r="F76" i="2" s="1"/>
  <c r="G77" i="2"/>
  <c r="F77" i="2" s="1"/>
  <c r="G78" i="2"/>
  <c r="F78" i="2" s="1"/>
  <c r="G79" i="2"/>
  <c r="F79" i="2" s="1"/>
  <c r="G80" i="2"/>
  <c r="F80" i="2" s="1"/>
  <c r="D328" i="2" s="1"/>
  <c r="G81" i="2"/>
  <c r="F81" i="2" s="1"/>
  <c r="G82" i="2"/>
  <c r="F82" i="2" s="1"/>
  <c r="G97" i="2"/>
  <c r="F97" i="2" s="1"/>
  <c r="G206" i="2"/>
  <c r="F206" i="2" s="1"/>
  <c r="G207" i="2"/>
  <c r="F207" i="2" s="1"/>
  <c r="G208" i="2"/>
  <c r="F208" i="2" s="1"/>
  <c r="G209" i="2"/>
  <c r="F209" i="2" s="1"/>
  <c r="G210" i="2"/>
  <c r="F210" i="2" s="1"/>
  <c r="G211" i="2"/>
  <c r="F211" i="2" s="1"/>
  <c r="G212" i="2"/>
  <c r="F212" i="2" s="1"/>
  <c r="G213" i="2"/>
  <c r="F213" i="2" s="1"/>
  <c r="G214" i="2"/>
  <c r="F214" i="2" s="1"/>
  <c r="G215" i="2"/>
  <c r="F215" i="2" s="1"/>
  <c r="G216" i="2"/>
  <c r="F216" i="2" s="1"/>
  <c r="G217" i="2"/>
  <c r="F217" i="2" s="1"/>
  <c r="G218" i="2"/>
  <c r="F218" i="2" s="1"/>
  <c r="G219" i="2"/>
  <c r="F219" i="2" s="1"/>
  <c r="G220" i="2"/>
  <c r="F220" i="2" s="1"/>
  <c r="G221" i="2"/>
  <c r="F221" i="2" s="1"/>
  <c r="G222" i="2"/>
  <c r="F222" i="2" s="1"/>
  <c r="G223" i="2"/>
  <c r="F223" i="2" s="1"/>
  <c r="G224" i="2"/>
  <c r="F224" i="2" s="1"/>
  <c r="G225" i="2"/>
  <c r="F225" i="2" s="1"/>
  <c r="G226" i="2"/>
  <c r="F226" i="2" s="1"/>
  <c r="G227" i="2"/>
  <c r="F227" i="2" s="1"/>
  <c r="D350" i="2" s="1"/>
  <c r="G229" i="2"/>
  <c r="F229" i="2" s="1"/>
  <c r="G240" i="2"/>
  <c r="F240" i="2" s="1"/>
  <c r="G241" i="2"/>
  <c r="F241" i="2" s="1"/>
  <c r="G242" i="2"/>
  <c r="F242" i="2" s="1"/>
  <c r="G243" i="2"/>
  <c r="F243" i="2" s="1"/>
  <c r="G244" i="2"/>
  <c r="F244" i="2" s="1"/>
  <c r="G245" i="2"/>
  <c r="F245" i="2" s="1"/>
  <c r="G247" i="2"/>
  <c r="F247" i="2" s="1"/>
  <c r="G248" i="2"/>
  <c r="F248" i="2" s="1"/>
  <c r="G189" i="2"/>
  <c r="F189" i="2" s="1"/>
  <c r="G190" i="2"/>
  <c r="F190" i="2" s="1"/>
  <c r="G191" i="2"/>
  <c r="F191" i="2" s="1"/>
  <c r="G192" i="2"/>
  <c r="F192" i="2" s="1"/>
  <c r="G193" i="2"/>
  <c r="F193" i="2" s="1"/>
  <c r="G194" i="2"/>
  <c r="F194" i="2" s="1"/>
  <c r="G195" i="2"/>
  <c r="F195" i="2" s="1"/>
  <c r="G107" i="2"/>
  <c r="F107" i="2" s="1"/>
  <c r="U61" i="1"/>
  <c r="U62" i="1" s="1"/>
  <c r="Z60" i="1"/>
  <c r="Z59" i="1"/>
  <c r="Z58" i="1"/>
  <c r="Z57" i="1"/>
  <c r="Z51" i="1"/>
  <c r="Z50" i="1"/>
  <c r="X60" i="1"/>
  <c r="X59" i="1"/>
  <c r="X58" i="1"/>
  <c r="X57" i="1"/>
  <c r="X51" i="1"/>
  <c r="X50" i="1"/>
  <c r="T61" i="1"/>
  <c r="T62" i="1" s="1"/>
  <c r="P50" i="1"/>
  <c r="AO61" i="1"/>
  <c r="AO62" i="1" s="1"/>
  <c r="AM61" i="1"/>
  <c r="AM62" i="1" s="1"/>
  <c r="AK61" i="1"/>
  <c r="AK62" i="1" s="1"/>
  <c r="AJ61" i="1"/>
  <c r="AJ62" i="1" s="1"/>
  <c r="AG61" i="1"/>
  <c r="AG62" i="1" s="1"/>
  <c r="AE61" i="1"/>
  <c r="AE62" i="1" s="1"/>
  <c r="AD61" i="1"/>
  <c r="AD62" i="1" s="1"/>
  <c r="AC61" i="1"/>
  <c r="AC62" i="1" s="1"/>
  <c r="AB61" i="1"/>
  <c r="AB62" i="1" s="1"/>
  <c r="Y61" i="1"/>
  <c r="Y62" i="1" s="1"/>
  <c r="W61" i="1"/>
  <c r="W62" i="1" s="1"/>
  <c r="V61" i="1"/>
  <c r="V62" i="1" s="1"/>
  <c r="O61" i="1"/>
  <c r="O62" i="1" s="1"/>
  <c r="N61" i="1"/>
  <c r="N62" i="1" s="1"/>
  <c r="M61" i="1"/>
  <c r="M62" i="1" s="1"/>
  <c r="R60" i="1"/>
  <c r="R59" i="1"/>
  <c r="R58" i="1"/>
  <c r="R57" i="1"/>
  <c r="R51" i="1"/>
  <c r="R50" i="1"/>
  <c r="P60" i="1"/>
  <c r="P59" i="1"/>
  <c r="P58" i="1"/>
  <c r="P57" i="1"/>
  <c r="P51" i="1"/>
  <c r="C60" i="1"/>
  <c r="C59" i="1"/>
  <c r="C58" i="1"/>
  <c r="C57" i="1"/>
  <c r="C51" i="1"/>
  <c r="D347" i="2" l="1"/>
  <c r="D322" i="2"/>
  <c r="D323" i="2"/>
  <c r="D337" i="2"/>
  <c r="D331" i="2"/>
  <c r="D349" i="2"/>
  <c r="D348" i="2"/>
  <c r="D332" i="2"/>
  <c r="F316" i="2"/>
  <c r="D321" i="2"/>
  <c r="D335" i="2"/>
  <c r="D338" i="2"/>
  <c r="D325" i="2"/>
  <c r="D336" i="2"/>
  <c r="D326" i="2"/>
  <c r="D344" i="2"/>
  <c r="D343" i="2"/>
  <c r="D327" i="2"/>
  <c r="D339" i="2"/>
  <c r="BO61" i="1"/>
  <c r="BI133" i="1"/>
  <c r="Z61" i="1"/>
  <c r="AF61" i="1"/>
  <c r="AV61" i="1"/>
  <c r="AN61" i="1"/>
  <c r="X61" i="1"/>
  <c r="CW61" i="1"/>
  <c r="AP61" i="1"/>
  <c r="BD61" i="1"/>
  <c r="DC61" i="1"/>
  <c r="CM61" i="1"/>
  <c r="CU61" i="1"/>
  <c r="BL61" i="1"/>
  <c r="BJ133" i="1" s="1"/>
  <c r="BN61" i="1"/>
  <c r="P61" i="1"/>
  <c r="AH61" i="1"/>
  <c r="BW61" i="1"/>
  <c r="AX61" i="1"/>
  <c r="BF61" i="1"/>
  <c r="CD61" i="1"/>
  <c r="DE61" i="1"/>
  <c r="CO61" i="1"/>
  <c r="CF61" i="1"/>
  <c r="BU61" i="1"/>
  <c r="C61" i="1"/>
  <c r="C62" i="1" s="1"/>
  <c r="D352" i="2" l="1"/>
  <c r="E348" i="2" s="1"/>
  <c r="D341" i="2"/>
  <c r="E332" i="2" s="1"/>
  <c r="D329" i="2"/>
  <c r="C73" i="1"/>
  <c r="C72" i="1"/>
  <c r="C71" i="1"/>
  <c r="C70" i="1"/>
  <c r="C64" i="1"/>
  <c r="DE73" i="1"/>
  <c r="DC73" i="1"/>
  <c r="DE72" i="1"/>
  <c r="DC72" i="1"/>
  <c r="DE71" i="1"/>
  <c r="DC71" i="1"/>
  <c r="DE64" i="1"/>
  <c r="DC64" i="1"/>
  <c r="DE63" i="1"/>
  <c r="DC63" i="1"/>
  <c r="CW73" i="1"/>
  <c r="CU73" i="1"/>
  <c r="CW72" i="1"/>
  <c r="CU72" i="1"/>
  <c r="CW71" i="1"/>
  <c r="CU71" i="1"/>
  <c r="CW64" i="1"/>
  <c r="CU64" i="1"/>
  <c r="CW63" i="1"/>
  <c r="CU63" i="1"/>
  <c r="CO73" i="1"/>
  <c r="CM73" i="1"/>
  <c r="CO72" i="1"/>
  <c r="CM72" i="1"/>
  <c r="CO71" i="1"/>
  <c r="CM71" i="1"/>
  <c r="CO64" i="1"/>
  <c r="CM64" i="1"/>
  <c r="CO63" i="1"/>
  <c r="CM63" i="1"/>
  <c r="CE74" i="1"/>
  <c r="CE75" i="1" s="1"/>
  <c r="CF73" i="1"/>
  <c r="CF72" i="1"/>
  <c r="CF71" i="1"/>
  <c r="CF70" i="1"/>
  <c r="DD74" i="1" s="1"/>
  <c r="DD75" i="1" s="1"/>
  <c r="CF64" i="1"/>
  <c r="CF63" i="1"/>
  <c r="CD63" i="1"/>
  <c r="BV74" i="1"/>
  <c r="BV75" i="1" s="1"/>
  <c r="BW73" i="1"/>
  <c r="BU73" i="1"/>
  <c r="BW72" i="1"/>
  <c r="BU72" i="1"/>
  <c r="BW71" i="1"/>
  <c r="BU71" i="1"/>
  <c r="BW70" i="1"/>
  <c r="BU70" i="1"/>
  <c r="BW64" i="1"/>
  <c r="BU64" i="1"/>
  <c r="BW63" i="1"/>
  <c r="BU63" i="1"/>
  <c r="BN72" i="1"/>
  <c r="BN64" i="1"/>
  <c r="BN63" i="1"/>
  <c r="BL73" i="1"/>
  <c r="BL72" i="1"/>
  <c r="BL64" i="1"/>
  <c r="BL63" i="1"/>
  <c r="DB74" i="1"/>
  <c r="DB75" i="1" s="1"/>
  <c r="DA74" i="1"/>
  <c r="DA75" i="1" s="1"/>
  <c r="CY74" i="1"/>
  <c r="CY75" i="1" s="1"/>
  <c r="CT74" i="1"/>
  <c r="CT75" i="1" s="1"/>
  <c r="CS74" i="1"/>
  <c r="CS75" i="1" s="1"/>
  <c r="CQ74" i="1"/>
  <c r="CQ75" i="1" s="1"/>
  <c r="CL74" i="1"/>
  <c r="CL75" i="1" s="1"/>
  <c r="CK74" i="1"/>
  <c r="CK75" i="1" s="1"/>
  <c r="CI74" i="1"/>
  <c r="CI75" i="1" s="1"/>
  <c r="CC75" i="1"/>
  <c r="CB74" i="1"/>
  <c r="CB75" i="1" s="1"/>
  <c r="BZ74" i="1"/>
  <c r="BT75" i="1"/>
  <c r="BX74" i="1" s="1"/>
  <c r="BS74" i="1"/>
  <c r="BS75" i="1" s="1"/>
  <c r="BQ74" i="1"/>
  <c r="BQ75" i="1" s="1"/>
  <c r="BM74" i="1"/>
  <c r="BK74" i="1"/>
  <c r="BJ74" i="1"/>
  <c r="BJ75" i="1" s="1"/>
  <c r="BH134" i="1" s="1"/>
  <c r="BB71" i="1"/>
  <c r="BB73" i="1"/>
  <c r="BB72" i="1"/>
  <c r="BB70" i="1"/>
  <c r="BB64" i="1"/>
  <c r="BB63" i="1"/>
  <c r="BF73" i="1"/>
  <c r="BF72" i="1"/>
  <c r="BF71" i="1"/>
  <c r="BF70" i="1"/>
  <c r="BF64" i="1"/>
  <c r="BF63" i="1"/>
  <c r="BD73" i="1"/>
  <c r="BD72" i="1"/>
  <c r="BD71" i="1"/>
  <c r="BD70" i="1"/>
  <c r="BD64" i="1"/>
  <c r="BD63" i="1"/>
  <c r="BE74" i="1"/>
  <c r="BE75" i="1" s="1"/>
  <c r="BC74" i="1"/>
  <c r="BC75" i="1" s="1"/>
  <c r="AZ74" i="1"/>
  <c r="AZ75" i="1" s="1"/>
  <c r="AS73" i="1"/>
  <c r="AV73" i="1" s="1"/>
  <c r="AS72" i="1"/>
  <c r="AV72" i="1" s="1"/>
  <c r="AS71" i="1"/>
  <c r="AV71" i="1" s="1"/>
  <c r="AS70" i="1"/>
  <c r="AV70" i="1" s="1"/>
  <c r="AS64" i="1"/>
  <c r="AV64" i="1" s="1"/>
  <c r="AS63" i="1"/>
  <c r="AV63" i="1" s="1"/>
  <c r="AX73" i="1"/>
  <c r="AX72" i="1"/>
  <c r="AX71" i="1"/>
  <c r="AX70" i="1"/>
  <c r="AX64" i="1"/>
  <c r="AX63" i="1"/>
  <c r="AW74" i="1"/>
  <c r="AW75" i="1" s="1"/>
  <c r="AU74" i="1"/>
  <c r="AU75" i="1" s="1"/>
  <c r="AT74" i="1"/>
  <c r="AT75" i="1" s="1"/>
  <c r="AR74" i="1"/>
  <c r="AR75" i="1" s="1"/>
  <c r="AK72" i="1"/>
  <c r="AN72" i="1" s="1"/>
  <c r="AK73" i="1"/>
  <c r="AN73" i="1" s="1"/>
  <c r="AK63" i="1"/>
  <c r="AN63" i="1" s="1"/>
  <c r="AK64" i="1"/>
  <c r="AN64" i="1" s="1"/>
  <c r="AK70" i="1"/>
  <c r="AN70" i="1" s="1"/>
  <c r="AK71" i="1"/>
  <c r="AN71" i="1" s="1"/>
  <c r="AO74" i="1"/>
  <c r="AO75" i="1" s="1"/>
  <c r="AM74" i="1"/>
  <c r="AM75" i="1" s="1"/>
  <c r="AL74" i="1"/>
  <c r="AL75" i="1" s="1"/>
  <c r="AJ74" i="1"/>
  <c r="AJ75" i="1" s="1"/>
  <c r="AP73" i="1"/>
  <c r="AP72" i="1"/>
  <c r="AP71" i="1"/>
  <c r="AP70" i="1"/>
  <c r="AP64" i="1"/>
  <c r="AP63" i="1"/>
  <c r="AE73" i="1"/>
  <c r="AD73" i="1"/>
  <c r="AE72" i="1"/>
  <c r="AD72" i="1"/>
  <c r="AG74" i="1"/>
  <c r="AG75" i="1" s="1"/>
  <c r="AC74" i="1"/>
  <c r="AC75" i="1" s="1"/>
  <c r="AB74" i="1"/>
  <c r="AB75" i="1" s="1"/>
  <c r="AH64" i="1"/>
  <c r="AH73" i="1"/>
  <c r="AH72" i="1"/>
  <c r="AH71" i="1"/>
  <c r="AH70" i="1"/>
  <c r="AH63" i="1"/>
  <c r="AD71" i="1"/>
  <c r="AE71" i="1"/>
  <c r="AF71" i="1"/>
  <c r="AF64" i="1"/>
  <c r="AF63" i="1"/>
  <c r="AF73" i="1"/>
  <c r="AF72" i="1"/>
  <c r="AF70" i="1"/>
  <c r="AE64" i="1"/>
  <c r="AD64" i="1"/>
  <c r="X72" i="1"/>
  <c r="Y74" i="1"/>
  <c r="Y75" i="1" s="1"/>
  <c r="V74" i="1"/>
  <c r="V75" i="1" s="1"/>
  <c r="T74" i="1"/>
  <c r="T75" i="1" s="1"/>
  <c r="U70" i="1"/>
  <c r="U74" i="1" s="1"/>
  <c r="U75" i="1" s="1"/>
  <c r="X64" i="1"/>
  <c r="X63" i="1"/>
  <c r="X73" i="1"/>
  <c r="X71" i="1"/>
  <c r="R63" i="1"/>
  <c r="W71" i="1"/>
  <c r="W74" i="1" s="1"/>
  <c r="W75" i="1" s="1"/>
  <c r="Z63" i="1"/>
  <c r="Z73" i="1"/>
  <c r="Z72" i="1"/>
  <c r="Z71" i="1"/>
  <c r="Z70" i="1"/>
  <c r="Z64" i="1"/>
  <c r="P73" i="1"/>
  <c r="P72" i="1"/>
  <c r="P71" i="1"/>
  <c r="P70" i="1"/>
  <c r="P64" i="1"/>
  <c r="P63" i="1"/>
  <c r="R72" i="1"/>
  <c r="R71" i="1"/>
  <c r="R70" i="1"/>
  <c r="R64" i="1"/>
  <c r="R73" i="1"/>
  <c r="D353" i="2" l="1"/>
  <c r="CN74" i="1"/>
  <c r="CN75" i="1" s="1"/>
  <c r="CV74" i="1"/>
  <c r="CV75" i="1" s="1"/>
  <c r="BZ75" i="1"/>
  <c r="CA74" i="1"/>
  <c r="CA75" i="1" s="1"/>
  <c r="E321" i="2"/>
  <c r="BM75" i="1"/>
  <c r="H73" i="1"/>
  <c r="BN73" i="1"/>
  <c r="BK75" i="1"/>
  <c r="BL74" i="1"/>
  <c r="BJ134" i="1" s="1"/>
  <c r="E341" i="2"/>
  <c r="E340" i="2"/>
  <c r="E325" i="2"/>
  <c r="E327" i="2"/>
  <c r="E338" i="2"/>
  <c r="E337" i="2"/>
  <c r="E331" i="2"/>
  <c r="E336" i="2"/>
  <c r="E335" i="2"/>
  <c r="E329" i="2"/>
  <c r="E328" i="2"/>
  <c r="E324" i="2"/>
  <c r="E339" i="2"/>
  <c r="E352" i="2"/>
  <c r="E346" i="2"/>
  <c r="E347" i="2"/>
  <c r="E351" i="2"/>
  <c r="E350" i="2"/>
  <c r="E343" i="2"/>
  <c r="E349" i="2"/>
  <c r="E344" i="2"/>
  <c r="E323" i="2"/>
  <c r="E326" i="2"/>
  <c r="E322" i="2"/>
  <c r="CD74" i="1"/>
  <c r="BI74" i="1"/>
  <c r="BI75" i="1" s="1"/>
  <c r="BG134" i="1" s="1"/>
  <c r="AS74" i="1"/>
  <c r="AS75" i="1" s="1"/>
  <c r="BW74" i="1"/>
  <c r="X74" i="1"/>
  <c r="DC74" i="1"/>
  <c r="AN74" i="1"/>
  <c r="BR74" i="1"/>
  <c r="BR75" i="1" s="1"/>
  <c r="BN74" i="1"/>
  <c r="CW74" i="1"/>
  <c r="X70" i="1"/>
  <c r="CR74" i="1"/>
  <c r="CR75" i="1" s="1"/>
  <c r="Z74" i="1"/>
  <c r="BU74" i="1"/>
  <c r="CF74" i="1"/>
  <c r="AE74" i="1"/>
  <c r="CU74" i="1"/>
  <c r="DE74" i="1"/>
  <c r="AD74" i="1"/>
  <c r="AD75" i="1" s="1"/>
  <c r="CJ74" i="1"/>
  <c r="CJ75" i="1" s="1"/>
  <c r="CM74" i="1"/>
  <c r="C74" i="1"/>
  <c r="CZ74" i="1"/>
  <c r="CZ75" i="1" s="1"/>
  <c r="BD74" i="1"/>
  <c r="BB74" i="1"/>
  <c r="AH74" i="1"/>
  <c r="AV74" i="1"/>
  <c r="AP74" i="1"/>
  <c r="AX74" i="1"/>
  <c r="BF74" i="1"/>
  <c r="AK74" i="1"/>
  <c r="AK75" i="1" s="1"/>
  <c r="CO74" i="1" l="1"/>
  <c r="C75" i="1"/>
  <c r="BO74" i="1"/>
  <c r="BI134" i="1"/>
  <c r="BA74" i="1"/>
  <c r="BA75" i="1" s="1"/>
  <c r="BB75" i="1"/>
  <c r="AF74" i="1"/>
  <c r="AE75" i="1"/>
  <c r="H34" i="1"/>
  <c r="H35" i="1"/>
  <c r="H46" i="1"/>
  <c r="H47" i="1"/>
  <c r="I47" i="1" s="1"/>
  <c r="H48" i="1" l="1"/>
  <c r="H49" i="1" s="1"/>
  <c r="R16" i="1"/>
  <c r="R18" i="1"/>
  <c r="R17" i="1"/>
  <c r="R15" i="1"/>
  <c r="R9" i="1"/>
  <c r="R8" i="1"/>
  <c r="R19" i="1" s="1"/>
  <c r="P18" i="1"/>
  <c r="P17" i="1"/>
  <c r="P16" i="1"/>
  <c r="P15" i="1"/>
  <c r="P9" i="1"/>
  <c r="D111" i="1"/>
  <c r="E111" i="1"/>
  <c r="F111" i="1"/>
  <c r="J111" i="1" s="1"/>
  <c r="H111" i="1"/>
  <c r="I111" i="1" s="1"/>
  <c r="C31" i="1"/>
  <c r="D31" i="1"/>
  <c r="E31" i="1"/>
  <c r="F31" i="1"/>
  <c r="J31" i="1" s="1"/>
  <c r="H31" i="1"/>
  <c r="G8" i="1" l="1"/>
  <c r="I15" i="1"/>
  <c r="G9" i="1"/>
  <c r="G31" i="1"/>
  <c r="I31" i="1"/>
  <c r="G111" i="1"/>
  <c r="AK48" i="1" l="1"/>
  <c r="AK49" i="1" s="1"/>
  <c r="AJ48" i="1"/>
  <c r="AJ49" i="1" s="1"/>
  <c r="R35" i="1"/>
  <c r="R44" i="1"/>
  <c r="R45" i="1"/>
  <c r="R46" i="1"/>
  <c r="R47" i="1"/>
  <c r="P35" i="1"/>
  <c r="P44" i="1"/>
  <c r="P45" i="1"/>
  <c r="P46" i="1"/>
  <c r="P47" i="1"/>
  <c r="Q74" i="1"/>
  <c r="O74" i="1"/>
  <c r="O75" i="1" s="1"/>
  <c r="N74" i="1"/>
  <c r="N75" i="1" s="1"/>
  <c r="M74" i="1"/>
  <c r="M75" i="1" s="1"/>
  <c r="L74" i="1"/>
  <c r="L75" i="1" s="1"/>
  <c r="L87" i="1"/>
  <c r="L88" i="1" s="1"/>
  <c r="Q114" i="1"/>
  <c r="Q61" i="1"/>
  <c r="Q127" i="1"/>
  <c r="Q32" i="1"/>
  <c r="N32" i="1"/>
  <c r="N33" i="1" s="1"/>
  <c r="AM87" i="1"/>
  <c r="AM88" i="1" s="1"/>
  <c r="AL87" i="1"/>
  <c r="AL88" i="1" s="1"/>
  <c r="AK87" i="1"/>
  <c r="AM114" i="1"/>
  <c r="AM115" i="1" s="1"/>
  <c r="AL114" i="1"/>
  <c r="AL115" i="1" s="1"/>
  <c r="AM127" i="1"/>
  <c r="AM128" i="1" s="1"/>
  <c r="AL127" i="1"/>
  <c r="AL128" i="1" s="1"/>
  <c r="AK127" i="1"/>
  <c r="AK128" i="1" s="1"/>
  <c r="AJ127" i="1"/>
  <c r="AO19" i="1"/>
  <c r="AO20" i="1" s="1"/>
  <c r="AM19" i="1"/>
  <c r="AM20" i="1" s="1"/>
  <c r="AK19" i="1"/>
  <c r="AK20" i="1" s="1"/>
  <c r="AJ19" i="1"/>
  <c r="AJ20" i="1" s="1"/>
  <c r="D64" i="1"/>
  <c r="F73" i="1"/>
  <c r="J73" i="1" s="1"/>
  <c r="E73" i="1"/>
  <c r="D73" i="1"/>
  <c r="H72" i="1"/>
  <c r="F72" i="1"/>
  <c r="J72" i="1" s="1"/>
  <c r="E72" i="1"/>
  <c r="D72" i="1"/>
  <c r="H71" i="1"/>
  <c r="F71" i="1"/>
  <c r="J71" i="1" s="1"/>
  <c r="E71" i="1"/>
  <c r="D71" i="1"/>
  <c r="H70" i="1"/>
  <c r="J70" i="1"/>
  <c r="E70" i="1"/>
  <c r="D70" i="1"/>
  <c r="G70" i="1" s="1"/>
  <c r="H64" i="1"/>
  <c r="F64" i="1"/>
  <c r="J64" i="1" s="1"/>
  <c r="E64" i="1"/>
  <c r="H63" i="1"/>
  <c r="F63" i="1"/>
  <c r="E63" i="1"/>
  <c r="D63" i="1"/>
  <c r="E100" i="1"/>
  <c r="D100" i="1"/>
  <c r="F99" i="1"/>
  <c r="J99" i="1" s="1"/>
  <c r="E99" i="1"/>
  <c r="D99" i="1"/>
  <c r="H98" i="1"/>
  <c r="F98" i="1"/>
  <c r="J98" i="1" s="1"/>
  <c r="E98" i="1"/>
  <c r="D98" i="1"/>
  <c r="H97" i="1"/>
  <c r="F97" i="1"/>
  <c r="J97" i="1" s="1"/>
  <c r="E97" i="1"/>
  <c r="D97" i="1"/>
  <c r="H90" i="1"/>
  <c r="F90" i="1"/>
  <c r="J90" i="1" s="1"/>
  <c r="E90" i="1"/>
  <c r="D90" i="1"/>
  <c r="H89" i="1"/>
  <c r="F89" i="1"/>
  <c r="E89" i="1"/>
  <c r="D89" i="1"/>
  <c r="F86" i="1"/>
  <c r="J86" i="1" s="1"/>
  <c r="E86" i="1"/>
  <c r="D86" i="1"/>
  <c r="C86" i="1"/>
  <c r="H85" i="1"/>
  <c r="F85" i="1"/>
  <c r="J85" i="1" s="1"/>
  <c r="E85" i="1"/>
  <c r="D85" i="1"/>
  <c r="C85" i="1"/>
  <c r="H84" i="1"/>
  <c r="F84" i="1"/>
  <c r="J84" i="1" s="1"/>
  <c r="E84" i="1"/>
  <c r="D84" i="1"/>
  <c r="C84" i="1"/>
  <c r="H83" i="1"/>
  <c r="F83" i="1"/>
  <c r="J83" i="1" s="1"/>
  <c r="E83" i="1"/>
  <c r="D83" i="1"/>
  <c r="C83" i="1"/>
  <c r="H77" i="1"/>
  <c r="F77" i="1"/>
  <c r="E77" i="1"/>
  <c r="D77" i="1"/>
  <c r="C77" i="1"/>
  <c r="H76" i="1"/>
  <c r="E76" i="1"/>
  <c r="D76" i="1"/>
  <c r="C76" i="1"/>
  <c r="H113" i="1"/>
  <c r="F113" i="1"/>
  <c r="J113" i="1" s="1"/>
  <c r="E113" i="1"/>
  <c r="D113" i="1"/>
  <c r="H112" i="1"/>
  <c r="F112" i="1"/>
  <c r="J112" i="1" s="1"/>
  <c r="E112" i="1"/>
  <c r="D112" i="1"/>
  <c r="H110" i="1"/>
  <c r="F110" i="1"/>
  <c r="J110" i="1" s="1"/>
  <c r="E110" i="1"/>
  <c r="D110" i="1"/>
  <c r="H104" i="1"/>
  <c r="F104" i="1"/>
  <c r="J104" i="1" s="1"/>
  <c r="E104" i="1"/>
  <c r="D104" i="1"/>
  <c r="H103" i="1"/>
  <c r="I103" i="1" s="1"/>
  <c r="F103" i="1"/>
  <c r="E103" i="1"/>
  <c r="D103" i="1"/>
  <c r="H60" i="1"/>
  <c r="F60" i="1"/>
  <c r="J60" i="1" s="1"/>
  <c r="E60" i="1"/>
  <c r="D60" i="1"/>
  <c r="H59" i="1"/>
  <c r="F59" i="1"/>
  <c r="J59" i="1" s="1"/>
  <c r="E59" i="1"/>
  <c r="D59" i="1"/>
  <c r="H58" i="1"/>
  <c r="F58" i="1"/>
  <c r="J58" i="1" s="1"/>
  <c r="E58" i="1"/>
  <c r="D58" i="1"/>
  <c r="H57" i="1"/>
  <c r="F57" i="1"/>
  <c r="J57" i="1" s="1"/>
  <c r="E57" i="1"/>
  <c r="D57" i="1"/>
  <c r="H51" i="1"/>
  <c r="F51" i="1"/>
  <c r="J51" i="1" s="1"/>
  <c r="E51" i="1"/>
  <c r="D51" i="1"/>
  <c r="H50" i="1"/>
  <c r="F50" i="1"/>
  <c r="E50" i="1"/>
  <c r="D50" i="1"/>
  <c r="H126" i="1"/>
  <c r="F126" i="1"/>
  <c r="J126" i="1" s="1"/>
  <c r="E126" i="1"/>
  <c r="D126" i="1"/>
  <c r="C126" i="1"/>
  <c r="H125" i="1"/>
  <c r="F125" i="1"/>
  <c r="J125" i="1" s="1"/>
  <c r="E125" i="1"/>
  <c r="D125" i="1"/>
  <c r="C125" i="1"/>
  <c r="H124" i="1"/>
  <c r="F124" i="1"/>
  <c r="J124" i="1" s="1"/>
  <c r="E124" i="1"/>
  <c r="D124" i="1"/>
  <c r="C124" i="1"/>
  <c r="H123" i="1"/>
  <c r="F123" i="1"/>
  <c r="J123" i="1" s="1"/>
  <c r="E123" i="1"/>
  <c r="D123" i="1"/>
  <c r="C123" i="1"/>
  <c r="H117" i="1"/>
  <c r="F117" i="1"/>
  <c r="J117" i="1" s="1"/>
  <c r="E117" i="1"/>
  <c r="D117" i="1"/>
  <c r="C117" i="1"/>
  <c r="H116" i="1"/>
  <c r="F116" i="1"/>
  <c r="E116" i="1"/>
  <c r="D116" i="1"/>
  <c r="H30" i="1"/>
  <c r="F30" i="1"/>
  <c r="J30" i="1" s="1"/>
  <c r="E30" i="1"/>
  <c r="D30" i="1"/>
  <c r="C30" i="1"/>
  <c r="H29" i="1"/>
  <c r="F29" i="1"/>
  <c r="J29" i="1" s="1"/>
  <c r="E29" i="1"/>
  <c r="D29" i="1"/>
  <c r="C29" i="1"/>
  <c r="H28" i="1"/>
  <c r="F28" i="1"/>
  <c r="J28" i="1" s="1"/>
  <c r="E28" i="1"/>
  <c r="D28" i="1"/>
  <c r="C28" i="1"/>
  <c r="H22" i="1"/>
  <c r="F22" i="1"/>
  <c r="J22" i="1" s="1"/>
  <c r="E22" i="1"/>
  <c r="D22" i="1"/>
  <c r="C22" i="1"/>
  <c r="H21" i="1"/>
  <c r="F21" i="1"/>
  <c r="J21" i="1" s="1"/>
  <c r="E21" i="1"/>
  <c r="D21" i="1"/>
  <c r="G16" i="1"/>
  <c r="E34" i="1"/>
  <c r="E35" i="1"/>
  <c r="E44" i="1"/>
  <c r="E45" i="1"/>
  <c r="E46" i="1"/>
  <c r="E47" i="1"/>
  <c r="E48" i="1" l="1"/>
  <c r="E49" i="1" s="1"/>
  <c r="J50" i="1"/>
  <c r="J62" i="1" s="1"/>
  <c r="Q62" i="1" s="1"/>
  <c r="F61" i="1"/>
  <c r="F62" i="1" s="1"/>
  <c r="J103" i="1"/>
  <c r="J115" i="1" s="1"/>
  <c r="Q115" i="1" s="1"/>
  <c r="F114" i="1"/>
  <c r="F115" i="1" s="1"/>
  <c r="J89" i="1"/>
  <c r="J102" i="1" s="1"/>
  <c r="Q102" i="1" s="1"/>
  <c r="F101" i="1"/>
  <c r="F102" i="1" s="1"/>
  <c r="J77" i="1"/>
  <c r="J88" i="1" s="1"/>
  <c r="Q88" i="1" s="1"/>
  <c r="F87" i="1"/>
  <c r="F88" i="1" s="1"/>
  <c r="J116" i="1"/>
  <c r="J128" i="1" s="1"/>
  <c r="Q128" i="1" s="1"/>
  <c r="F127" i="1"/>
  <c r="F128" i="1" s="1"/>
  <c r="J63" i="1"/>
  <c r="J75" i="1" s="1"/>
  <c r="F74" i="1"/>
  <c r="F75" i="1" s="1"/>
  <c r="AP127" i="1"/>
  <c r="AJ128" i="1"/>
  <c r="R32" i="1"/>
  <c r="Q33" i="1"/>
  <c r="R127" i="1"/>
  <c r="R61" i="1"/>
  <c r="R114" i="1"/>
  <c r="AN87" i="1"/>
  <c r="AK88" i="1"/>
  <c r="J20" i="1"/>
  <c r="J33" i="1"/>
  <c r="AN127" i="1"/>
  <c r="I113" i="1"/>
  <c r="E114" i="1"/>
  <c r="E115" i="1" s="1"/>
  <c r="I112" i="1"/>
  <c r="G103" i="1"/>
  <c r="D114" i="1"/>
  <c r="D115" i="1" s="1"/>
  <c r="I110" i="1"/>
  <c r="H114" i="1"/>
  <c r="H115" i="1" s="1"/>
  <c r="I104" i="1"/>
  <c r="H19" i="1"/>
  <c r="H20" i="1" s="1"/>
  <c r="E32" i="1"/>
  <c r="E33" i="1" s="1"/>
  <c r="C32" i="1"/>
  <c r="C33" i="1" s="1"/>
  <c r="I18" i="1"/>
  <c r="G21" i="1"/>
  <c r="D32" i="1"/>
  <c r="D33" i="1" s="1"/>
  <c r="H32" i="1"/>
  <c r="H33" i="1" s="1"/>
  <c r="D19" i="1"/>
  <c r="D20" i="1" s="1"/>
  <c r="E19" i="1"/>
  <c r="E20" i="1" s="1"/>
  <c r="G17" i="1"/>
  <c r="I17" i="1"/>
  <c r="I16" i="1"/>
  <c r="F19" i="1"/>
  <c r="F20" i="1" s="1"/>
  <c r="G18" i="1"/>
  <c r="C19" i="1"/>
  <c r="R87" i="1"/>
  <c r="P87" i="1"/>
  <c r="E87" i="1"/>
  <c r="E88" i="1" s="1"/>
  <c r="I76" i="1"/>
  <c r="I86" i="1"/>
  <c r="C87" i="1"/>
  <c r="C88" i="1" s="1"/>
  <c r="G76" i="1"/>
  <c r="D87" i="1"/>
  <c r="D88" i="1" s="1"/>
  <c r="H87" i="1"/>
  <c r="H88" i="1" s="1"/>
  <c r="I100" i="1"/>
  <c r="H101" i="1"/>
  <c r="H102" i="1" s="1"/>
  <c r="E101" i="1"/>
  <c r="E102" i="1" s="1"/>
  <c r="D101" i="1"/>
  <c r="D102" i="1" s="1"/>
  <c r="C101" i="1"/>
  <c r="G89" i="1"/>
  <c r="D74" i="1"/>
  <c r="G74" i="1" s="1"/>
  <c r="D61" i="1"/>
  <c r="E61" i="1"/>
  <c r="E62" i="1" s="1"/>
  <c r="H61" i="1"/>
  <c r="H74" i="1"/>
  <c r="I74" i="1" s="1"/>
  <c r="E74" i="1"/>
  <c r="E75" i="1" s="1"/>
  <c r="G116" i="1"/>
  <c r="P74" i="1"/>
  <c r="G73" i="1"/>
  <c r="I73" i="1"/>
  <c r="G59" i="1"/>
  <c r="G77" i="1"/>
  <c r="I89" i="1"/>
  <c r="I60" i="1"/>
  <c r="G99" i="1"/>
  <c r="G125" i="1"/>
  <c r="G117" i="1"/>
  <c r="G63" i="1"/>
  <c r="G72" i="1"/>
  <c r="G29" i="1"/>
  <c r="I70" i="1"/>
  <c r="G97" i="1"/>
  <c r="G57" i="1"/>
  <c r="G104" i="1"/>
  <c r="I98" i="1"/>
  <c r="I59" i="1"/>
  <c r="G30" i="1"/>
  <c r="I34" i="1"/>
  <c r="I30" i="1"/>
  <c r="G126" i="1"/>
  <c r="G123" i="1"/>
  <c r="G112" i="1"/>
  <c r="G84" i="1"/>
  <c r="G100" i="1"/>
  <c r="I77" i="1"/>
  <c r="I123" i="1"/>
  <c r="I28" i="1"/>
  <c r="E127" i="1"/>
  <c r="E128" i="1" s="1"/>
  <c r="I51" i="1"/>
  <c r="I57" i="1"/>
  <c r="G90" i="1"/>
  <c r="G58" i="1"/>
  <c r="I85" i="1"/>
  <c r="AP19" i="1"/>
  <c r="G124" i="1"/>
  <c r="G64" i="1"/>
  <c r="I29" i="1"/>
  <c r="I58" i="1"/>
  <c r="G83" i="1"/>
  <c r="I50" i="1"/>
  <c r="I64" i="1"/>
  <c r="I72" i="1"/>
  <c r="I124" i="1"/>
  <c r="G85" i="1"/>
  <c r="G98" i="1"/>
  <c r="I99" i="1"/>
  <c r="G60" i="1"/>
  <c r="I21" i="1"/>
  <c r="G51" i="1"/>
  <c r="G110" i="1"/>
  <c r="G71" i="1"/>
  <c r="D127" i="1"/>
  <c r="I117" i="1"/>
  <c r="I126" i="1"/>
  <c r="I84" i="1"/>
  <c r="G86" i="1"/>
  <c r="G22" i="1"/>
  <c r="I90" i="1"/>
  <c r="G28" i="1"/>
  <c r="G50" i="1"/>
  <c r="I71" i="1"/>
  <c r="I116" i="1"/>
  <c r="I125" i="1"/>
  <c r="I83" i="1"/>
  <c r="I97" i="1"/>
  <c r="AN19" i="1"/>
  <c r="R74" i="1"/>
  <c r="G113" i="1"/>
  <c r="I22" i="1"/>
  <c r="I63" i="1"/>
  <c r="H127" i="1"/>
  <c r="C127" i="1"/>
  <c r="C128" i="1" s="1"/>
  <c r="C102" i="1" l="1"/>
  <c r="C107" i="1"/>
  <c r="C114" i="1" s="1"/>
  <c r="C115" i="1" s="1"/>
  <c r="H128" i="1"/>
  <c r="I127" i="1"/>
  <c r="J131" i="1"/>
  <c r="D128" i="1"/>
  <c r="G127" i="1"/>
  <c r="C20" i="1"/>
  <c r="J127" i="1"/>
  <c r="J101" i="1"/>
  <c r="J74" i="1"/>
  <c r="E129" i="1"/>
  <c r="J87" i="1"/>
  <c r="Q75" i="1"/>
  <c r="H75" i="1"/>
  <c r="H129" i="1" s="1"/>
  <c r="I61" i="1"/>
  <c r="H62" i="1"/>
  <c r="G61" i="1"/>
  <c r="D62" i="1"/>
  <c r="D75" i="1"/>
  <c r="J114" i="1"/>
  <c r="J61" i="1"/>
  <c r="G32" i="1"/>
  <c r="I32" i="1"/>
  <c r="I19" i="1"/>
  <c r="G19" i="1"/>
  <c r="I87" i="1"/>
  <c r="G87" i="1"/>
  <c r="G101" i="1"/>
  <c r="I101" i="1"/>
  <c r="G114" i="1" l="1"/>
  <c r="I114" i="1"/>
  <c r="DD19" i="1"/>
  <c r="DD20" i="1" s="1"/>
  <c r="DB19" i="1"/>
  <c r="DB20" i="1" s="1"/>
  <c r="DA19" i="1"/>
  <c r="DA20" i="1" s="1"/>
  <c r="CZ19" i="1"/>
  <c r="CZ20" i="1" s="1"/>
  <c r="CY19" i="1"/>
  <c r="CY20" i="1" s="1"/>
  <c r="CV19" i="1"/>
  <c r="CV20" i="1" s="1"/>
  <c r="CT19" i="1"/>
  <c r="CT20" i="1" s="1"/>
  <c r="CS19" i="1"/>
  <c r="CS20" i="1" s="1"/>
  <c r="CR19" i="1"/>
  <c r="CR20" i="1" s="1"/>
  <c r="CQ19" i="1"/>
  <c r="CQ20" i="1" s="1"/>
  <c r="CN19" i="1"/>
  <c r="CN20" i="1" s="1"/>
  <c r="CL19" i="1"/>
  <c r="CL20" i="1" s="1"/>
  <c r="CK19" i="1"/>
  <c r="CK20" i="1" s="1"/>
  <c r="CJ19" i="1"/>
  <c r="CJ20" i="1" s="1"/>
  <c r="CI19" i="1"/>
  <c r="CI20" i="1" s="1"/>
  <c r="CC20" i="1"/>
  <c r="CB19" i="1"/>
  <c r="CB20" i="1" s="1"/>
  <c r="CA19" i="1"/>
  <c r="CA20" i="1" s="1"/>
  <c r="BZ19" i="1"/>
  <c r="BV19" i="1"/>
  <c r="BV20" i="1" s="1"/>
  <c r="BT20" i="1"/>
  <c r="BS19" i="1"/>
  <c r="BS20" i="1" s="1"/>
  <c r="BS129" i="1" s="1"/>
  <c r="BR19" i="1"/>
  <c r="BR20" i="1" s="1"/>
  <c r="BQ19" i="1"/>
  <c r="BQ20" i="1" s="1"/>
  <c r="BM19" i="1"/>
  <c r="BM20" i="1" s="1"/>
  <c r="BK19" i="1"/>
  <c r="BK20" i="1" s="1"/>
  <c r="BJ19" i="1"/>
  <c r="BJ20" i="1" s="1"/>
  <c r="BH130" i="1" s="1"/>
  <c r="BH139" i="1" s="1"/>
  <c r="BI19" i="1"/>
  <c r="BI20" i="1" s="1"/>
  <c r="BG130" i="1" s="1"/>
  <c r="BG139" i="1" s="1"/>
  <c r="BH20" i="1"/>
  <c r="BE19" i="1"/>
  <c r="BE20" i="1" s="1"/>
  <c r="BC19" i="1"/>
  <c r="BC20" i="1" s="1"/>
  <c r="BB19" i="1"/>
  <c r="BB20" i="1" s="1"/>
  <c r="BA19" i="1"/>
  <c r="BA20" i="1" s="1"/>
  <c r="AZ19" i="1"/>
  <c r="AZ20" i="1" s="1"/>
  <c r="AW19" i="1"/>
  <c r="AW20" i="1" s="1"/>
  <c r="AU19" i="1"/>
  <c r="AU20" i="1" s="1"/>
  <c r="AT19" i="1"/>
  <c r="AT20" i="1" s="1"/>
  <c r="AS19" i="1"/>
  <c r="AS20" i="1" s="1"/>
  <c r="AR19" i="1"/>
  <c r="AG19" i="1"/>
  <c r="AE19" i="1"/>
  <c r="AE20" i="1" s="1"/>
  <c r="AD19" i="1"/>
  <c r="AD20" i="1" s="1"/>
  <c r="AC19" i="1"/>
  <c r="AC20" i="1" s="1"/>
  <c r="W19" i="1"/>
  <c r="W20" i="1" s="1"/>
  <c r="V19" i="1"/>
  <c r="V20" i="1" s="1"/>
  <c r="U19" i="1"/>
  <c r="U20" i="1" s="1"/>
  <c r="T19" i="1"/>
  <c r="Q19" i="1"/>
  <c r="Q20" i="1" s="1"/>
  <c r="O19" i="1"/>
  <c r="O20" i="1" s="1"/>
  <c r="N19" i="1"/>
  <c r="N20" i="1" s="1"/>
  <c r="DE18" i="1"/>
  <c r="DC18" i="1"/>
  <c r="CW18" i="1"/>
  <c r="CU18" i="1"/>
  <c r="CO18" i="1"/>
  <c r="CM18" i="1"/>
  <c r="CF18" i="1"/>
  <c r="CD18" i="1"/>
  <c r="BW18" i="1"/>
  <c r="BU18" i="1"/>
  <c r="BN18" i="1"/>
  <c r="BL18" i="1"/>
  <c r="BF18" i="1"/>
  <c r="BD18" i="1"/>
  <c r="AX18" i="1"/>
  <c r="AV18" i="1"/>
  <c r="AP18" i="1"/>
  <c r="AN18" i="1"/>
  <c r="AF18" i="1"/>
  <c r="Z18" i="1"/>
  <c r="X18" i="1"/>
  <c r="DE17" i="1"/>
  <c r="DC17" i="1"/>
  <c r="CW17" i="1"/>
  <c r="CU17" i="1"/>
  <c r="CO17" i="1"/>
  <c r="CM17" i="1"/>
  <c r="CF17" i="1"/>
  <c r="CD17" i="1"/>
  <c r="BW17" i="1"/>
  <c r="BU17" i="1"/>
  <c r="BN17" i="1"/>
  <c r="BL17" i="1"/>
  <c r="BF17" i="1"/>
  <c r="BD17" i="1"/>
  <c r="AX17" i="1"/>
  <c r="AV17" i="1"/>
  <c r="AP17" i="1"/>
  <c r="AN17" i="1"/>
  <c r="AF17" i="1"/>
  <c r="Z17" i="1"/>
  <c r="X17" i="1"/>
  <c r="DE16" i="1"/>
  <c r="DC16" i="1"/>
  <c r="CW16" i="1"/>
  <c r="CU16" i="1"/>
  <c r="CO16" i="1"/>
  <c r="CM16" i="1"/>
  <c r="CF16" i="1"/>
  <c r="CD16" i="1"/>
  <c r="BW16" i="1"/>
  <c r="BU16" i="1"/>
  <c r="BN16" i="1"/>
  <c r="BF16" i="1"/>
  <c r="BD16" i="1"/>
  <c r="AX16" i="1"/>
  <c r="AV16" i="1"/>
  <c r="AP16" i="1"/>
  <c r="AN16" i="1"/>
  <c r="AF16" i="1"/>
  <c r="Z16" i="1"/>
  <c r="X16" i="1"/>
  <c r="DE15" i="1"/>
  <c r="DC15" i="1"/>
  <c r="CW15" i="1"/>
  <c r="CU15" i="1"/>
  <c r="CO15" i="1"/>
  <c r="CM15" i="1"/>
  <c r="CF15" i="1"/>
  <c r="BW15" i="1"/>
  <c r="BU15" i="1"/>
  <c r="BN15" i="1"/>
  <c r="BF15" i="1"/>
  <c r="BD15" i="1"/>
  <c r="AX15" i="1"/>
  <c r="AV15" i="1"/>
  <c r="AP15" i="1"/>
  <c r="AN15" i="1"/>
  <c r="AH15" i="1"/>
  <c r="AF15" i="1"/>
  <c r="Z15" i="1"/>
  <c r="X15" i="1"/>
  <c r="DE9" i="1"/>
  <c r="DC9" i="1"/>
  <c r="CW9" i="1"/>
  <c r="CU9" i="1"/>
  <c r="CO9" i="1"/>
  <c r="CM9" i="1"/>
  <c r="CF9" i="1"/>
  <c r="CD9" i="1"/>
  <c r="BW9" i="1"/>
  <c r="BU9" i="1"/>
  <c r="BN9" i="1"/>
  <c r="BF9" i="1"/>
  <c r="BD9" i="1"/>
  <c r="AX9" i="1"/>
  <c r="AV9" i="1"/>
  <c r="AP9" i="1"/>
  <c r="AN9" i="1"/>
  <c r="AH9" i="1"/>
  <c r="AF9" i="1"/>
  <c r="Z9" i="1"/>
  <c r="X9" i="1"/>
  <c r="DE8" i="1"/>
  <c r="DC8" i="1"/>
  <c r="CW8" i="1"/>
  <c r="CU8" i="1"/>
  <c r="CO8" i="1"/>
  <c r="CM8" i="1"/>
  <c r="CF8" i="1"/>
  <c r="CD8" i="1"/>
  <c r="BW8" i="1"/>
  <c r="BU8" i="1"/>
  <c r="BN8" i="1"/>
  <c r="BF8" i="1"/>
  <c r="BD8" i="1"/>
  <c r="AX8" i="1"/>
  <c r="AV8" i="1"/>
  <c r="AP8" i="1"/>
  <c r="AH8" i="1"/>
  <c r="Z8" i="1"/>
  <c r="CG19" i="1" l="1"/>
  <c r="BZ20" i="1"/>
  <c r="CD19" i="1"/>
  <c r="BX19" i="1"/>
  <c r="BT129" i="1"/>
  <c r="BO19" i="1"/>
  <c r="BK129" i="1"/>
  <c r="BO136" i="1" s="1"/>
  <c r="BI130" i="1"/>
  <c r="AH18" i="1"/>
  <c r="AG20" i="1"/>
  <c r="X19" i="1"/>
  <c r="T20" i="1"/>
  <c r="AV19" i="1"/>
  <c r="AR20" i="1"/>
  <c r="DC19" i="1"/>
  <c r="BW19" i="1"/>
  <c r="AH19" i="1"/>
  <c r="BU19" i="1"/>
  <c r="CF19" i="1"/>
  <c r="CM19" i="1"/>
  <c r="CW19" i="1"/>
  <c r="AX19" i="1"/>
  <c r="BD19" i="1"/>
  <c r="AF19" i="1"/>
  <c r="Z19" i="1"/>
  <c r="CO19" i="1"/>
  <c r="BL19" i="1"/>
  <c r="BJ130" i="1" s="1"/>
  <c r="BN19" i="1"/>
  <c r="CU19" i="1"/>
  <c r="DE19" i="1"/>
  <c r="BF19" i="1"/>
  <c r="BX136" i="1" l="1"/>
  <c r="DF132" i="1"/>
  <c r="DF133" i="1"/>
  <c r="DF134" i="1"/>
  <c r="DF135" i="1"/>
  <c r="DF130" i="1"/>
  <c r="DF131" i="1"/>
  <c r="DD48" i="1"/>
  <c r="DD49" i="1" s="1"/>
  <c r="DB48" i="1"/>
  <c r="DB49" i="1" s="1"/>
  <c r="DA48" i="1"/>
  <c r="DA49" i="1" s="1"/>
  <c r="CZ48" i="1"/>
  <c r="CZ49" i="1" s="1"/>
  <c r="CY48" i="1"/>
  <c r="CY49" i="1" s="1"/>
  <c r="CV48" i="1"/>
  <c r="CV49" i="1" s="1"/>
  <c r="CT48" i="1"/>
  <c r="CT49" i="1" s="1"/>
  <c r="CS48" i="1"/>
  <c r="CS49" i="1" s="1"/>
  <c r="CR48" i="1"/>
  <c r="CR49" i="1" s="1"/>
  <c r="CQ48" i="1"/>
  <c r="CQ49" i="1" s="1"/>
  <c r="CN48" i="1"/>
  <c r="CN49" i="1" s="1"/>
  <c r="CL48" i="1"/>
  <c r="CL49" i="1" s="1"/>
  <c r="CK48" i="1"/>
  <c r="CK49" i="1" s="1"/>
  <c r="CJ48" i="1"/>
  <c r="CJ49" i="1" s="1"/>
  <c r="CI48" i="1"/>
  <c r="CI49" i="1" s="1"/>
  <c r="CC49" i="1"/>
  <c r="CB48" i="1"/>
  <c r="CB49" i="1" s="1"/>
  <c r="CA48" i="1"/>
  <c r="CA49" i="1" s="1"/>
  <c r="BZ48" i="1"/>
  <c r="BZ49" i="1" s="1"/>
  <c r="BV49" i="1"/>
  <c r="BV129" i="1" s="1"/>
  <c r="BR49" i="1"/>
  <c r="BR129" i="1" s="1"/>
  <c r="BQ49" i="1"/>
  <c r="BQ129" i="1" s="1"/>
  <c r="BE48" i="1"/>
  <c r="BE49" i="1" s="1"/>
  <c r="BC48" i="1"/>
  <c r="BC49" i="1" s="1"/>
  <c r="BB48" i="1"/>
  <c r="BB49" i="1" s="1"/>
  <c r="BA129" i="1" s="1"/>
  <c r="AZ48" i="1"/>
  <c r="AZ49" i="1" s="1"/>
  <c r="AW48" i="1"/>
  <c r="AW49" i="1" s="1"/>
  <c r="AT48" i="1"/>
  <c r="AT49" i="1" s="1"/>
  <c r="AS48" i="1"/>
  <c r="AS49" i="1" s="1"/>
  <c r="AR48" i="1"/>
  <c r="AR49" i="1" s="1"/>
  <c r="AO48" i="1"/>
  <c r="AG48" i="1"/>
  <c r="AG49" i="1" s="1"/>
  <c r="AD48" i="1"/>
  <c r="AD49" i="1" s="1"/>
  <c r="AB48" i="1"/>
  <c r="AB49" i="1" s="1"/>
  <c r="Y48" i="1"/>
  <c r="Y49" i="1" s="1"/>
  <c r="T48" i="1"/>
  <c r="T49" i="1" s="1"/>
  <c r="N48" i="1"/>
  <c r="N49" i="1" s="1"/>
  <c r="M48" i="1"/>
  <c r="M49" i="1" s="1"/>
  <c r="DE47" i="1"/>
  <c r="DC47" i="1"/>
  <c r="CW47" i="1"/>
  <c r="CU47" i="1"/>
  <c r="CO47" i="1"/>
  <c r="CM47" i="1"/>
  <c r="CF47" i="1"/>
  <c r="CD47" i="1"/>
  <c r="BW47" i="1"/>
  <c r="BU47" i="1"/>
  <c r="BN47" i="1"/>
  <c r="BL47" i="1"/>
  <c r="BF47" i="1"/>
  <c r="BD47" i="1"/>
  <c r="AV47" i="1"/>
  <c r="AN47" i="1"/>
  <c r="AH47" i="1"/>
  <c r="AF47" i="1"/>
  <c r="AC47" i="1"/>
  <c r="D47" i="1" s="1"/>
  <c r="G47" i="1" s="1"/>
  <c r="Z47" i="1"/>
  <c r="X47" i="1"/>
  <c r="O47" i="1"/>
  <c r="DE46" i="1"/>
  <c r="DC46" i="1"/>
  <c r="CW46" i="1"/>
  <c r="CU46" i="1"/>
  <c r="CO46" i="1"/>
  <c r="CM46" i="1"/>
  <c r="CF46" i="1"/>
  <c r="CD46" i="1"/>
  <c r="BW46" i="1"/>
  <c r="BU46" i="1"/>
  <c r="BN46" i="1"/>
  <c r="BL46" i="1"/>
  <c r="BF46" i="1"/>
  <c r="BD46" i="1"/>
  <c r="BA46" i="1"/>
  <c r="AV46" i="1"/>
  <c r="AN46" i="1"/>
  <c r="AH46" i="1"/>
  <c r="AF46" i="1"/>
  <c r="AC46" i="1"/>
  <c r="Z46" i="1"/>
  <c r="X46" i="1"/>
  <c r="DE45" i="1"/>
  <c r="DC45" i="1"/>
  <c r="CW45" i="1"/>
  <c r="CU45" i="1"/>
  <c r="CO45" i="1"/>
  <c r="CM45" i="1"/>
  <c r="CF45" i="1"/>
  <c r="BW45" i="1"/>
  <c r="BU45" i="1"/>
  <c r="BN45" i="1"/>
  <c r="BL45" i="1"/>
  <c r="BF45" i="1"/>
  <c r="BD45" i="1"/>
  <c r="AV45" i="1"/>
  <c r="AN45" i="1"/>
  <c r="AH45" i="1"/>
  <c r="AF45" i="1"/>
  <c r="AC45" i="1"/>
  <c r="D45" i="1" s="1"/>
  <c r="G45" i="1" s="1"/>
  <c r="Z45" i="1"/>
  <c r="X45" i="1"/>
  <c r="DE44" i="1"/>
  <c r="DC44" i="1"/>
  <c r="CW44" i="1"/>
  <c r="CU44" i="1"/>
  <c r="CO44" i="1"/>
  <c r="CM44" i="1"/>
  <c r="CF44" i="1"/>
  <c r="CD44" i="1"/>
  <c r="BW44" i="1"/>
  <c r="BU44" i="1"/>
  <c r="BL44" i="1"/>
  <c r="BF44" i="1"/>
  <c r="BD44" i="1"/>
  <c r="AV44" i="1"/>
  <c r="AH44" i="1"/>
  <c r="AF44" i="1"/>
  <c r="AC44" i="1"/>
  <c r="D44" i="1" s="1"/>
  <c r="G44" i="1" s="1"/>
  <c r="Z44" i="1"/>
  <c r="X44" i="1"/>
  <c r="O44" i="1"/>
  <c r="DE35" i="1"/>
  <c r="DC35" i="1"/>
  <c r="CW35" i="1"/>
  <c r="CU35" i="1"/>
  <c r="CO35" i="1"/>
  <c r="CM35" i="1"/>
  <c r="CF35" i="1"/>
  <c r="CD35" i="1"/>
  <c r="BW35" i="1"/>
  <c r="BU35" i="1"/>
  <c r="BN35" i="1"/>
  <c r="BF35" i="1"/>
  <c r="BD35" i="1"/>
  <c r="BA35" i="1"/>
  <c r="AV35" i="1"/>
  <c r="AP35" i="1"/>
  <c r="AN35" i="1"/>
  <c r="AH35" i="1"/>
  <c r="AF35" i="1"/>
  <c r="AC35" i="1"/>
  <c r="Z35" i="1"/>
  <c r="O35" i="1"/>
  <c r="F35" i="1" s="1"/>
  <c r="DE34" i="1"/>
  <c r="DC34" i="1"/>
  <c r="CW34" i="1"/>
  <c r="CU34" i="1"/>
  <c r="CO34" i="1"/>
  <c r="CM34" i="1"/>
  <c r="CF34" i="1"/>
  <c r="CD34" i="1"/>
  <c r="BW34" i="1"/>
  <c r="BU34" i="1"/>
  <c r="BN34" i="1"/>
  <c r="BF34" i="1"/>
  <c r="BD34" i="1"/>
  <c r="AV34" i="1"/>
  <c r="AH34" i="1"/>
  <c r="AF34" i="1"/>
  <c r="AC34" i="1"/>
  <c r="D34" i="1" s="1"/>
  <c r="O34" i="1"/>
  <c r="CG48" i="1" l="1"/>
  <c r="CG136" i="1"/>
  <c r="AP48" i="1"/>
  <c r="AO49" i="1"/>
  <c r="Z48" i="1"/>
  <c r="AX48" i="1"/>
  <c r="F47" i="1"/>
  <c r="J47" i="1" s="1"/>
  <c r="J135" i="1" s="1"/>
  <c r="CU48" i="1"/>
  <c r="D35" i="1"/>
  <c r="G35" i="1" s="1"/>
  <c r="D46" i="1"/>
  <c r="G46" i="1" s="1"/>
  <c r="F46" i="1"/>
  <c r="J46" i="1" s="1"/>
  <c r="J134" i="1" s="1"/>
  <c r="F44" i="1"/>
  <c r="J44" i="1" s="1"/>
  <c r="J132" i="1" s="1"/>
  <c r="F34" i="1"/>
  <c r="G34" i="1"/>
  <c r="F45" i="1"/>
  <c r="J45" i="1" s="1"/>
  <c r="J133" i="1" s="1"/>
  <c r="AU48" i="1"/>
  <c r="R48" i="1"/>
  <c r="I35" i="1"/>
  <c r="CD48" i="1"/>
  <c r="I46" i="1"/>
  <c r="BA48" i="1"/>
  <c r="BA49" i="1" s="1"/>
  <c r="I45" i="1"/>
  <c r="O48" i="1"/>
  <c r="O49" i="1" s="1"/>
  <c r="BF48" i="1"/>
  <c r="CW48" i="1"/>
  <c r="BW48" i="1"/>
  <c r="AH48" i="1"/>
  <c r="AM48" i="1"/>
  <c r="BD48" i="1"/>
  <c r="I44" i="1"/>
  <c r="DE48" i="1"/>
  <c r="CM48" i="1"/>
  <c r="W48" i="1"/>
  <c r="CF48" i="1"/>
  <c r="AC48" i="1"/>
  <c r="AC49" i="1" s="1"/>
  <c r="BN48" i="1"/>
  <c r="DC48" i="1"/>
  <c r="AE48" i="1"/>
  <c r="CO48" i="1"/>
  <c r="F48" i="1" l="1"/>
  <c r="F49" i="1" s="1"/>
  <c r="D48" i="1"/>
  <c r="J34" i="1"/>
  <c r="P48" i="1"/>
  <c r="X48" i="1"/>
  <c r="W49" i="1"/>
  <c r="AF48" i="1"/>
  <c r="AE49" i="1"/>
  <c r="AV48" i="1"/>
  <c r="AU49" i="1"/>
  <c r="AN48" i="1"/>
  <c r="AM49" i="1"/>
  <c r="J19" i="1"/>
  <c r="J49" i="1" l="1"/>
  <c r="J48" i="1" s="1"/>
  <c r="J130" i="1"/>
  <c r="D49" i="1"/>
  <c r="D129" i="1" l="1"/>
  <c r="C49" i="1"/>
  <c r="C129" i="1" s="1"/>
  <c r="I129" i="1" s="1"/>
  <c r="G129" i="1" l="1"/>
  <c r="I48" i="1"/>
  <c r="G48" i="1"/>
  <c r="BX127" i="1"/>
  <c r="CG74" i="1"/>
  <c r="F32" i="1"/>
  <c r="F33" i="1" s="1"/>
  <c r="J32" i="1" l="1"/>
  <c r="F129" i="1"/>
  <c r="L131" i="1" l="1"/>
  <c r="L132" i="1"/>
  <c r="L130" i="1"/>
  <c r="L135" i="1"/>
  <c r="H132" i="1"/>
  <c r="L134" i="1"/>
  <c r="L133" i="1"/>
  <c r="J136" i="1"/>
</calcChain>
</file>

<file path=xl/sharedStrings.xml><?xml version="1.0" encoding="utf-8"?>
<sst xmlns="http://schemas.openxmlformats.org/spreadsheetml/2006/main" count="1682" uniqueCount="229">
  <si>
    <t>Monthly Spend &amp; Discount Report</t>
  </si>
  <si>
    <t>ZAR</t>
  </si>
  <si>
    <t>Medium</t>
  </si>
  <si>
    <t>Rate Card</t>
  </si>
  <si>
    <t>Discount</t>
  </si>
  <si>
    <t>After Discount</t>
  </si>
  <si>
    <t>Nett Nett</t>
  </si>
  <si>
    <t>% Disc</t>
  </si>
  <si>
    <t>Added Value</t>
  </si>
  <si>
    <t>AV %</t>
  </si>
  <si>
    <t>Net Net</t>
  </si>
  <si>
    <t>Botswana (BWP)</t>
  </si>
  <si>
    <t>Television</t>
  </si>
  <si>
    <t>Digital</t>
  </si>
  <si>
    <t>Radio</t>
  </si>
  <si>
    <t>Print</t>
  </si>
  <si>
    <t>OOH</t>
  </si>
  <si>
    <t>DOOH</t>
  </si>
  <si>
    <t>GRAND TOTAL</t>
  </si>
  <si>
    <t>TOTAL in ZAR</t>
  </si>
  <si>
    <t>Ghana 
(GHS)</t>
  </si>
  <si>
    <t>Kenya
 (KES)</t>
  </si>
  <si>
    <t>Mauritius 
(MUR)</t>
  </si>
  <si>
    <t>Mozambique 
(MZN)</t>
  </si>
  <si>
    <t>Seychells
(SCR)</t>
  </si>
  <si>
    <t>Tanzania 
(TZS)</t>
  </si>
  <si>
    <t>Uganda 
(UGX)</t>
  </si>
  <si>
    <t>Zambia 
(ZMW)</t>
  </si>
  <si>
    <t>Overall TOTAL Spend (ZAR)</t>
  </si>
  <si>
    <t>Activity Plan</t>
  </si>
  <si>
    <t>Conversion Rate</t>
  </si>
  <si>
    <t>Market</t>
  </si>
  <si>
    <t>Business Unit</t>
  </si>
  <si>
    <t>Campaign</t>
  </si>
  <si>
    <t>Total Spend
(ZAR)</t>
  </si>
  <si>
    <t>Total Spend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</si>
  <si>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</si>
  <si>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</si>
  <si>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</si>
  <si>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</si>
  <si>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</si>
  <si>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</si>
  <si>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</si>
  <si>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</si>
  <si>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</si>
  <si>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</si>
  <si>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</si>
  <si>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</si>
  <si>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Botswana</t>
  </si>
  <si>
    <t>CIB</t>
  </si>
  <si>
    <t>CIB THEMATIC</t>
  </si>
  <si>
    <t>Online Publications</t>
  </si>
  <si>
    <t>CIB ACCESS</t>
  </si>
  <si>
    <t>RBB</t>
  </si>
  <si>
    <t>CARD ACQUISITION</t>
  </si>
  <si>
    <t>SELECTIVE RECEIVABLE FINANCE</t>
  </si>
  <si>
    <t>Brand</t>
  </si>
  <si>
    <t>BRAND</t>
  </si>
  <si>
    <t>WIN A TRUCK</t>
  </si>
  <si>
    <t>Ghana</t>
  </si>
  <si>
    <t>SME LOANS @10 BOOSTER CAMPAIGN</t>
  </si>
  <si>
    <t>Other</t>
  </si>
  <si>
    <t>PRINT ONLY CAMPAIGNS</t>
  </si>
  <si>
    <t>DIGITAL CAMPAIGNS ONLY</t>
  </si>
  <si>
    <t>Airport OOH</t>
  </si>
  <si>
    <t>Ready To Work Webinar</t>
  </si>
  <si>
    <t>Acquisition Campaign</t>
  </si>
  <si>
    <t>SHE BUSINESS</t>
  </si>
  <si>
    <t>GLOBAL FINANCE</t>
  </si>
  <si>
    <t>Mastercard Partnership</t>
  </si>
  <si>
    <t>Hub</t>
  </si>
  <si>
    <t>Absa CIB Transactional GTR Africa ARO</t>
  </si>
  <si>
    <t>Absa CIB_Property Finance_EAPI Conference_ARO OOH</t>
  </si>
  <si>
    <t>Kenya</t>
  </si>
  <si>
    <t>PRESTIGE</t>
  </si>
  <si>
    <t>INTERNATIONAL WOMEN'S DAY</t>
  </si>
  <si>
    <t>TIMIZA</t>
  </si>
  <si>
    <t>BACK TO SCHOOL</t>
  </si>
  <si>
    <t>FOUNDATION</t>
  </si>
  <si>
    <t>NOTICES</t>
  </si>
  <si>
    <t>VALENTINE</t>
  </si>
  <si>
    <t>MKO</t>
  </si>
  <si>
    <t>FINANCIALS</t>
  </si>
  <si>
    <t>Mauritius</t>
  </si>
  <si>
    <t xml:space="preserve">CIB Campaign  </t>
  </si>
  <si>
    <t>Pensioners Savings </t>
  </si>
  <si>
    <t>Tanzania</t>
  </si>
  <si>
    <t>GROUP SAVINGS ACCOUNT</t>
  </si>
  <si>
    <t>INFINITE VISA CARD</t>
  </si>
  <si>
    <t>Zambia</t>
  </si>
  <si>
    <t>Premier Banking</t>
  </si>
  <si>
    <t xml:space="preserve">Retail Unsecured Loans </t>
  </si>
  <si>
    <t xml:space="preserve">Your Story Matters </t>
  </si>
  <si>
    <t>Women in Business</t>
  </si>
  <si>
    <t xml:space="preserve">Absa Marathon </t>
  </si>
  <si>
    <t>Momo on POS</t>
  </si>
  <si>
    <t>Other - Financial Statements and MRP</t>
  </si>
  <si>
    <t xml:space="preserve">ABSA Cup </t>
  </si>
  <si>
    <t>Infinity Card</t>
  </si>
  <si>
    <t>Inspire Me Conference - Women in Business</t>
  </si>
  <si>
    <t xml:space="preserve">Swipe and Win </t>
  </si>
  <si>
    <t xml:space="preserve">Ulitamte Plus Account </t>
  </si>
  <si>
    <t>Uganda</t>
  </si>
  <si>
    <t>Seychelles</t>
  </si>
  <si>
    <t>Brand Positioning</t>
  </si>
  <si>
    <t>VAF CAR LOAN</t>
  </si>
  <si>
    <t xml:space="preserve">MOBI TOP </t>
  </si>
  <si>
    <t>PREMIER BANKING CVP</t>
  </si>
  <si>
    <t>FESTIVE CARD</t>
  </si>
  <si>
    <t>SIGNATURE CARD</t>
  </si>
  <si>
    <t>FIXED DEPOSIT</t>
  </si>
  <si>
    <t>BUSINESS CREDIT CARD</t>
  </si>
  <si>
    <t>Spend</t>
  </si>
  <si>
    <t>% Split</t>
  </si>
  <si>
    <t>TOTAL:</t>
  </si>
  <si>
    <t>Repositioning Campaign</t>
  </si>
  <si>
    <t>Mozambique</t>
  </si>
  <si>
    <t xml:space="preserve">           -  </t>
  </si>
  <si>
    <t xml:space="preserve">                 -  </t>
  </si>
  <si>
    <t>META</t>
  </si>
  <si>
    <t>LinkedIn</t>
  </si>
  <si>
    <t>Programmatic Display</t>
  </si>
  <si>
    <t>Programmatic Video</t>
  </si>
  <si>
    <t>0.00</t>
  </si>
  <si>
    <t>Google Display Network</t>
  </si>
  <si>
    <t>Influencer</t>
  </si>
  <si>
    <t>BOT</t>
  </si>
  <si>
    <t>GHA</t>
  </si>
  <si>
    <t>KEN</t>
  </si>
  <si>
    <t>MAU</t>
  </si>
  <si>
    <t>MOZ</t>
  </si>
  <si>
    <t>SEY</t>
  </si>
  <si>
    <t>TAN</t>
  </si>
  <si>
    <t>UGA</t>
  </si>
  <si>
    <t>ZAM</t>
  </si>
  <si>
    <t>PERSONAL BANKING</t>
  </si>
  <si>
    <t>BUSINESS BANKING</t>
  </si>
  <si>
    <t>LA RIBA</t>
  </si>
  <si>
    <t>AFFLUENT</t>
  </si>
  <si>
    <t>RBB/ CIB</t>
  </si>
  <si>
    <t>ALWAYS ON SEARCH</t>
  </si>
  <si>
    <t>MULTICURRENCY</t>
  </si>
  <si>
    <t>Influencers</t>
  </si>
  <si>
    <t>BB</t>
  </si>
  <si>
    <t>Salary Advance</t>
  </si>
  <si>
    <t>Mobi Tap</t>
  </si>
  <si>
    <t>PLAY YOUR CARDS RIGHT</t>
  </si>
  <si>
    <t>TRADE FINANCE</t>
  </si>
  <si>
    <t>ABSA ACCESS</t>
  </si>
  <si>
    <t>POST BUDGET DIALOGUE</t>
  </si>
  <si>
    <t>DIGILOAN</t>
  </si>
  <si>
    <t>SEO SEARCH ENGINE - MULTI CAMPAIGN</t>
  </si>
  <si>
    <t>No Spend</t>
  </si>
  <si>
    <t>WIN A MORAKA</t>
  </si>
  <si>
    <t>BUSINESS BANKING CREDIT CARD</t>
  </si>
  <si>
    <t>GREEN ENERGY LOANS</t>
  </si>
  <si>
    <t>PURPOSE ACCOUNT</t>
  </si>
  <si>
    <t>Radio plus Sponsorship</t>
  </si>
  <si>
    <t>RB - EOY + Card Press communique</t>
  </si>
  <si>
    <t xml:space="preserve"> Premier League Card 2025       </t>
  </si>
  <si>
    <t>le Passeport FB</t>
  </si>
  <si>
    <t>Bocuse d'or    </t>
  </si>
  <si>
    <t>Saturday Branch opening</t>
  </si>
  <si>
    <t>Absa Social media Post</t>
  </si>
  <si>
    <t>Absa - Change of PLR - Press Notice     </t>
  </si>
  <si>
    <t>Absa -  Financial Results Advertorial</t>
  </si>
  <si>
    <t>Absa Metro Train Wrapping</t>
  </si>
  <si>
    <t xml:space="preserve">ABSA Mortgage Campaign </t>
  </si>
  <si>
    <t>ABSA Tribeca Digital screen</t>
  </si>
  <si>
    <t>ABSA Proparco event</t>
  </si>
  <si>
    <t>Absa Wealth</t>
  </si>
  <si>
    <t xml:space="preserve">Winners Annoucement </t>
  </si>
  <si>
    <t>ABSA Access</t>
  </si>
  <si>
    <t>Jooga 2025 Campaign</t>
  </si>
  <si>
    <t>7 Hills 2025 Campaign</t>
  </si>
  <si>
    <t>KASOA RE-OPENING</t>
  </si>
  <si>
    <t>MOBITAP</t>
  </si>
  <si>
    <t>INSPIRE ME</t>
  </si>
  <si>
    <t>BLACKSTAR MARATHON</t>
  </si>
  <si>
    <t>Agency Banking</t>
  </si>
  <si>
    <t>Jan-Sep 2025</t>
  </si>
  <si>
    <t>X</t>
  </si>
  <si>
    <t>READY TO WORK</t>
  </si>
  <si>
    <t>Canais Digitais</t>
  </si>
  <si>
    <t>Credit Consumer</t>
  </si>
  <si>
    <t>Promoted Content</t>
  </si>
  <si>
    <t>Row Labels</t>
  </si>
  <si>
    <t>Grand Total</t>
  </si>
  <si>
    <t>Search</t>
  </si>
  <si>
    <t>OOH ONLY CAMPAIGNS - ADHOC</t>
  </si>
  <si>
    <t xml:space="preserve">ABSA Women Forward </t>
  </si>
  <si>
    <t>ABSA Video wall @ Aiport - Global Market/ CIB/Wealth</t>
  </si>
  <si>
    <t xml:space="preserve">ABSA National Sensitization campaign </t>
  </si>
  <si>
    <t>BRAND CHAPTERS</t>
  </si>
  <si>
    <t>Business Club</t>
  </si>
  <si>
    <t>Cash Management</t>
  </si>
  <si>
    <t>Podcast</t>
  </si>
  <si>
    <t>Sum of Jan</t>
  </si>
  <si>
    <t>Sum of Feb</t>
  </si>
  <si>
    <t>Sum of Mar</t>
  </si>
  <si>
    <t>Sum of Apr</t>
  </si>
  <si>
    <t>Sum of May</t>
  </si>
  <si>
    <t>Sum of Jun</t>
  </si>
  <si>
    <t>DIGITAL</t>
  </si>
  <si>
    <t>TECH COSTS</t>
  </si>
  <si>
    <t>Absa ARO ROA Social Corner SuperSport Sponsorship</t>
  </si>
  <si>
    <t>Absa ARO_CIB_Transactional Banking_AIS Custody DGT</t>
  </si>
  <si>
    <t>SOCIAL</t>
  </si>
  <si>
    <t>OUTDOOR</t>
  </si>
  <si>
    <t>Absa_ ARO_ DSTV_Showmax TV Schedule March 2026</t>
  </si>
  <si>
    <t>TELEVISION</t>
  </si>
  <si>
    <t xml:space="preserve">Absa ARO_MEST Sponsorship </t>
  </si>
  <si>
    <t>Absa ARO_MEST Sponsorship</t>
  </si>
  <si>
    <t>(blank)</t>
  </si>
  <si>
    <t>Identifier</t>
  </si>
  <si>
    <t>manager@test.co.za</t>
  </si>
  <si>
    <t>zambia@test.co.za</t>
  </si>
  <si>
    <t>uganda@test.co.za</t>
  </si>
  <si>
    <t>tanzania@test.co.za</t>
  </si>
  <si>
    <t>seychelles@test.co.za</t>
  </si>
  <si>
    <t>mozambique@test.co.za</t>
  </si>
  <si>
    <t>mauritius@test.co.za</t>
  </si>
  <si>
    <t>kenya@test.co.za</t>
  </si>
  <si>
    <t>hub@test.co.za</t>
  </si>
  <si>
    <t>ghana@test.co.za</t>
  </si>
  <si>
    <t>botswana@test.co.za</t>
  </si>
  <si>
    <t>hein@speccon.co.za</t>
  </si>
  <si>
    <t>Sum of Total Spend
(ZAR)</t>
  </si>
  <si>
    <t>Sum of Total Spend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</si>
</sst>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44" formatCode="_-&quot;R&quot;* #,##0.00_-;\-&quot;R&quot;* #,##0.00_-;_-&quot;R&quot;* &quot;-&quot;??_-;_-@_-"/>
    <numFmt numFmtId="43" formatCode="_-* #,##0.00_-;\-* #,##0.00_-;_-* &quot;-&quot;??_-;_-@_-"/>
    <numFmt numFmtId="164" formatCode="&quot;R&quot;#,##0"/>
    <numFmt numFmtId="165" formatCode="[$KES]\ #,##0.00;\-[$KES]\ #,##0.00"/>
    <numFmt numFmtId="166" formatCode="_-[$R-1C09]* #,##0.00_-;\-[$R-1C09]* #,##0.00_-;_-[$R-1C09]* &quot;-&quot;??_-;_-@_-"/>
    <numFmt numFmtId="167" formatCode="[$KES]\ #,##0.00"/>
    <numFmt numFmtId="168" formatCode="[$BWP]\ #,##0.00"/>
    <numFmt numFmtId="169" formatCode="_-[$KES]\ * #,##0.00_-;\-[$KES]\ * #,##0.00_-;_-[$KES]\ * &quot;-&quot;??_-;_-@_-"/>
    <numFmt numFmtId="170" formatCode="[$MUR]\ #,##0.00"/>
    <numFmt numFmtId="171" formatCode="[$GHS]\ #,##0.00"/>
    <numFmt numFmtId="172" formatCode="[$ZMW]\ #,##0.00"/>
    <numFmt numFmtId="173" formatCode="0.0%"/>
    <numFmt numFmtId="174" formatCode="[$UGX]\ #,##0.00"/>
    <numFmt numFmtId="175" formatCode="[$UGX]\ #,##0"/>
    <numFmt numFmtId="176" formatCode="[$SCR]\ #,##0.00"/>
    <numFmt numFmtId="177" formatCode="[$TZS]\ #,##0.00"/>
    <numFmt numFmtId="178" formatCode="[$MZN]\ #,##0.00"/>
    <numFmt numFmtId="179" formatCode="[$SCR]\ #,##0.00;\-[$SCR]\ #,##0.00"/>
    <numFmt numFmtId="180" formatCode="[$MZN]\ #,##0"/>
    <numFmt numFmtId="181" formatCode="&quot;R&quot;#,##0.00"/>
    <numFmt numFmtId="182" formatCode="[$ZMW]\ #,##0"/>
    <numFmt numFmtId="183" formatCode="[$BWP]\ #,##0"/>
    <numFmt numFmtId="184" formatCode="_-[$MZN]\ * #,##0.00_-;\-[$MZN]\ * #,##0.00_-;_-[$MZN]\ * &quot;-&quot;??_-;_-@_-"/>
    <numFmt numFmtId="185" formatCode="_-[$GHS]\ * #,##0.00_-;\-[$GHS]\ * #,##0.00_-;_-[$GHS]\ * &quot;-&quot;??_-;_-@_-"/>
    <numFmt numFmtId="186" formatCode="_-[$MUR]\ * #,##0.00_-;\-[$MUR]\ * #,##0.00_-;_-[$MUR]\ * &quot;-&quot;??_-;_-@_-"/>
    <numFmt numFmtId="187" formatCode="_-[$TZS]\ * #,##0.00_-;\-[$TZS]\ * #,##0.00_-;_-[$TZS]\ * &quot;-&quot;??_-;_-@_-"/>
    <numFmt numFmtId="188" formatCode="_-[$UGX]\ * #,##0.00_-;\-[$UGX]\ * #,##0.00_-;_-[$UGX]\ * &quot;-&quot;??_-;_-@_-"/>
    <numFmt numFmtId="189" formatCode="_-[$ZMW]\ * #,##0.00_-;\-[$ZMW]\ * #,##0.00_-;_-[$ZMW]\ * &quot;-&quot;??_-;_-@_-"/>
    <numFmt numFmtId="190" formatCode="_-&quot;R&quot;* #,##0.00000_-;\-&quot;R&quot;* #,##0.00000_-;_-&quot;R&quot;* &quot;-&quot;??_-;_-@_-"/>
  </numFmts>
  <fonts count="22">
    <font>
      <sz val="11"/>
      <color theme="1"/>
      <name val="Source Sans Pro Light"/>
      <family val="2"/>
      <scheme val="minor"/>
    </font>
    <font>
      <sz val="11"/>
      <color theme="1"/>
      <name val="Source Sans Pro Light"/>
      <family val="2"/>
      <scheme val="minor"/>
    </font>
    <font>
      <b/>
      <sz val="14"/>
      <color theme="0"/>
      <name val="Source Sans Pro Light"/>
      <family val="2"/>
      <scheme val="minor"/>
    </font>
    <font>
      <b/>
      <sz val="10"/>
      <color theme="1"/>
      <name val="Source Sans Pro Light"/>
      <family val="2"/>
      <scheme val="minor"/>
    </font>
    <font>
      <b/>
      <sz val="10"/>
      <color theme="0"/>
      <name val="Source Sans Pro Light"/>
      <family val="2"/>
      <scheme val="minor"/>
    </font>
    <font>
      <sz val="10"/>
      <color theme="1"/>
      <name val="Source Sans Pro Light"/>
      <family val="2"/>
      <scheme val="minor"/>
    </font>
    <font>
      <sz val="10"/>
      <name val="Source Sans Pro Light"/>
      <family val="2"/>
      <scheme val="minor"/>
    </font>
    <font>
      <b/>
      <sz val="11"/>
      <color theme="0"/>
      <name val="Source Sans Pro Bold"/>
      <scheme val="major"/>
    </font>
    <font>
      <sz val="11"/>
      <color theme="1"/>
      <name val="Source Sans Pro Bold"/>
      <scheme val="major"/>
    </font>
    <font>
      <b/>
      <sz val="10"/>
      <color theme="0"/>
      <name val="Source Sans Pro Bold"/>
      <scheme val="major"/>
    </font>
    <font>
      <sz val="10"/>
      <color theme="3"/>
      <name val="Source Sans Pro Light"/>
      <family val="2"/>
      <scheme val="minor"/>
    </font>
    <font>
      <b/>
      <sz val="10"/>
      <name val="Source Sans Pro Bold"/>
      <scheme val="major"/>
    </font>
    <font>
      <sz val="10"/>
      <color theme="0"/>
      <name val="Source Sans Pro Light"/>
      <family val="2"/>
      <scheme val="minor"/>
    </font>
    <font>
      <sz val="10"/>
      <color rgb="FF000000"/>
      <name val="Source Sans Pro Light"/>
      <family val="2"/>
    </font>
    <font>
      <sz val="12"/>
      <color theme="1"/>
      <name val="Source Sans Pro Bold"/>
      <scheme val="major"/>
    </font>
    <font>
      <b/>
      <sz val="20"/>
      <color theme="2"/>
      <name val="Source Sans Pro Bold"/>
      <scheme val="major"/>
    </font>
    <font>
      <sz val="10"/>
      <color theme="1"/>
      <name val="Source Sans Pro Bold"/>
      <scheme val="major"/>
    </font>
    <font>
      <sz val="9"/>
      <color theme="0"/>
      <name val="Source Sans Pro Bold"/>
      <scheme val="major"/>
    </font>
    <font>
      <sz val="11"/>
      <color theme="0"/>
      <name val="Source Sans Pro Light"/>
      <family val="2"/>
      <scheme val="minor"/>
    </font>
    <font>
      <b/>
      <sz val="10"/>
      <color theme="0"/>
      <name val="Source Sans Pro Light"/>
      <family val="2"/>
    </font>
    <font>
      <sz val="11"/>
      <color theme="1"/>
      <name val="Google Sans"/>
    </font>
    <font>
      <b/>
      <sz val="11"/>
      <color theme="1"/>
      <name val="Google Sans"/>
    </font>
  </fonts>
  <fills count="1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rgb="FFC00000"/>
      </patternFill>
    </fill>
    <fill>
      <patternFill patternType="solid">
        <fgColor theme="8"/>
        <bgColor theme="8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3"/>
      </left>
      <right style="thin">
        <color indexed="64"/>
      </right>
      <top style="thin">
        <color theme="3"/>
      </top>
      <bottom style="thin">
        <color theme="3"/>
      </bottom>
      <diagonal/>
    </border>
    <border>
      <left style="thin">
        <color indexed="64"/>
      </left>
      <right style="medium">
        <color indexed="64"/>
      </right>
      <top style="thin">
        <color theme="3"/>
      </top>
      <bottom style="thin">
        <color theme="3"/>
      </bottom>
      <diagonal/>
    </border>
    <border>
      <left style="thin">
        <color indexed="64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04">
    <xf numFmtId="0" fontId="0" fillId="0" borderId="0" xfId="0"/>
    <xf numFmtId="0" fontId="3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164" fontId="4" fillId="2" borderId="4" xfId="0" applyNumberFormat="1" applyFont="1" applyFill="1" applyBorder="1" applyAlignment="1">
      <alignment horizontal="center" vertical="center"/>
    </xf>
    <xf numFmtId="9" fontId="4" fillId="2" borderId="4" xfId="2" applyFont="1" applyFill="1" applyBorder="1" applyAlignment="1">
      <alignment horizontal="center" vertical="center"/>
    </xf>
    <xf numFmtId="164" fontId="4" fillId="2" borderId="3" xfId="0" applyNumberFormat="1" applyFont="1" applyFill="1" applyBorder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168" fontId="3" fillId="3" borderId="0" xfId="0" applyNumberFormat="1" applyFont="1" applyFill="1" applyAlignment="1">
      <alignment vertical="center"/>
    </xf>
    <xf numFmtId="0" fontId="5" fillId="3" borderId="0" xfId="0" applyFont="1" applyFill="1" applyAlignment="1">
      <alignment horizontal="left" vertical="center"/>
    </xf>
    <xf numFmtId="0" fontId="8" fillId="0" borderId="0" xfId="0" applyFont="1"/>
    <xf numFmtId="0" fontId="5" fillId="0" borderId="0" xfId="0" applyFont="1" applyAlignment="1">
      <alignment horizontal="left" vertical="center"/>
    </xf>
    <xf numFmtId="173" fontId="0" fillId="0" borderId="0" xfId="0" applyNumberFormat="1" applyAlignment="1">
      <alignment horizontal="center" vertical="center"/>
    </xf>
    <xf numFmtId="173" fontId="4" fillId="2" borderId="4" xfId="2" applyNumberFormat="1" applyFont="1" applyFill="1" applyBorder="1" applyAlignment="1">
      <alignment horizontal="center" vertical="center"/>
    </xf>
    <xf numFmtId="173" fontId="6" fillId="0" borderId="4" xfId="2" applyNumberFormat="1" applyFont="1" applyBorder="1" applyAlignment="1">
      <alignment horizontal="center" vertical="center"/>
    </xf>
    <xf numFmtId="173" fontId="4" fillId="5" borderId="4" xfId="2" applyNumberFormat="1" applyFont="1" applyFill="1" applyBorder="1" applyAlignment="1">
      <alignment horizontal="center" vertical="center"/>
    </xf>
    <xf numFmtId="173" fontId="4" fillId="2" borderId="5" xfId="2" applyNumberFormat="1" applyFont="1" applyFill="1" applyBorder="1" applyAlignment="1">
      <alignment horizontal="center" vertical="center"/>
    </xf>
    <xf numFmtId="173" fontId="6" fillId="0" borderId="5" xfId="2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70" fontId="3" fillId="3" borderId="0" xfId="0" applyNumberFormat="1" applyFont="1" applyFill="1" applyAlignment="1">
      <alignment vertical="center"/>
    </xf>
    <xf numFmtId="176" fontId="6" fillId="0" borderId="4" xfId="0" applyNumberFormat="1" applyFont="1" applyBorder="1" applyAlignment="1">
      <alignment horizontal="left" vertical="center"/>
    </xf>
    <xf numFmtId="178" fontId="6" fillId="0" borderId="4" xfId="0" applyNumberFormat="1" applyFont="1" applyBorder="1" applyAlignment="1">
      <alignment horizontal="left" vertical="center"/>
    </xf>
    <xf numFmtId="168" fontId="3" fillId="0" borderId="0" xfId="0" applyNumberFormat="1" applyFont="1" applyAlignment="1">
      <alignment vertical="center"/>
    </xf>
    <xf numFmtId="171" fontId="3" fillId="3" borderId="0" xfId="0" applyNumberFormat="1" applyFont="1" applyFill="1" applyAlignment="1">
      <alignment vertical="center"/>
    </xf>
    <xf numFmtId="171" fontId="3" fillId="0" borderId="0" xfId="0" applyNumberFormat="1" applyFont="1" applyAlignment="1">
      <alignment vertical="center"/>
    </xf>
    <xf numFmtId="172" fontId="3" fillId="3" borderId="0" xfId="0" applyNumberFormat="1" applyFont="1" applyFill="1" applyAlignment="1">
      <alignment vertical="center"/>
    </xf>
    <xf numFmtId="172" fontId="3" fillId="0" borderId="0" xfId="0" applyNumberFormat="1" applyFont="1" applyAlignment="1">
      <alignment vertical="center"/>
    </xf>
    <xf numFmtId="170" fontId="3" fillId="0" borderId="0" xfId="0" applyNumberFormat="1" applyFont="1" applyAlignment="1">
      <alignment vertical="center"/>
    </xf>
    <xf numFmtId="174" fontId="3" fillId="3" borderId="0" xfId="0" applyNumberFormat="1" applyFont="1" applyFill="1" applyAlignment="1">
      <alignment vertical="center"/>
    </xf>
    <xf numFmtId="174" fontId="3" fillId="0" borderId="0" xfId="0" applyNumberFormat="1" applyFont="1" applyAlignment="1">
      <alignment vertical="center"/>
    </xf>
    <xf numFmtId="179" fontId="3" fillId="3" borderId="0" xfId="0" applyNumberFormat="1" applyFont="1" applyFill="1" applyAlignment="1">
      <alignment vertical="center"/>
    </xf>
    <xf numFmtId="179" fontId="3" fillId="0" borderId="0" xfId="0" applyNumberFormat="1" applyFont="1" applyAlignment="1">
      <alignment vertical="center"/>
    </xf>
    <xf numFmtId="177" fontId="3" fillId="3" borderId="0" xfId="0" applyNumberFormat="1" applyFont="1" applyFill="1" applyAlignment="1">
      <alignment vertical="center"/>
    </xf>
    <xf numFmtId="177" fontId="3" fillId="0" borderId="0" xfId="0" applyNumberFormat="1" applyFont="1" applyAlignment="1">
      <alignment vertical="center"/>
    </xf>
    <xf numFmtId="177" fontId="6" fillId="0" borderId="4" xfId="0" applyNumberFormat="1" applyFont="1" applyBorder="1" applyAlignment="1">
      <alignment horizontal="left" vertical="center"/>
    </xf>
    <xf numFmtId="178" fontId="3" fillId="3" borderId="0" xfId="0" applyNumberFormat="1" applyFont="1" applyFill="1" applyAlignment="1">
      <alignment vertical="center"/>
    </xf>
    <xf numFmtId="178" fontId="3" fillId="0" borderId="0" xfId="0" applyNumberFormat="1" applyFont="1" applyAlignment="1">
      <alignment vertical="center"/>
    </xf>
    <xf numFmtId="170" fontId="4" fillId="5" borderId="4" xfId="0" applyNumberFormat="1" applyFont="1" applyFill="1" applyBorder="1" applyAlignment="1">
      <alignment horizontal="left" vertical="center"/>
    </xf>
    <xf numFmtId="171" fontId="4" fillId="5" borderId="4" xfId="0" applyNumberFormat="1" applyFont="1" applyFill="1" applyBorder="1" applyAlignment="1">
      <alignment horizontal="left" vertical="center"/>
    </xf>
    <xf numFmtId="168" fontId="4" fillId="5" borderId="4" xfId="0" applyNumberFormat="1" applyFont="1" applyFill="1" applyBorder="1" applyAlignment="1">
      <alignment horizontal="left" vertical="center"/>
    </xf>
    <xf numFmtId="179" fontId="4" fillId="5" borderId="4" xfId="0" applyNumberFormat="1" applyFont="1" applyFill="1" applyBorder="1" applyAlignment="1">
      <alignment horizontal="left" vertical="center"/>
    </xf>
    <xf numFmtId="177" fontId="4" fillId="5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vertical="center"/>
    </xf>
    <xf numFmtId="0" fontId="10" fillId="3" borderId="4" xfId="0" applyFont="1" applyFill="1" applyBorder="1" applyAlignment="1">
      <alignment vertical="center" wrapText="1"/>
    </xf>
    <xf numFmtId="0" fontId="10" fillId="3" borderId="4" xfId="0" applyFont="1" applyFill="1" applyBorder="1" applyAlignment="1">
      <alignment horizontal="left" vertical="center"/>
    </xf>
    <xf numFmtId="167" fontId="10" fillId="4" borderId="4" xfId="0" applyNumberFormat="1" applyFont="1" applyFill="1" applyBorder="1" applyAlignment="1">
      <alignment horizontal="right" vertical="center"/>
    </xf>
    <xf numFmtId="167" fontId="10" fillId="0" borderId="4" xfId="0" applyNumberFormat="1" applyFont="1" applyBorder="1" applyAlignment="1">
      <alignment horizontal="right" vertical="center"/>
    </xf>
    <xf numFmtId="166" fontId="10" fillId="0" borderId="4" xfId="0" applyNumberFormat="1" applyFont="1" applyBorder="1" applyAlignment="1">
      <alignment horizontal="right" vertical="center"/>
    </xf>
    <xf numFmtId="0" fontId="10" fillId="0" borderId="0" xfId="0" applyFont="1" applyAlignment="1">
      <alignment vertical="center"/>
    </xf>
    <xf numFmtId="0" fontId="10" fillId="3" borderId="4" xfId="0" applyFont="1" applyFill="1" applyBorder="1" applyAlignment="1">
      <alignment horizontal="left" vertical="center" wrapText="1"/>
    </xf>
    <xf numFmtId="168" fontId="10" fillId="0" borderId="4" xfId="0" applyNumberFormat="1" applyFont="1" applyBorder="1" applyAlignment="1">
      <alignment horizontal="right" vertical="center"/>
    </xf>
    <xf numFmtId="171" fontId="10" fillId="0" borderId="4" xfId="0" applyNumberFormat="1" applyFont="1" applyBorder="1" applyAlignment="1">
      <alignment vertical="center"/>
    </xf>
    <xf numFmtId="171" fontId="10" fillId="3" borderId="4" xfId="0" applyNumberFormat="1" applyFont="1" applyFill="1" applyBorder="1" applyAlignment="1">
      <alignment vertical="center" wrapText="1"/>
    </xf>
    <xf numFmtId="171" fontId="10" fillId="3" borderId="4" xfId="0" applyNumberFormat="1" applyFont="1" applyFill="1" applyBorder="1" applyAlignment="1">
      <alignment horizontal="left" vertical="center" wrapText="1"/>
    </xf>
    <xf numFmtId="171" fontId="10" fillId="0" borderId="4" xfId="0" applyNumberFormat="1" applyFont="1" applyBorder="1" applyAlignment="1">
      <alignment horizontal="right" vertical="center"/>
    </xf>
    <xf numFmtId="172" fontId="10" fillId="0" borderId="4" xfId="0" applyNumberFormat="1" applyFont="1" applyBorder="1" applyAlignment="1">
      <alignment vertical="center"/>
    </xf>
    <xf numFmtId="172" fontId="10" fillId="3" borderId="4" xfId="0" applyNumberFormat="1" applyFont="1" applyFill="1" applyBorder="1" applyAlignment="1">
      <alignment vertical="center" wrapText="1"/>
    </xf>
    <xf numFmtId="172" fontId="10" fillId="3" borderId="4" xfId="0" applyNumberFormat="1" applyFont="1" applyFill="1" applyBorder="1" applyAlignment="1">
      <alignment horizontal="left" vertical="center" wrapText="1"/>
    </xf>
    <xf numFmtId="172" fontId="10" fillId="0" borderId="4" xfId="0" applyNumberFormat="1" applyFont="1" applyBorder="1" applyAlignment="1">
      <alignment horizontal="right" vertical="center"/>
    </xf>
    <xf numFmtId="172" fontId="10" fillId="0" borderId="0" xfId="0" applyNumberFormat="1" applyFont="1" applyAlignment="1">
      <alignment vertical="center"/>
    </xf>
    <xf numFmtId="0" fontId="10" fillId="0" borderId="4" xfId="0" applyFont="1" applyBorder="1" applyAlignment="1">
      <alignment horizontal="left" vertical="center"/>
    </xf>
    <xf numFmtId="177" fontId="10" fillId="0" borderId="4" xfId="0" applyNumberFormat="1" applyFont="1" applyBorder="1" applyAlignment="1">
      <alignment vertical="center"/>
    </xf>
    <xf numFmtId="174" fontId="9" fillId="5" borderId="4" xfId="0" applyNumberFormat="1" applyFont="1" applyFill="1" applyBorder="1" applyAlignment="1">
      <alignment horizontal="left" vertical="center"/>
    </xf>
    <xf numFmtId="177" fontId="9" fillId="5" borderId="4" xfId="0" applyNumberFormat="1" applyFont="1" applyFill="1" applyBorder="1" applyAlignment="1">
      <alignment horizontal="left" vertical="center"/>
    </xf>
    <xf numFmtId="164" fontId="4" fillId="5" borderId="4" xfId="0" applyNumberFormat="1" applyFont="1" applyFill="1" applyBorder="1" applyAlignment="1">
      <alignment horizontal="center" vertical="center"/>
    </xf>
    <xf numFmtId="9" fontId="4" fillId="5" borderId="4" xfId="2" applyFont="1" applyFill="1" applyBorder="1" applyAlignment="1">
      <alignment horizontal="center" vertical="center"/>
    </xf>
    <xf numFmtId="168" fontId="6" fillId="0" borderId="4" xfId="0" applyNumberFormat="1" applyFont="1" applyBorder="1" applyAlignment="1">
      <alignment horizontal="left" vertical="center"/>
    </xf>
    <xf numFmtId="171" fontId="6" fillId="0" borderId="4" xfId="0" applyNumberFormat="1" applyFont="1" applyBorder="1" applyAlignment="1">
      <alignment horizontal="left" vertical="center"/>
    </xf>
    <xf numFmtId="170" fontId="6" fillId="0" borderId="4" xfId="0" applyNumberFormat="1" applyFont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172" fontId="6" fillId="0" borderId="4" xfId="0" applyNumberFormat="1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left" vertical="center"/>
    </xf>
    <xf numFmtId="173" fontId="6" fillId="0" borderId="4" xfId="2" applyNumberFormat="1" applyFont="1" applyFill="1" applyBorder="1" applyAlignment="1">
      <alignment horizontal="center" vertical="center"/>
    </xf>
    <xf numFmtId="173" fontId="6" fillId="0" borderId="5" xfId="2" applyNumberFormat="1" applyFont="1" applyFill="1" applyBorder="1" applyAlignment="1">
      <alignment horizontal="center" vertical="center"/>
    </xf>
    <xf numFmtId="171" fontId="6" fillId="0" borderId="3" xfId="0" applyNumberFormat="1" applyFont="1" applyBorder="1" applyAlignment="1">
      <alignment horizontal="left" vertical="center"/>
    </xf>
    <xf numFmtId="171" fontId="10" fillId="0" borderId="4" xfId="0" applyNumberFormat="1" applyFont="1" applyBorder="1" applyAlignment="1">
      <alignment horizontal="left" vertical="center"/>
    </xf>
    <xf numFmtId="170" fontId="6" fillId="0" borderId="3" xfId="0" applyNumberFormat="1" applyFont="1" applyBorder="1" applyAlignment="1">
      <alignment horizontal="left" vertical="center"/>
    </xf>
    <xf numFmtId="178" fontId="6" fillId="0" borderId="3" xfId="0" applyNumberFormat="1" applyFont="1" applyBorder="1" applyAlignment="1">
      <alignment horizontal="left" vertical="center"/>
    </xf>
    <xf numFmtId="176" fontId="6" fillId="0" borderId="3" xfId="0" applyNumberFormat="1" applyFont="1" applyBorder="1" applyAlignment="1">
      <alignment horizontal="left" vertical="center"/>
    </xf>
    <xf numFmtId="177" fontId="6" fillId="0" borderId="3" xfId="0" applyNumberFormat="1" applyFont="1" applyBorder="1" applyAlignment="1">
      <alignment horizontal="left" vertical="center"/>
    </xf>
    <xf numFmtId="172" fontId="6" fillId="0" borderId="3" xfId="0" applyNumberFormat="1" applyFont="1" applyBorder="1" applyAlignment="1">
      <alignment horizontal="left" vertical="center"/>
    </xf>
    <xf numFmtId="164" fontId="4" fillId="5" borderId="3" xfId="0" applyNumberFormat="1" applyFont="1" applyFill="1" applyBorder="1" applyAlignment="1">
      <alignment horizontal="center" vertical="center"/>
    </xf>
    <xf numFmtId="173" fontId="4" fillId="5" borderId="5" xfId="2" applyNumberFormat="1" applyFont="1" applyFill="1" applyBorder="1" applyAlignment="1">
      <alignment horizontal="center" vertical="center"/>
    </xf>
    <xf numFmtId="178" fontId="10" fillId="0" borderId="4" xfId="0" applyNumberFormat="1" applyFont="1" applyBorder="1" applyAlignment="1">
      <alignment horizontal="left" vertical="center"/>
    </xf>
    <xf numFmtId="178" fontId="10" fillId="0" borderId="4" xfId="1" applyNumberFormat="1" applyFont="1" applyFill="1" applyBorder="1" applyAlignment="1">
      <alignment horizontal="left" vertical="center"/>
    </xf>
    <xf numFmtId="178" fontId="10" fillId="0" borderId="3" xfId="0" applyNumberFormat="1" applyFont="1" applyBorder="1" applyAlignment="1">
      <alignment horizontal="left" vertical="center"/>
    </xf>
    <xf numFmtId="173" fontId="10" fillId="0" borderId="4" xfId="2" applyNumberFormat="1" applyFont="1" applyFill="1" applyBorder="1" applyAlignment="1">
      <alignment horizontal="center" vertical="center"/>
    </xf>
    <xf numFmtId="173" fontId="10" fillId="0" borderId="5" xfId="2" applyNumberFormat="1" applyFont="1" applyFill="1" applyBorder="1" applyAlignment="1">
      <alignment horizontal="center" vertical="center"/>
    </xf>
    <xf numFmtId="168" fontId="4" fillId="2" borderId="3" xfId="0" applyNumberFormat="1" applyFont="1" applyFill="1" applyBorder="1" applyAlignment="1">
      <alignment horizontal="left" vertical="center"/>
    </xf>
    <xf numFmtId="168" fontId="4" fillId="2" borderId="4" xfId="0" applyNumberFormat="1" applyFont="1" applyFill="1" applyBorder="1" applyAlignment="1">
      <alignment horizontal="left" vertical="center"/>
    </xf>
    <xf numFmtId="171" fontId="4" fillId="2" borderId="3" xfId="0" applyNumberFormat="1" applyFont="1" applyFill="1" applyBorder="1" applyAlignment="1">
      <alignment horizontal="left" vertical="center"/>
    </xf>
    <xf numFmtId="171" fontId="4" fillId="2" borderId="4" xfId="0" applyNumberFormat="1" applyFont="1" applyFill="1" applyBorder="1" applyAlignment="1">
      <alignment horizontal="left" vertical="center"/>
    </xf>
    <xf numFmtId="165" fontId="4" fillId="2" borderId="3" xfId="0" applyNumberFormat="1" applyFont="1" applyFill="1" applyBorder="1" applyAlignment="1">
      <alignment horizontal="left" vertical="center"/>
    </xf>
    <xf numFmtId="165" fontId="4" fillId="2" borderId="4" xfId="0" applyNumberFormat="1" applyFont="1" applyFill="1" applyBorder="1" applyAlignment="1">
      <alignment horizontal="left" vertical="center"/>
    </xf>
    <xf numFmtId="170" fontId="4" fillId="2" borderId="3" xfId="0" applyNumberFormat="1" applyFont="1" applyFill="1" applyBorder="1" applyAlignment="1">
      <alignment horizontal="left" vertical="center"/>
    </xf>
    <xf numFmtId="170" fontId="4" fillId="2" borderId="4" xfId="0" applyNumberFormat="1" applyFont="1" applyFill="1" applyBorder="1" applyAlignment="1">
      <alignment horizontal="left" vertical="center"/>
    </xf>
    <xf numFmtId="178" fontId="4" fillId="2" borderId="3" xfId="0" applyNumberFormat="1" applyFont="1" applyFill="1" applyBorder="1" applyAlignment="1">
      <alignment horizontal="left" vertical="center"/>
    </xf>
    <xf numFmtId="178" fontId="4" fillId="2" borderId="4" xfId="0" applyNumberFormat="1" applyFont="1" applyFill="1" applyBorder="1" applyAlignment="1">
      <alignment horizontal="left" vertical="center"/>
    </xf>
    <xf numFmtId="179" fontId="4" fillId="2" borderId="3" xfId="0" applyNumberFormat="1" applyFont="1" applyFill="1" applyBorder="1" applyAlignment="1">
      <alignment horizontal="left" vertical="center"/>
    </xf>
    <xf numFmtId="179" fontId="4" fillId="2" borderId="4" xfId="0" applyNumberFormat="1" applyFont="1" applyFill="1" applyBorder="1" applyAlignment="1">
      <alignment horizontal="left" vertical="center"/>
    </xf>
    <xf numFmtId="177" fontId="4" fillId="2" borderId="3" xfId="0" applyNumberFormat="1" applyFont="1" applyFill="1" applyBorder="1" applyAlignment="1">
      <alignment horizontal="left" vertical="center"/>
    </xf>
    <xf numFmtId="177" fontId="4" fillId="2" borderId="4" xfId="0" applyNumberFormat="1" applyFont="1" applyFill="1" applyBorder="1" applyAlignment="1">
      <alignment horizontal="left" vertical="center"/>
    </xf>
    <xf numFmtId="174" fontId="4" fillId="2" borderId="3" xfId="0" applyNumberFormat="1" applyFont="1" applyFill="1" applyBorder="1" applyAlignment="1">
      <alignment horizontal="left" vertical="center"/>
    </xf>
    <xf numFmtId="174" fontId="4" fillId="2" borderId="4" xfId="0" applyNumberFormat="1" applyFont="1" applyFill="1" applyBorder="1" applyAlignment="1">
      <alignment horizontal="left" vertical="center"/>
    </xf>
    <xf numFmtId="169" fontId="4" fillId="2" borderId="3" xfId="0" applyNumberFormat="1" applyFont="1" applyFill="1" applyBorder="1" applyAlignment="1">
      <alignment horizontal="left" vertical="center"/>
    </xf>
    <xf numFmtId="169" fontId="4" fillId="2" borderId="4" xfId="0" applyNumberFormat="1" applyFont="1" applyFill="1" applyBorder="1" applyAlignment="1">
      <alignment horizontal="left" vertical="center"/>
    </xf>
    <xf numFmtId="175" fontId="4" fillId="2" borderId="3" xfId="0" applyNumberFormat="1" applyFont="1" applyFill="1" applyBorder="1" applyAlignment="1">
      <alignment horizontal="left" vertical="center"/>
    </xf>
    <xf numFmtId="175" fontId="4" fillId="2" borderId="4" xfId="0" applyNumberFormat="1" applyFont="1" applyFill="1" applyBorder="1" applyAlignment="1">
      <alignment horizontal="left" vertical="center"/>
    </xf>
    <xf numFmtId="0" fontId="2" fillId="6" borderId="0" xfId="0" applyFont="1" applyFill="1" applyAlignment="1">
      <alignment horizontal="center" vertical="center"/>
    </xf>
    <xf numFmtId="9" fontId="4" fillId="6" borderId="0" xfId="2" applyFont="1" applyFill="1" applyBorder="1" applyAlignment="1">
      <alignment horizontal="center" vertical="center"/>
    </xf>
    <xf numFmtId="168" fontId="6" fillId="6" borderId="0" xfId="2" applyNumberFormat="1" applyFont="1" applyFill="1" applyBorder="1" applyAlignment="1">
      <alignment horizontal="left" vertical="center"/>
    </xf>
    <xf numFmtId="168" fontId="3" fillId="6" borderId="0" xfId="2" applyNumberFormat="1" applyFont="1" applyFill="1" applyBorder="1" applyAlignment="1">
      <alignment horizontal="left" vertical="center"/>
    </xf>
    <xf numFmtId="171" fontId="6" fillId="6" borderId="0" xfId="2" applyNumberFormat="1" applyFont="1" applyFill="1" applyBorder="1" applyAlignment="1">
      <alignment horizontal="left" vertical="center"/>
    </xf>
    <xf numFmtId="171" fontId="3" fillId="6" borderId="0" xfId="2" applyNumberFormat="1" applyFont="1" applyFill="1" applyBorder="1" applyAlignment="1">
      <alignment horizontal="left" vertical="center"/>
    </xf>
    <xf numFmtId="9" fontId="6" fillId="6" borderId="0" xfId="2" applyFont="1" applyFill="1" applyBorder="1" applyAlignment="1">
      <alignment horizontal="left" vertical="center"/>
    </xf>
    <xf numFmtId="9" fontId="3" fillId="6" borderId="0" xfId="2" applyFont="1" applyFill="1" applyBorder="1" applyAlignment="1">
      <alignment horizontal="left" vertical="center"/>
    </xf>
    <xf numFmtId="170" fontId="6" fillId="6" borderId="0" xfId="2" applyNumberFormat="1" applyFont="1" applyFill="1" applyBorder="1" applyAlignment="1">
      <alignment horizontal="left" vertical="center"/>
    </xf>
    <xf numFmtId="170" fontId="3" fillId="6" borderId="0" xfId="2" applyNumberFormat="1" applyFont="1" applyFill="1" applyBorder="1" applyAlignment="1">
      <alignment horizontal="left" vertical="center"/>
    </xf>
    <xf numFmtId="178" fontId="6" fillId="6" borderId="0" xfId="2" applyNumberFormat="1" applyFont="1" applyFill="1" applyBorder="1" applyAlignment="1">
      <alignment horizontal="left" vertical="center"/>
    </xf>
    <xf numFmtId="178" fontId="3" fillId="6" borderId="0" xfId="2" applyNumberFormat="1" applyFont="1" applyFill="1" applyBorder="1" applyAlignment="1">
      <alignment horizontal="left" vertical="center"/>
    </xf>
    <xf numFmtId="176" fontId="6" fillId="6" borderId="0" xfId="2" applyNumberFormat="1" applyFont="1" applyFill="1" applyBorder="1" applyAlignment="1">
      <alignment horizontal="left" vertical="center"/>
    </xf>
    <xf numFmtId="179" fontId="3" fillId="6" borderId="0" xfId="2" applyNumberFormat="1" applyFont="1" applyFill="1" applyBorder="1" applyAlignment="1">
      <alignment horizontal="left" vertical="center"/>
    </xf>
    <xf numFmtId="177" fontId="6" fillId="6" borderId="0" xfId="2" applyNumberFormat="1" applyFont="1" applyFill="1" applyBorder="1" applyAlignment="1">
      <alignment horizontal="left" vertical="center"/>
    </xf>
    <xf numFmtId="177" fontId="3" fillId="6" borderId="0" xfId="2" applyNumberFormat="1" applyFont="1" applyFill="1" applyBorder="1" applyAlignment="1">
      <alignment horizontal="left" vertical="center"/>
    </xf>
    <xf numFmtId="174" fontId="6" fillId="6" borderId="0" xfId="2" applyNumberFormat="1" applyFont="1" applyFill="1" applyBorder="1" applyAlignment="1">
      <alignment horizontal="left" vertical="center"/>
    </xf>
    <xf numFmtId="174" fontId="3" fillId="6" borderId="0" xfId="2" applyNumberFormat="1" applyFont="1" applyFill="1" applyBorder="1" applyAlignment="1">
      <alignment horizontal="left" vertical="center"/>
    </xf>
    <xf numFmtId="172" fontId="6" fillId="6" borderId="0" xfId="2" applyNumberFormat="1" applyFont="1" applyFill="1" applyBorder="1" applyAlignment="1">
      <alignment horizontal="left" vertical="center"/>
    </xf>
    <xf numFmtId="172" fontId="3" fillId="6" borderId="0" xfId="2" applyNumberFormat="1" applyFont="1" applyFill="1" applyBorder="1" applyAlignment="1">
      <alignment horizontal="left" vertical="center"/>
    </xf>
    <xf numFmtId="181" fontId="10" fillId="0" borderId="4" xfId="0" applyNumberFormat="1" applyFont="1" applyBorder="1" applyAlignment="1">
      <alignment vertical="center"/>
    </xf>
    <xf numFmtId="170" fontId="10" fillId="0" borderId="4" xfId="1" applyNumberFormat="1" applyFont="1" applyFill="1" applyBorder="1" applyAlignment="1">
      <alignment horizontal="left" vertical="center"/>
    </xf>
    <xf numFmtId="166" fontId="6" fillId="7" borderId="3" xfId="0" applyNumberFormat="1" applyFont="1" applyFill="1" applyBorder="1" applyAlignment="1">
      <alignment horizontal="left" vertical="center"/>
    </xf>
    <xf numFmtId="166" fontId="6" fillId="7" borderId="4" xfId="0" applyNumberFormat="1" applyFont="1" applyFill="1" applyBorder="1" applyAlignment="1">
      <alignment horizontal="left" vertical="center"/>
    </xf>
    <xf numFmtId="173" fontId="6" fillId="7" borderId="4" xfId="2" applyNumberFormat="1" applyFont="1" applyFill="1" applyBorder="1" applyAlignment="1">
      <alignment horizontal="center" vertical="center"/>
    </xf>
    <xf numFmtId="166" fontId="5" fillId="7" borderId="4" xfId="0" applyNumberFormat="1" applyFont="1" applyFill="1" applyBorder="1" applyAlignment="1">
      <alignment horizontal="left" vertical="center"/>
    </xf>
    <xf numFmtId="173" fontId="6" fillId="7" borderId="5" xfId="2" applyNumberFormat="1" applyFont="1" applyFill="1" applyBorder="1" applyAlignment="1">
      <alignment horizontal="center" vertical="center"/>
    </xf>
    <xf numFmtId="177" fontId="6" fillId="7" borderId="3" xfId="0" applyNumberFormat="1" applyFont="1" applyFill="1" applyBorder="1" applyAlignment="1">
      <alignment horizontal="left" vertical="center"/>
    </xf>
    <xf numFmtId="177" fontId="6" fillId="7" borderId="4" xfId="0" applyNumberFormat="1" applyFont="1" applyFill="1" applyBorder="1" applyAlignment="1">
      <alignment horizontal="left" vertical="center"/>
    </xf>
    <xf numFmtId="177" fontId="10" fillId="0" borderId="4" xfId="1" applyNumberFormat="1" applyFont="1" applyFill="1" applyBorder="1" applyAlignment="1">
      <alignment horizontal="left" vertical="center"/>
    </xf>
    <xf numFmtId="177" fontId="5" fillId="7" borderId="4" xfId="0" applyNumberFormat="1" applyFont="1" applyFill="1" applyBorder="1" applyAlignment="1">
      <alignment horizontal="left" vertical="center"/>
    </xf>
    <xf numFmtId="176" fontId="10" fillId="0" borderId="4" xfId="0" applyNumberFormat="1" applyFont="1" applyBorder="1" applyAlignment="1">
      <alignment horizontal="left" vertical="center"/>
    </xf>
    <xf numFmtId="176" fontId="10" fillId="0" borderId="4" xfId="1" applyNumberFormat="1" applyFont="1" applyFill="1" applyBorder="1" applyAlignment="1">
      <alignment horizontal="left" vertical="center"/>
    </xf>
    <xf numFmtId="176" fontId="10" fillId="7" borderId="4" xfId="0" applyNumberFormat="1" applyFont="1" applyFill="1" applyBorder="1" applyAlignment="1">
      <alignment horizontal="left" vertical="center"/>
    </xf>
    <xf numFmtId="173" fontId="10" fillId="7" borderId="4" xfId="2" applyNumberFormat="1" applyFont="1" applyFill="1" applyBorder="1" applyAlignment="1">
      <alignment horizontal="center" vertical="center"/>
    </xf>
    <xf numFmtId="173" fontId="10" fillId="7" borderId="5" xfId="2" applyNumberFormat="1" applyFont="1" applyFill="1" applyBorder="1" applyAlignment="1">
      <alignment horizontal="center" vertical="center"/>
    </xf>
    <xf numFmtId="170" fontId="10" fillId="0" borderId="4" xfId="0" applyNumberFormat="1" applyFont="1" applyBorder="1" applyAlignment="1">
      <alignment vertical="center"/>
    </xf>
    <xf numFmtId="176" fontId="10" fillId="7" borderId="3" xfId="0" applyNumberFormat="1" applyFont="1" applyFill="1" applyBorder="1" applyAlignment="1">
      <alignment horizontal="left" vertical="center"/>
    </xf>
    <xf numFmtId="180" fontId="0" fillId="0" borderId="0" xfId="0" applyNumberFormat="1"/>
    <xf numFmtId="180" fontId="6" fillId="0" borderId="4" xfId="0" applyNumberFormat="1" applyFont="1" applyBorder="1" applyAlignment="1">
      <alignment horizontal="left" vertical="center"/>
    </xf>
    <xf numFmtId="180" fontId="4" fillId="5" borderId="4" xfId="0" applyNumberFormat="1" applyFont="1" applyFill="1" applyBorder="1" applyAlignment="1">
      <alignment horizontal="left" vertical="center"/>
    </xf>
    <xf numFmtId="9" fontId="6" fillId="0" borderId="5" xfId="2" applyFont="1" applyBorder="1" applyAlignment="1">
      <alignment horizontal="center" vertical="center"/>
    </xf>
    <xf numFmtId="173" fontId="0" fillId="0" borderId="0" xfId="2" applyNumberFormat="1" applyFont="1" applyAlignment="1">
      <alignment horizontal="center" vertical="center"/>
    </xf>
    <xf numFmtId="10" fontId="6" fillId="0" borderId="4" xfId="2" applyNumberFormat="1" applyFont="1" applyBorder="1" applyAlignment="1">
      <alignment horizontal="center" vertical="center"/>
    </xf>
    <xf numFmtId="10" fontId="4" fillId="5" borderId="4" xfId="2" applyNumberFormat="1" applyFont="1" applyFill="1" applyBorder="1" applyAlignment="1">
      <alignment horizontal="center" vertical="center"/>
    </xf>
    <xf numFmtId="168" fontId="10" fillId="0" borderId="3" xfId="0" applyNumberFormat="1" applyFont="1" applyBorder="1" applyAlignment="1">
      <alignment horizontal="left" vertical="center"/>
    </xf>
    <xf numFmtId="168" fontId="10" fillId="0" borderId="4" xfId="0" applyNumberFormat="1" applyFont="1" applyBorder="1" applyAlignment="1">
      <alignment horizontal="left" vertical="center"/>
    </xf>
    <xf numFmtId="168" fontId="5" fillId="0" borderId="4" xfId="0" applyNumberFormat="1" applyFont="1" applyBorder="1" applyAlignment="1">
      <alignment horizontal="left" vertical="center"/>
    </xf>
    <xf numFmtId="168" fontId="10" fillId="7" borderId="3" xfId="0" applyNumberFormat="1" applyFont="1" applyFill="1" applyBorder="1" applyAlignment="1">
      <alignment horizontal="left" vertical="center"/>
    </xf>
    <xf numFmtId="168" fontId="10" fillId="7" borderId="4" xfId="0" applyNumberFormat="1" applyFont="1" applyFill="1" applyBorder="1" applyAlignment="1">
      <alignment horizontal="left" vertical="center"/>
    </xf>
    <xf numFmtId="171" fontId="10" fillId="7" borderId="3" xfId="0" applyNumberFormat="1" applyFont="1" applyFill="1" applyBorder="1" applyAlignment="1">
      <alignment horizontal="left" vertical="center"/>
    </xf>
    <xf numFmtId="171" fontId="10" fillId="7" borderId="4" xfId="0" applyNumberFormat="1" applyFont="1" applyFill="1" applyBorder="1" applyAlignment="1">
      <alignment horizontal="left" vertical="center"/>
    </xf>
    <xf numFmtId="171" fontId="10" fillId="0" borderId="3" xfId="0" applyNumberFormat="1" applyFont="1" applyBorder="1" applyAlignment="1">
      <alignment horizontal="left" vertical="center"/>
    </xf>
    <xf numFmtId="167" fontId="5" fillId="0" borderId="0" xfId="0" applyNumberFormat="1" applyFont="1" applyAlignment="1">
      <alignment vertical="center"/>
    </xf>
    <xf numFmtId="0" fontId="13" fillId="0" borderId="4" xfId="0" applyFont="1" applyBorder="1"/>
    <xf numFmtId="172" fontId="10" fillId="0" borderId="4" xfId="0" applyNumberFormat="1" applyFont="1" applyBorder="1" applyAlignment="1">
      <alignment horizontal="left" vertical="center"/>
    </xf>
    <xf numFmtId="174" fontId="10" fillId="0" borderId="3" xfId="0" applyNumberFormat="1" applyFont="1" applyBorder="1" applyAlignment="1">
      <alignment horizontal="left" vertical="center"/>
    </xf>
    <xf numFmtId="174" fontId="10" fillId="0" borderId="4" xfId="0" applyNumberFormat="1" applyFont="1" applyBorder="1" applyAlignment="1">
      <alignment horizontal="left" vertical="center"/>
    </xf>
    <xf numFmtId="172" fontId="10" fillId="0" borderId="3" xfId="0" applyNumberFormat="1" applyFont="1" applyBorder="1" applyAlignment="1">
      <alignment horizontal="left" vertical="center"/>
    </xf>
    <xf numFmtId="175" fontId="10" fillId="0" borderId="3" xfId="0" applyNumberFormat="1" applyFont="1" applyBorder="1" applyAlignment="1">
      <alignment horizontal="left" vertical="center"/>
    </xf>
    <xf numFmtId="175" fontId="10" fillId="0" borderId="4" xfId="0" applyNumberFormat="1" applyFont="1" applyBorder="1" applyAlignment="1">
      <alignment horizontal="left" vertical="center"/>
    </xf>
    <xf numFmtId="175" fontId="10" fillId="0" borderId="4" xfId="1" applyNumberFormat="1" applyFont="1" applyFill="1" applyBorder="1" applyAlignment="1">
      <alignment horizontal="left" vertical="center"/>
    </xf>
    <xf numFmtId="182" fontId="10" fillId="0" borderId="3" xfId="0" applyNumberFormat="1" applyFont="1" applyBorder="1" applyAlignment="1">
      <alignment horizontal="left" vertical="center"/>
    </xf>
    <xf numFmtId="182" fontId="10" fillId="0" borderId="4" xfId="0" applyNumberFormat="1" applyFont="1" applyBorder="1" applyAlignment="1">
      <alignment horizontal="left" vertical="center"/>
    </xf>
    <xf numFmtId="182" fontId="10" fillId="0" borderId="4" xfId="1" applyNumberFormat="1" applyFont="1" applyFill="1" applyBorder="1" applyAlignment="1">
      <alignment horizontal="left" vertical="center"/>
    </xf>
    <xf numFmtId="174" fontId="6" fillId="7" borderId="4" xfId="0" applyNumberFormat="1" applyFont="1" applyFill="1" applyBorder="1" applyAlignment="1">
      <alignment horizontal="left" vertical="center"/>
    </xf>
    <xf numFmtId="174" fontId="5" fillId="7" borderId="4" xfId="0" applyNumberFormat="1" applyFont="1" applyFill="1" applyBorder="1" applyAlignment="1">
      <alignment horizontal="left" vertical="center"/>
    </xf>
    <xf numFmtId="172" fontId="6" fillId="7" borderId="4" xfId="0" applyNumberFormat="1" applyFont="1" applyFill="1" applyBorder="1" applyAlignment="1">
      <alignment horizontal="left" vertical="center"/>
    </xf>
    <xf numFmtId="172" fontId="5" fillId="7" borderId="4" xfId="0" applyNumberFormat="1" applyFont="1" applyFill="1" applyBorder="1" applyAlignment="1">
      <alignment horizontal="left" vertical="center"/>
    </xf>
    <xf numFmtId="174" fontId="6" fillId="7" borderId="3" xfId="0" applyNumberFormat="1" applyFont="1" applyFill="1" applyBorder="1" applyAlignment="1">
      <alignment horizontal="left" vertical="center"/>
    </xf>
    <xf numFmtId="172" fontId="6" fillId="7" borderId="3" xfId="0" applyNumberFormat="1" applyFont="1" applyFill="1" applyBorder="1" applyAlignment="1">
      <alignment horizontal="left" vertical="center"/>
    </xf>
    <xf numFmtId="168" fontId="4" fillId="8" borderId="4" xfId="0" applyNumberFormat="1" applyFont="1" applyFill="1" applyBorder="1" applyAlignment="1">
      <alignment horizontal="left" vertical="center"/>
    </xf>
    <xf numFmtId="173" fontId="4" fillId="8" borderId="4" xfId="2" applyNumberFormat="1" applyFont="1" applyFill="1" applyBorder="1" applyAlignment="1">
      <alignment horizontal="center" vertical="center"/>
    </xf>
    <xf numFmtId="173" fontId="4" fillId="8" borderId="5" xfId="2" applyNumberFormat="1" applyFont="1" applyFill="1" applyBorder="1" applyAlignment="1">
      <alignment horizontal="center" vertical="center"/>
    </xf>
    <xf numFmtId="168" fontId="4" fillId="8" borderId="3" xfId="0" applyNumberFormat="1" applyFont="1" applyFill="1" applyBorder="1" applyAlignment="1">
      <alignment horizontal="left" vertical="center"/>
    </xf>
    <xf numFmtId="166" fontId="4" fillId="2" borderId="4" xfId="0" applyNumberFormat="1" applyFont="1" applyFill="1" applyBorder="1" applyAlignment="1">
      <alignment horizontal="left" vertical="center"/>
    </xf>
    <xf numFmtId="172" fontId="4" fillId="2" borderId="4" xfId="0" applyNumberFormat="1" applyFont="1" applyFill="1" applyBorder="1" applyAlignment="1">
      <alignment horizontal="left" vertical="center"/>
    </xf>
    <xf numFmtId="166" fontId="4" fillId="2" borderId="3" xfId="0" applyNumberFormat="1" applyFont="1" applyFill="1" applyBorder="1" applyAlignment="1">
      <alignment horizontal="left" vertical="center"/>
    </xf>
    <xf numFmtId="172" fontId="4" fillId="2" borderId="3" xfId="0" applyNumberFormat="1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center" vertical="center"/>
    </xf>
    <xf numFmtId="180" fontId="4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left" vertical="center"/>
    </xf>
    <xf numFmtId="168" fontId="9" fillId="8" borderId="4" xfId="0" applyNumberFormat="1" applyFont="1" applyFill="1" applyBorder="1" applyAlignment="1">
      <alignment horizontal="left" vertical="center"/>
    </xf>
    <xf numFmtId="171" fontId="9" fillId="5" borderId="4" xfId="0" applyNumberFormat="1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170" fontId="9" fillId="5" borderId="4" xfId="0" applyNumberFormat="1" applyFont="1" applyFill="1" applyBorder="1" applyAlignment="1">
      <alignment horizontal="left" vertical="center"/>
    </xf>
    <xf numFmtId="178" fontId="9" fillId="5" borderId="4" xfId="0" applyNumberFormat="1" applyFont="1" applyFill="1" applyBorder="1" applyAlignment="1">
      <alignment horizontal="left" vertical="center"/>
    </xf>
    <xf numFmtId="179" fontId="9" fillId="5" borderId="4" xfId="0" applyNumberFormat="1" applyFont="1" applyFill="1" applyBorder="1" applyAlignment="1">
      <alignment horizontal="left" vertical="center"/>
    </xf>
    <xf numFmtId="172" fontId="9" fillId="5" borderId="4" xfId="0" applyNumberFormat="1" applyFont="1" applyFill="1" applyBorder="1" applyAlignment="1">
      <alignment horizontal="left" vertical="center"/>
    </xf>
    <xf numFmtId="0" fontId="3" fillId="5" borderId="3" xfId="0" applyFont="1" applyFill="1" applyBorder="1" applyAlignment="1">
      <alignment vertical="center"/>
    </xf>
    <xf numFmtId="178" fontId="4" fillId="5" borderId="4" xfId="0" applyNumberFormat="1" applyFont="1" applyFill="1" applyBorder="1" applyAlignment="1">
      <alignment horizontal="left" vertical="center"/>
    </xf>
    <xf numFmtId="172" fontId="4" fillId="5" borderId="4" xfId="0" applyNumberFormat="1" applyFont="1" applyFill="1" applyBorder="1" applyAlignment="1">
      <alignment horizontal="left" vertical="center"/>
    </xf>
    <xf numFmtId="168" fontId="4" fillId="5" borderId="3" xfId="0" applyNumberFormat="1" applyFont="1" applyFill="1" applyBorder="1" applyAlignment="1">
      <alignment horizontal="left" vertical="center"/>
    </xf>
    <xf numFmtId="171" fontId="4" fillId="5" borderId="3" xfId="0" applyNumberFormat="1" applyFont="1" applyFill="1" applyBorder="1" applyAlignment="1">
      <alignment horizontal="left" vertical="center"/>
    </xf>
    <xf numFmtId="170" fontId="4" fillId="5" borderId="3" xfId="0" applyNumberFormat="1" applyFont="1" applyFill="1" applyBorder="1" applyAlignment="1">
      <alignment horizontal="left" vertical="center"/>
    </xf>
    <xf numFmtId="178" fontId="4" fillId="5" borderId="3" xfId="0" applyNumberFormat="1" applyFont="1" applyFill="1" applyBorder="1" applyAlignment="1">
      <alignment horizontal="left" vertical="center"/>
    </xf>
    <xf numFmtId="179" fontId="4" fillId="5" borderId="3" xfId="0" applyNumberFormat="1" applyFont="1" applyFill="1" applyBorder="1" applyAlignment="1">
      <alignment horizontal="left" vertical="center"/>
    </xf>
    <xf numFmtId="177" fontId="4" fillId="5" borderId="3" xfId="0" applyNumberFormat="1" applyFont="1" applyFill="1" applyBorder="1" applyAlignment="1">
      <alignment horizontal="left" vertical="center"/>
    </xf>
    <xf numFmtId="172" fontId="4" fillId="5" borderId="3" xfId="0" applyNumberFormat="1" applyFont="1" applyFill="1" applyBorder="1" applyAlignment="1">
      <alignment horizontal="left" vertical="center"/>
    </xf>
    <xf numFmtId="182" fontId="4" fillId="2" borderId="4" xfId="0" applyNumberFormat="1" applyFont="1" applyFill="1" applyBorder="1" applyAlignment="1">
      <alignment horizontal="left" vertical="center"/>
    </xf>
    <xf numFmtId="182" fontId="4" fillId="2" borderId="3" xfId="0" applyNumberFormat="1" applyFont="1" applyFill="1" applyBorder="1" applyAlignment="1">
      <alignment horizontal="left" vertical="center"/>
    </xf>
    <xf numFmtId="180" fontId="4" fillId="2" borderId="4" xfId="0" applyNumberFormat="1" applyFont="1" applyFill="1" applyBorder="1" applyAlignment="1">
      <alignment horizontal="left" vertical="center"/>
    </xf>
    <xf numFmtId="180" fontId="4" fillId="5" borderId="5" xfId="2" applyNumberFormat="1" applyFont="1" applyFill="1" applyBorder="1" applyAlignment="1">
      <alignment horizontal="center" vertical="center"/>
    </xf>
    <xf numFmtId="166" fontId="4" fillId="8" borderId="4" xfId="0" applyNumberFormat="1" applyFont="1" applyFill="1" applyBorder="1" applyAlignment="1">
      <alignment horizontal="left" vertical="center"/>
    </xf>
    <xf numFmtId="44" fontId="4" fillId="8" borderId="4" xfId="1" applyFont="1" applyFill="1" applyBorder="1" applyAlignment="1">
      <alignment horizontal="left" vertical="center"/>
    </xf>
    <xf numFmtId="0" fontId="9" fillId="9" borderId="3" xfId="0" applyFont="1" applyFill="1" applyBorder="1" applyAlignment="1">
      <alignment horizontal="center" vertical="center" wrapText="1"/>
    </xf>
    <xf numFmtId="0" fontId="9" fillId="5" borderId="14" xfId="0" applyFont="1" applyFill="1" applyBorder="1" applyAlignment="1">
      <alignment horizontal="center" vertical="center"/>
    </xf>
    <xf numFmtId="44" fontId="6" fillId="3" borderId="5" xfId="1" applyFont="1" applyFill="1" applyBorder="1" applyAlignment="1">
      <alignment horizontal="left" vertical="center"/>
    </xf>
    <xf numFmtId="44" fontId="4" fillId="8" borderId="5" xfId="1" applyFont="1" applyFill="1" applyBorder="1" applyAlignment="1">
      <alignment horizontal="left" vertical="center"/>
    </xf>
    <xf numFmtId="168" fontId="4" fillId="5" borderId="5" xfId="0" applyNumberFormat="1" applyFont="1" applyFill="1" applyBorder="1" applyAlignment="1">
      <alignment horizontal="center" vertical="center"/>
    </xf>
    <xf numFmtId="171" fontId="4" fillId="5" borderId="5" xfId="0" applyNumberFormat="1" applyFont="1" applyFill="1" applyBorder="1" applyAlignment="1">
      <alignment horizontal="center" vertical="center"/>
    </xf>
    <xf numFmtId="44" fontId="6" fillId="0" borderId="5" xfId="1" applyFont="1" applyBorder="1" applyAlignment="1">
      <alignment horizontal="left" vertical="center"/>
    </xf>
    <xf numFmtId="180" fontId="4" fillId="5" borderId="5" xfId="0" applyNumberFormat="1" applyFont="1" applyFill="1" applyBorder="1" applyAlignment="1">
      <alignment horizontal="center" vertical="center"/>
    </xf>
    <xf numFmtId="183" fontId="0" fillId="0" borderId="0" xfId="0" applyNumberFormat="1"/>
    <xf numFmtId="183" fontId="4" fillId="5" borderId="4" xfId="2" applyNumberFormat="1" applyFont="1" applyFill="1" applyBorder="1" applyAlignment="1">
      <alignment horizontal="center" vertical="center"/>
    </xf>
    <xf numFmtId="183" fontId="6" fillId="3" borderId="4" xfId="0" applyNumberFormat="1" applyFont="1" applyFill="1" applyBorder="1" applyAlignment="1">
      <alignment horizontal="left" vertical="center"/>
    </xf>
    <xf numFmtId="183" fontId="4" fillId="5" borderId="4" xfId="0" applyNumberFormat="1" applyFont="1" applyFill="1" applyBorder="1" applyAlignment="1">
      <alignment horizontal="left" vertical="center"/>
    </xf>
    <xf numFmtId="0" fontId="9" fillId="0" borderId="10" xfId="0" applyFont="1" applyBorder="1" applyAlignment="1">
      <alignment horizontal="center" vertical="center" wrapText="1"/>
    </xf>
    <xf numFmtId="168" fontId="3" fillId="6" borderId="16" xfId="2" applyNumberFormat="1" applyFont="1" applyFill="1" applyBorder="1" applyAlignment="1">
      <alignment horizontal="left" vertical="center"/>
    </xf>
    <xf numFmtId="168" fontId="3" fillId="3" borderId="16" xfId="0" applyNumberFormat="1" applyFont="1" applyFill="1" applyBorder="1" applyAlignment="1">
      <alignment vertical="center"/>
    </xf>
    <xf numFmtId="168" fontId="3" fillId="0" borderId="16" xfId="0" applyNumberFormat="1" applyFont="1" applyBorder="1" applyAlignment="1">
      <alignment vertical="center"/>
    </xf>
    <xf numFmtId="168" fontId="9" fillId="10" borderId="9" xfId="0" applyNumberFormat="1" applyFont="1" applyFill="1" applyBorder="1" applyAlignment="1">
      <alignment horizontal="left" vertical="center"/>
    </xf>
    <xf numFmtId="166" fontId="4" fillId="10" borderId="9" xfId="0" applyNumberFormat="1" applyFont="1" applyFill="1" applyBorder="1" applyAlignment="1">
      <alignment horizontal="left" vertical="center"/>
    </xf>
    <xf numFmtId="173" fontId="4" fillId="10" borderId="9" xfId="2" applyNumberFormat="1" applyFont="1" applyFill="1" applyBorder="1" applyAlignment="1">
      <alignment horizontal="center" vertical="center"/>
    </xf>
    <xf numFmtId="44" fontId="4" fillId="10" borderId="9" xfId="1" applyFont="1" applyFill="1" applyBorder="1" applyAlignment="1">
      <alignment horizontal="left" vertical="center"/>
    </xf>
    <xf numFmtId="44" fontId="4" fillId="10" borderId="11" xfId="1" applyFont="1" applyFill="1" applyBorder="1" applyAlignment="1">
      <alignment horizontal="left" vertical="center"/>
    </xf>
    <xf numFmtId="168" fontId="4" fillId="10" borderId="10" xfId="0" applyNumberFormat="1" applyFont="1" applyFill="1" applyBorder="1" applyAlignment="1">
      <alignment horizontal="left" vertical="center"/>
    </xf>
    <xf numFmtId="168" fontId="4" fillId="10" borderId="9" xfId="0" applyNumberFormat="1" applyFont="1" applyFill="1" applyBorder="1" applyAlignment="1">
      <alignment horizontal="left" vertical="center"/>
    </xf>
    <xf numFmtId="173" fontId="4" fillId="10" borderId="11" xfId="2" applyNumberFormat="1" applyFont="1" applyFill="1" applyBorder="1" applyAlignment="1">
      <alignment horizontal="center" vertical="center"/>
    </xf>
    <xf numFmtId="180" fontId="5" fillId="0" borderId="0" xfId="0" applyNumberFormat="1" applyFont="1"/>
    <xf numFmtId="173" fontId="6" fillId="0" borderId="4" xfId="2" applyNumberFormat="1" applyFont="1" applyBorder="1" applyAlignment="1">
      <alignment horizontal="left" vertical="center"/>
    </xf>
    <xf numFmtId="44" fontId="6" fillId="0" borderId="4" xfId="1" applyFont="1" applyBorder="1"/>
    <xf numFmtId="0" fontId="14" fillId="0" borderId="0" xfId="0" applyFont="1"/>
    <xf numFmtId="0" fontId="15" fillId="0" borderId="0" xfId="0" applyFont="1"/>
    <xf numFmtId="44" fontId="4" fillId="8" borderId="4" xfId="1" applyFont="1" applyFill="1" applyBorder="1" applyAlignment="1">
      <alignment horizontal="center" vertical="center"/>
    </xf>
    <xf numFmtId="44" fontId="3" fillId="6" borderId="0" xfId="1" applyFont="1" applyFill="1" applyBorder="1" applyAlignment="1">
      <alignment horizontal="left" vertical="center"/>
    </xf>
    <xf numFmtId="44" fontId="4" fillId="8" borderId="3" xfId="1" applyFont="1" applyFill="1" applyBorder="1" applyAlignment="1">
      <alignment horizontal="left" vertical="center"/>
    </xf>
    <xf numFmtId="44" fontId="4" fillId="8" borderId="5" xfId="1" applyFont="1" applyFill="1" applyBorder="1" applyAlignment="1">
      <alignment horizontal="center" vertical="center"/>
    </xf>
    <xf numFmtId="9" fontId="6" fillId="0" borderId="0" xfId="2" applyFont="1"/>
    <xf numFmtId="2" fontId="10" fillId="0" borderId="4" xfId="0" applyNumberFormat="1" applyFont="1" applyBorder="1" applyAlignment="1">
      <alignment vertical="center"/>
    </xf>
    <xf numFmtId="166" fontId="10" fillId="11" borderId="4" xfId="0" applyNumberFormat="1" applyFont="1" applyFill="1" applyBorder="1" applyAlignment="1">
      <alignment horizontal="left" vertical="center" wrapText="1"/>
    </xf>
    <xf numFmtId="170" fontId="10" fillId="4" borderId="4" xfId="0" applyNumberFormat="1" applyFont="1" applyFill="1" applyBorder="1" applyAlignment="1">
      <alignment horizontal="right" vertical="center"/>
    </xf>
    <xf numFmtId="177" fontId="10" fillId="4" borderId="4" xfId="0" applyNumberFormat="1" applyFont="1" applyFill="1" applyBorder="1" applyAlignment="1">
      <alignment vertical="center"/>
    </xf>
    <xf numFmtId="172" fontId="10" fillId="4" borderId="4" xfId="0" applyNumberFormat="1" applyFont="1" applyFill="1" applyBorder="1" applyAlignment="1">
      <alignment horizontal="right" vertical="center"/>
    </xf>
    <xf numFmtId="168" fontId="10" fillId="4" borderId="4" xfId="0" applyNumberFormat="1" applyFont="1" applyFill="1" applyBorder="1" applyAlignment="1">
      <alignment horizontal="right" vertical="center"/>
    </xf>
    <xf numFmtId="171" fontId="10" fillId="4" borderId="4" xfId="0" applyNumberFormat="1" applyFont="1" applyFill="1" applyBorder="1" applyAlignment="1">
      <alignment horizontal="right" vertical="center"/>
    </xf>
    <xf numFmtId="166" fontId="10" fillId="4" borderId="4" xfId="0" applyNumberFormat="1" applyFont="1" applyFill="1" applyBorder="1" applyAlignment="1">
      <alignment horizontal="right" vertical="center"/>
    </xf>
    <xf numFmtId="166" fontId="6" fillId="0" borderId="17" xfId="0" applyNumberFormat="1" applyFont="1" applyBorder="1" applyAlignment="1">
      <alignment horizontal="left" vertical="center"/>
    </xf>
    <xf numFmtId="44" fontId="6" fillId="0" borderId="4" xfId="1" applyFont="1" applyBorder="1" applyAlignment="1">
      <alignment vertical="center"/>
    </xf>
    <xf numFmtId="44" fontId="5" fillId="0" borderId="0" xfId="0" applyNumberFormat="1" applyFont="1" applyAlignment="1">
      <alignment vertical="center"/>
    </xf>
    <xf numFmtId="9" fontId="6" fillId="0" borderId="0" xfId="2" applyFont="1" applyAlignment="1">
      <alignment horizontal="center" vertical="center"/>
    </xf>
    <xf numFmtId="166" fontId="6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6" fillId="0" borderId="3" xfId="0" applyFont="1" applyBorder="1" applyAlignment="1">
      <alignment vertical="center"/>
    </xf>
    <xf numFmtId="0" fontId="11" fillId="0" borderId="3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9" fontId="6" fillId="0" borderId="8" xfId="2" applyFont="1" applyBorder="1" applyAlignment="1">
      <alignment horizontal="center" vertical="center"/>
    </xf>
    <xf numFmtId="174" fontId="10" fillId="4" borderId="4" xfId="0" applyNumberFormat="1" applyFont="1" applyFill="1" applyBorder="1" applyAlignment="1">
      <alignment horizontal="right" vertical="center"/>
    </xf>
    <xf numFmtId="176" fontId="10" fillId="4" borderId="4" xfId="0" applyNumberFormat="1" applyFont="1" applyFill="1" applyBorder="1" applyAlignment="1">
      <alignment horizontal="right" vertical="center"/>
    </xf>
    <xf numFmtId="44" fontId="17" fillId="12" borderId="4" xfId="1" applyFont="1" applyFill="1" applyBorder="1" applyAlignment="1">
      <alignment vertical="center"/>
    </xf>
    <xf numFmtId="44" fontId="17" fillId="12" borderId="7" xfId="1" applyFont="1" applyFill="1" applyBorder="1" applyAlignment="1">
      <alignment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184" fontId="10" fillId="0" borderId="4" xfId="0" applyNumberFormat="1" applyFont="1" applyBorder="1" applyAlignment="1">
      <alignment horizontal="right" vertical="center"/>
    </xf>
    <xf numFmtId="178" fontId="10" fillId="4" borderId="4" xfId="0" applyNumberFormat="1" applyFont="1" applyFill="1" applyBorder="1" applyAlignment="1">
      <alignment horizontal="right" vertical="center"/>
    </xf>
    <xf numFmtId="0" fontId="10" fillId="0" borderId="9" xfId="0" applyFont="1" applyBorder="1" applyAlignment="1">
      <alignment vertical="center"/>
    </xf>
    <xf numFmtId="0" fontId="10" fillId="3" borderId="9" xfId="0" applyFont="1" applyFill="1" applyBorder="1" applyAlignment="1">
      <alignment vertical="center" wrapText="1"/>
    </xf>
    <xf numFmtId="0" fontId="10" fillId="3" borderId="9" xfId="0" applyFont="1" applyFill="1" applyBorder="1" applyAlignment="1">
      <alignment horizontal="left" vertical="center" wrapText="1"/>
    </xf>
    <xf numFmtId="166" fontId="10" fillId="11" borderId="9" xfId="0" applyNumberFormat="1" applyFont="1" applyFill="1" applyBorder="1" applyAlignment="1">
      <alignment horizontal="left" vertical="center" wrapText="1"/>
    </xf>
    <xf numFmtId="168" fontId="10" fillId="4" borderId="9" xfId="0" applyNumberFormat="1" applyFont="1" applyFill="1" applyBorder="1" applyAlignment="1">
      <alignment horizontal="right" vertical="center"/>
    </xf>
    <xf numFmtId="168" fontId="10" fillId="0" borderId="9" xfId="0" applyNumberFormat="1" applyFont="1" applyBorder="1" applyAlignment="1">
      <alignment horizontal="right" vertical="center"/>
    </xf>
    <xf numFmtId="0" fontId="4" fillId="10" borderId="18" xfId="0" applyFont="1" applyFill="1" applyBorder="1" applyAlignment="1">
      <alignment horizontal="center" vertical="center" wrapText="1"/>
    </xf>
    <xf numFmtId="170" fontId="4" fillId="10" borderId="18" xfId="0" applyNumberFormat="1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169" fontId="4" fillId="2" borderId="19" xfId="0" applyNumberFormat="1" applyFont="1" applyFill="1" applyBorder="1" applyAlignment="1">
      <alignment horizontal="left" vertical="center"/>
    </xf>
    <xf numFmtId="173" fontId="4" fillId="5" borderId="20" xfId="2" applyNumberFormat="1" applyFont="1" applyFill="1" applyBorder="1" applyAlignment="1">
      <alignment horizontal="center" vertical="center"/>
    </xf>
    <xf numFmtId="44" fontId="4" fillId="8" borderId="9" xfId="1" applyFont="1" applyFill="1" applyBorder="1" applyAlignment="1">
      <alignment horizontal="left" vertical="center"/>
    </xf>
    <xf numFmtId="44" fontId="4" fillId="8" borderId="9" xfId="1" applyFont="1" applyFill="1" applyBorder="1" applyAlignment="1">
      <alignment horizontal="center" vertical="center"/>
    </xf>
    <xf numFmtId="169" fontId="4" fillId="2" borderId="22" xfId="0" applyNumberFormat="1" applyFont="1" applyFill="1" applyBorder="1" applyAlignment="1">
      <alignment horizontal="left" vertical="center"/>
    </xf>
    <xf numFmtId="173" fontId="4" fillId="5" borderId="23" xfId="2" applyNumberFormat="1" applyFont="1" applyFill="1" applyBorder="1" applyAlignment="1">
      <alignment horizontal="center" vertical="center"/>
    </xf>
    <xf numFmtId="169" fontId="4" fillId="2" borderId="24" xfId="0" applyNumberFormat="1" applyFont="1" applyFill="1" applyBorder="1" applyAlignment="1">
      <alignment horizontal="left" vertical="center"/>
    </xf>
    <xf numFmtId="185" fontId="10" fillId="0" borderId="3" xfId="1" applyNumberFormat="1" applyFont="1" applyFill="1" applyBorder="1" applyAlignment="1">
      <alignment horizontal="left" vertical="center"/>
    </xf>
    <xf numFmtId="185" fontId="10" fillId="0" borderId="4" xfId="1" applyNumberFormat="1" applyFont="1" applyFill="1" applyBorder="1" applyAlignment="1">
      <alignment horizontal="left" vertical="center"/>
    </xf>
    <xf numFmtId="169" fontId="6" fillId="0" borderId="3" xfId="0" applyNumberFormat="1" applyFont="1" applyBorder="1" applyAlignment="1">
      <alignment horizontal="left" vertical="center"/>
    </xf>
    <xf numFmtId="169" fontId="6" fillId="0" borderId="4" xfId="0" applyNumberFormat="1" applyFont="1" applyBorder="1" applyAlignment="1">
      <alignment horizontal="left" vertical="center"/>
    </xf>
    <xf numFmtId="169" fontId="10" fillId="0" borderId="3" xfId="0" applyNumberFormat="1" applyFont="1" applyBorder="1" applyAlignment="1">
      <alignment horizontal="left" vertical="center"/>
    </xf>
    <xf numFmtId="169" fontId="10" fillId="0" borderId="4" xfId="0" applyNumberFormat="1" applyFont="1" applyBorder="1" applyAlignment="1">
      <alignment horizontal="left" vertical="center"/>
    </xf>
    <xf numFmtId="169" fontId="6" fillId="0" borderId="21" xfId="0" applyNumberFormat="1" applyFont="1" applyBorder="1" applyAlignment="1">
      <alignment horizontal="left" vertical="center"/>
    </xf>
    <xf numFmtId="173" fontId="6" fillId="0" borderId="21" xfId="2" applyNumberFormat="1" applyFont="1" applyFill="1" applyBorder="1" applyAlignment="1">
      <alignment horizontal="center" vertical="center"/>
    </xf>
    <xf numFmtId="169" fontId="10" fillId="0" borderId="4" xfId="1" applyNumberFormat="1" applyFont="1" applyBorder="1" applyAlignment="1">
      <alignment horizontal="left" vertical="center"/>
    </xf>
    <xf numFmtId="169" fontId="6" fillId="0" borderId="3" xfId="1" applyNumberFormat="1" applyFont="1" applyBorder="1" applyAlignment="1">
      <alignment horizontal="left" vertical="center"/>
    </xf>
    <xf numFmtId="169" fontId="6" fillId="0" borderId="4" xfId="1" applyNumberFormat="1" applyFont="1" applyBorder="1" applyAlignment="1">
      <alignment horizontal="left" vertical="center"/>
    </xf>
    <xf numFmtId="169" fontId="10" fillId="0" borderId="3" xfId="1" applyNumberFormat="1" applyFont="1" applyBorder="1" applyAlignment="1">
      <alignment horizontal="left" vertical="center"/>
    </xf>
    <xf numFmtId="169" fontId="4" fillId="5" borderId="3" xfId="0" applyNumberFormat="1" applyFont="1" applyFill="1" applyBorder="1" applyAlignment="1">
      <alignment horizontal="left" vertical="center"/>
    </xf>
    <xf numFmtId="169" fontId="4" fillId="5" borderId="4" xfId="0" applyNumberFormat="1" applyFont="1" applyFill="1" applyBorder="1" applyAlignment="1">
      <alignment horizontal="left" vertical="center"/>
    </xf>
    <xf numFmtId="186" fontId="6" fillId="0" borderId="3" xfId="0" applyNumberFormat="1" applyFont="1" applyBorder="1" applyAlignment="1">
      <alignment horizontal="left" vertical="center"/>
    </xf>
    <xf numFmtId="186" fontId="6" fillId="0" borderId="4" xfId="0" applyNumberFormat="1" applyFont="1" applyBorder="1" applyAlignment="1">
      <alignment horizontal="left" vertical="center"/>
    </xf>
    <xf numFmtId="186" fontId="10" fillId="0" borderId="3" xfId="0" applyNumberFormat="1" applyFont="1" applyBorder="1" applyAlignment="1">
      <alignment horizontal="left" vertical="center"/>
    </xf>
    <xf numFmtId="186" fontId="10" fillId="0" borderId="4" xfId="0" applyNumberFormat="1" applyFont="1" applyBorder="1" applyAlignment="1">
      <alignment horizontal="left" vertical="center"/>
    </xf>
    <xf numFmtId="186" fontId="4" fillId="2" borderId="4" xfId="0" applyNumberFormat="1" applyFont="1" applyFill="1" applyBorder="1" applyAlignment="1">
      <alignment horizontal="left" vertical="center"/>
    </xf>
    <xf numFmtId="186" fontId="4" fillId="2" borderId="3" xfId="0" applyNumberFormat="1" applyFont="1" applyFill="1" applyBorder="1" applyAlignment="1">
      <alignment horizontal="left" vertical="center"/>
    </xf>
    <xf numFmtId="170" fontId="10" fillId="7" borderId="3" xfId="0" applyNumberFormat="1" applyFont="1" applyFill="1" applyBorder="1" applyAlignment="1">
      <alignment horizontal="left" vertical="center"/>
    </xf>
    <xf numFmtId="170" fontId="10" fillId="7" borderId="4" xfId="0" applyNumberFormat="1" applyFont="1" applyFill="1" applyBorder="1" applyAlignment="1">
      <alignment horizontal="left" vertical="center"/>
    </xf>
    <xf numFmtId="178" fontId="6" fillId="7" borderId="3" xfId="0" applyNumberFormat="1" applyFont="1" applyFill="1" applyBorder="1" applyAlignment="1">
      <alignment horizontal="left" vertical="center"/>
    </xf>
    <xf numFmtId="178" fontId="6" fillId="7" borderId="4" xfId="0" applyNumberFormat="1" applyFont="1" applyFill="1" applyBorder="1" applyAlignment="1">
      <alignment horizontal="left" vertical="center"/>
    </xf>
    <xf numFmtId="178" fontId="5" fillId="7" borderId="4" xfId="0" applyNumberFormat="1" applyFont="1" applyFill="1" applyBorder="1" applyAlignment="1">
      <alignment horizontal="left" vertical="center"/>
    </xf>
    <xf numFmtId="187" fontId="6" fillId="0" borderId="3" xfId="0" applyNumberFormat="1" applyFont="1" applyBorder="1" applyAlignment="1">
      <alignment horizontal="left" vertical="center"/>
    </xf>
    <xf numFmtId="187" fontId="6" fillId="0" borderId="4" xfId="0" applyNumberFormat="1" applyFont="1" applyBorder="1" applyAlignment="1">
      <alignment horizontal="left" vertical="center"/>
    </xf>
    <xf numFmtId="187" fontId="4" fillId="2" borderId="3" xfId="0" applyNumberFormat="1" applyFont="1" applyFill="1" applyBorder="1" applyAlignment="1">
      <alignment horizontal="left" vertical="center"/>
    </xf>
    <xf numFmtId="187" fontId="4" fillId="2" borderId="4" xfId="0" applyNumberFormat="1" applyFont="1" applyFill="1" applyBorder="1" applyAlignment="1">
      <alignment horizontal="left" vertical="center"/>
    </xf>
    <xf numFmtId="187" fontId="6" fillId="0" borderId="0" xfId="0" applyNumberFormat="1" applyFont="1" applyAlignment="1">
      <alignment horizontal="left" vertical="center"/>
    </xf>
    <xf numFmtId="174" fontId="5" fillId="0" borderId="4" xfId="0" applyNumberFormat="1" applyFont="1" applyBorder="1" applyAlignment="1">
      <alignment horizontal="left" vertical="center"/>
    </xf>
    <xf numFmtId="175" fontId="6" fillId="0" borderId="3" xfId="0" applyNumberFormat="1" applyFont="1" applyBorder="1" applyAlignment="1">
      <alignment horizontal="left" vertical="center"/>
    </xf>
    <xf numFmtId="175" fontId="6" fillId="0" borderId="4" xfId="0" applyNumberFormat="1" applyFont="1" applyBorder="1" applyAlignment="1">
      <alignment horizontal="left" vertical="center"/>
    </xf>
    <xf numFmtId="188" fontId="6" fillId="0" borderId="4" xfId="0" applyNumberFormat="1" applyFont="1" applyBorder="1" applyAlignment="1">
      <alignment horizontal="left" vertical="center"/>
    </xf>
    <xf numFmtId="188" fontId="4" fillId="5" borderId="4" xfId="0" applyNumberFormat="1" applyFont="1" applyFill="1" applyBorder="1" applyAlignment="1">
      <alignment horizontal="left" vertical="center"/>
    </xf>
    <xf numFmtId="188" fontId="6" fillId="3" borderId="4" xfId="0" applyNumberFormat="1" applyFont="1" applyFill="1" applyBorder="1" applyAlignment="1">
      <alignment horizontal="left" vertical="center"/>
    </xf>
    <xf numFmtId="188" fontId="6" fillId="0" borderId="3" xfId="0" applyNumberFormat="1" applyFont="1" applyBorder="1" applyAlignment="1">
      <alignment horizontal="left" vertical="center"/>
    </xf>
    <xf numFmtId="188" fontId="4" fillId="5" borderId="3" xfId="0" applyNumberFormat="1" applyFont="1" applyFill="1" applyBorder="1" applyAlignment="1">
      <alignment horizontal="left" vertical="center"/>
    </xf>
    <xf numFmtId="172" fontId="5" fillId="0" borderId="4" xfId="0" applyNumberFormat="1" applyFont="1" applyBorder="1" applyAlignment="1">
      <alignment horizontal="left" vertical="center"/>
    </xf>
    <xf numFmtId="0" fontId="18" fillId="0" borderId="0" xfId="0" applyFont="1"/>
    <xf numFmtId="176" fontId="10" fillId="0" borderId="3" xfId="0" applyNumberFormat="1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187" fontId="6" fillId="0" borderId="4" xfId="1" applyNumberFormat="1" applyFont="1" applyBorder="1" applyAlignment="1">
      <alignment horizontal="left" vertical="center"/>
    </xf>
    <xf numFmtId="187" fontId="4" fillId="5" borderId="4" xfId="1" applyNumberFormat="1" applyFont="1" applyFill="1" applyBorder="1" applyAlignment="1">
      <alignment horizontal="left" vertical="center"/>
    </xf>
    <xf numFmtId="187" fontId="6" fillId="3" borderId="4" xfId="1" applyNumberFormat="1" applyFont="1" applyFill="1" applyBorder="1" applyAlignment="1">
      <alignment horizontal="left" vertical="center"/>
    </xf>
    <xf numFmtId="168" fontId="0" fillId="0" borderId="0" xfId="0" applyNumberFormat="1"/>
    <xf numFmtId="9" fontId="0" fillId="0" borderId="0" xfId="2" applyFont="1"/>
    <xf numFmtId="173" fontId="18" fillId="0" borderId="0" xfId="0" applyNumberFormat="1" applyFont="1" applyAlignment="1">
      <alignment horizontal="center" vertical="center"/>
    </xf>
    <xf numFmtId="44" fontId="18" fillId="0" borderId="0" xfId="0" applyNumberFormat="1" applyFont="1"/>
    <xf numFmtId="173" fontId="18" fillId="0" borderId="0" xfId="0" applyNumberFormat="1" applyFont="1"/>
    <xf numFmtId="165" fontId="19" fillId="14" borderId="25" xfId="0" applyNumberFormat="1" applyFont="1" applyFill="1" applyBorder="1" applyAlignment="1">
      <alignment horizontal="left" vertical="center"/>
    </xf>
    <xf numFmtId="173" fontId="19" fillId="15" borderId="25" xfId="0" applyNumberFormat="1" applyFont="1" applyFill="1" applyBorder="1" applyAlignment="1">
      <alignment horizontal="center" vertical="center"/>
    </xf>
    <xf numFmtId="173" fontId="19" fillId="15" borderId="26" xfId="0" applyNumberFormat="1" applyFont="1" applyFill="1" applyBorder="1" applyAlignment="1">
      <alignment horizontal="center" vertical="center"/>
    </xf>
    <xf numFmtId="188" fontId="10" fillId="0" borderId="4" xfId="0" applyNumberFormat="1" applyFont="1" applyBorder="1" applyAlignment="1">
      <alignment horizontal="right" vertical="center"/>
    </xf>
    <xf numFmtId="189" fontId="6" fillId="0" borderId="4" xfId="0" applyNumberFormat="1" applyFont="1" applyBorder="1" applyAlignment="1">
      <alignment horizontal="left" vertical="center"/>
    </xf>
    <xf numFmtId="189" fontId="4" fillId="5" borderId="4" xfId="0" applyNumberFormat="1" applyFont="1" applyFill="1" applyBorder="1" applyAlignment="1">
      <alignment horizontal="left" vertical="center"/>
    </xf>
    <xf numFmtId="44" fontId="0" fillId="0" borderId="0" xfId="1" applyFont="1"/>
    <xf numFmtId="190" fontId="4" fillId="8" borderId="4" xfId="1" applyNumberFormat="1" applyFont="1" applyFill="1" applyBorder="1" applyAlignment="1">
      <alignment horizontal="left" vertical="center"/>
    </xf>
    <xf numFmtId="166" fontId="0" fillId="0" borderId="0" xfId="0" applyNumberFormat="1"/>
    <xf numFmtId="9" fontId="3" fillId="3" borderId="0" xfId="2" applyFont="1" applyFill="1" applyAlignment="1">
      <alignment vertical="center"/>
    </xf>
    <xf numFmtId="168" fontId="5" fillId="3" borderId="0" xfId="0" applyNumberFormat="1" applyFont="1" applyFill="1" applyAlignment="1">
      <alignment vertical="center"/>
    </xf>
    <xf numFmtId="9" fontId="5" fillId="3" borderId="0" xfId="2" applyFont="1" applyFill="1" applyAlignment="1">
      <alignment vertical="center"/>
    </xf>
    <xf numFmtId="9" fontId="5" fillId="3" borderId="0" xfId="2" applyFont="1" applyFill="1" applyAlignment="1">
      <alignment horizontal="left" vertical="center"/>
    </xf>
    <xf numFmtId="9" fontId="3" fillId="3" borderId="16" xfId="2" applyFont="1" applyFill="1" applyBorder="1" applyAlignment="1">
      <alignment vertical="center"/>
    </xf>
    <xf numFmtId="44" fontId="6" fillId="0" borderId="0" xfId="2" applyNumberFormat="1" applyFont="1"/>
    <xf numFmtId="166" fontId="5" fillId="0" borderId="0" xfId="0" applyNumberFormat="1" applyFont="1" applyAlignment="1">
      <alignment horizontal="left" vertical="center"/>
    </xf>
    <xf numFmtId="166" fontId="0" fillId="0" borderId="0" xfId="2" applyNumberFormat="1" applyFont="1"/>
    <xf numFmtId="44" fontId="6" fillId="0" borderId="5" xfId="1" applyFont="1" applyFill="1" applyBorder="1" applyAlignment="1">
      <alignment horizontal="left" vertical="center"/>
    </xf>
    <xf numFmtId="174" fontId="6" fillId="0" borderId="3" xfId="0" applyNumberFormat="1" applyFont="1" applyBorder="1" applyAlignment="1">
      <alignment horizontal="left" vertical="center"/>
    </xf>
    <xf numFmtId="174" fontId="6" fillId="0" borderId="4" xfId="0" applyNumberFormat="1" applyFont="1" applyBorder="1" applyAlignment="1">
      <alignment horizontal="left" vertical="center"/>
    </xf>
    <xf numFmtId="170" fontId="10" fillId="0" borderId="3" xfId="0" applyNumberFormat="1" applyFont="1" applyBorder="1" applyAlignment="1">
      <alignment horizontal="left" vertical="center"/>
    </xf>
    <xf numFmtId="170" fontId="10" fillId="0" borderId="4" xfId="0" applyNumberFormat="1" applyFont="1" applyBorder="1" applyAlignment="1">
      <alignment horizontal="left" vertical="center"/>
    </xf>
    <xf numFmtId="166" fontId="6" fillId="0" borderId="4" xfId="0" applyNumberFormat="1" applyFont="1" applyBorder="1" applyAlignment="1">
      <alignment horizontal="left" vertical="center"/>
    </xf>
    <xf numFmtId="166" fontId="5" fillId="0" borderId="4" xfId="0" applyNumberFormat="1" applyFont="1" applyBorder="1" applyAlignment="1">
      <alignment horizontal="left" vertical="center"/>
    </xf>
    <xf numFmtId="0" fontId="0" fillId="0" borderId="0" xfId="0" pivotButton="1"/>
    <xf numFmtId="0" fontId="0" fillId="0" borderId="0" xfId="0" applyAlignment="1">
      <alignment horizontal="left"/>
    </xf>
    <xf numFmtId="0" fontId="10" fillId="0" borderId="4" xfId="0" applyFont="1" applyBorder="1" applyAlignment="1">
      <alignment vertical="center" wrapText="1"/>
    </xf>
    <xf numFmtId="187" fontId="10" fillId="0" borderId="3" xfId="0" applyNumberFormat="1" applyFont="1" applyBorder="1" applyAlignment="1">
      <alignment horizontal="left" vertical="center"/>
    </xf>
    <xf numFmtId="187" fontId="10" fillId="0" borderId="4" xfId="0" applyNumberFormat="1" applyFont="1" applyBorder="1" applyAlignment="1">
      <alignment horizontal="left" vertical="center"/>
    </xf>
    <xf numFmtId="177" fontId="10" fillId="0" borderId="4" xfId="0" applyNumberFormat="1" applyFont="1" applyBorder="1" applyAlignment="1">
      <alignment horizontal="left" vertical="center"/>
    </xf>
    <xf numFmtId="189" fontId="6" fillId="7" borderId="3" xfId="0" applyNumberFormat="1" applyFont="1" applyFill="1" applyBorder="1" applyAlignment="1">
      <alignment horizontal="left" vertical="center"/>
    </xf>
    <xf numFmtId="189" fontId="6" fillId="7" borderId="4" xfId="0" applyNumberFormat="1" applyFont="1" applyFill="1" applyBorder="1" applyAlignment="1">
      <alignment horizontal="left" vertical="center"/>
    </xf>
    <xf numFmtId="189" fontId="6" fillId="0" borderId="3" xfId="0" applyNumberFormat="1" applyFont="1" applyBorder="1" applyAlignment="1">
      <alignment horizontal="left" vertical="center"/>
    </xf>
    <xf numFmtId="189" fontId="10" fillId="7" borderId="3" xfId="0" applyNumberFormat="1" applyFont="1" applyFill="1" applyBorder="1" applyAlignment="1">
      <alignment horizontal="left" vertical="center"/>
    </xf>
    <xf numFmtId="189" fontId="10" fillId="7" borderId="4" xfId="0" applyNumberFormat="1" applyFont="1" applyFill="1" applyBorder="1" applyAlignment="1">
      <alignment horizontal="left" vertical="center"/>
    </xf>
    <xf numFmtId="189" fontId="4" fillId="2" borderId="4" xfId="0" applyNumberFormat="1" applyFont="1" applyFill="1" applyBorder="1" applyAlignment="1">
      <alignment horizontal="left" vertical="center"/>
    </xf>
    <xf numFmtId="189" fontId="10" fillId="0" borderId="4" xfId="0" applyNumberFormat="1" applyFont="1" applyBorder="1" applyAlignment="1">
      <alignment horizontal="left" vertical="center"/>
    </xf>
    <xf numFmtId="44" fontId="0" fillId="0" borderId="0" xfId="0" applyNumberFormat="1"/>
    <xf numFmtId="183" fontId="6" fillId="3" borderId="5" xfId="1" applyNumberFormat="1" applyFont="1" applyFill="1" applyBorder="1" applyAlignment="1">
      <alignment horizontal="left" vertical="center"/>
    </xf>
    <xf numFmtId="43" fontId="0" fillId="0" borderId="0" xfId="3" applyFont="1"/>
    <xf numFmtId="0" fontId="0" fillId="16" borderId="0" xfId="0" applyFill="1"/>
    <xf numFmtId="17" fontId="7" fillId="13" borderId="12" xfId="0" applyNumberFormat="1" applyFont="1" applyFill="1" applyBorder="1" applyAlignment="1">
      <alignment horizontal="center" vertical="center"/>
    </xf>
    <xf numFmtId="17" fontId="7" fillId="13" borderId="13" xfId="0" applyNumberFormat="1" applyFont="1" applyFill="1" applyBorder="1" applyAlignment="1">
      <alignment horizontal="center" vertical="center"/>
    </xf>
    <xf numFmtId="17" fontId="7" fillId="13" borderId="14" xfId="0" applyNumberFormat="1" applyFont="1" applyFill="1" applyBorder="1" applyAlignment="1">
      <alignment horizontal="center" vertical="center"/>
    </xf>
    <xf numFmtId="17" fontId="7" fillId="2" borderId="12" xfId="0" applyNumberFormat="1" applyFont="1" applyFill="1" applyBorder="1" applyAlignment="1">
      <alignment horizontal="center" vertical="center"/>
    </xf>
    <xf numFmtId="17" fontId="7" fillId="2" borderId="13" xfId="0" applyNumberFormat="1" applyFont="1" applyFill="1" applyBorder="1" applyAlignment="1">
      <alignment horizontal="center" vertical="center"/>
    </xf>
    <xf numFmtId="17" fontId="7" fillId="2" borderId="14" xfId="0" applyNumberFormat="1" applyFont="1" applyFill="1" applyBorder="1" applyAlignment="1">
      <alignment horizontal="center" vertical="center"/>
    </xf>
    <xf numFmtId="17" fontId="7" fillId="5" borderId="12" xfId="0" applyNumberFormat="1" applyFont="1" applyFill="1" applyBorder="1" applyAlignment="1">
      <alignment horizontal="center" vertical="center"/>
    </xf>
    <xf numFmtId="17" fontId="7" fillId="5" borderId="13" xfId="0" applyNumberFormat="1" applyFont="1" applyFill="1" applyBorder="1" applyAlignment="1">
      <alignment horizontal="center" vertical="center"/>
    </xf>
    <xf numFmtId="17" fontId="7" fillId="5" borderId="14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21" fillId="17" borderId="0" xfId="0" applyFont="1" applyFill="1" applyAlignment="1">
      <alignment horizontal="left" vertical="center" wrapText="1" indent="2"/>
    </xf>
    <xf numFmtId="0" fontId="20" fillId="0" borderId="0" xfId="0" applyFont="1" applyAlignment="1">
      <alignment horizontal="left" vertical="center"/>
    </xf>
    <xf numFmtId="43" fontId="0" fillId="0" borderId="0" xfId="0" applyNumberFormat="1"/>
    <xf numFmtId="168" fontId="5" fillId="0" borderId="0" xfId="0" applyNumberFormat="1" applyFont="1" applyAlignment="1">
      <alignment vertic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7">
    <dxf>
      <numFmt numFmtId="35" formatCode="_-* #,##0.00_-;\-* #,##0.00_-;_-* &quot;-&quot;??_-;_-@_-"/>
    </dxf>
    <dxf>
      <font>
        <color theme="0"/>
      </font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</dxf>
    <dxf>
      <numFmt numFmtId="35" formatCode="_-* #,##0.00_-;\-* #,##0.0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dine Lerm" refreshedDate="45966.570174305554" createdVersion="8" refreshedVersion="8" minRefreshableVersion="3" recordCount="318" xr:uid="{FF73BE9B-9083-4DC9-BDB8-5AD497FCB7BF}">
  <cacheSource type="worksheet">
    <worksheetSource ref="B7:S315" sheet="Master Activity Plan (Local)"/>
  </cacheSource>
  <cacheFields count="18">
    <cacheField name="Market" numFmtId="0">
      <sharedItems count="10">
        <s v="Botswana"/>
        <s v="Ghana"/>
        <s v="Hub"/>
        <s v="Kenya"/>
        <s v="Mauritius"/>
        <s v="Tanzania"/>
        <s v="Zambia"/>
        <s v="Uganda"/>
        <s v="Seychelles"/>
        <s v="Mozambique"/>
      </sharedItems>
    </cacheField>
    <cacheField name="Business Unit" numFmtId="0">
      <sharedItems count="5">
        <s v="CIB"/>
        <s v="RBB"/>
        <s v="Brand"/>
        <s v="RBB/ CIB"/>
        <s v="BB"/>
      </sharedItems>
    </cacheField>
    <cacheField name="Campaign" numFmtId="0">
      <sharedItems count="104">
        <s v="CIB THEMATIC"/>
        <s v="CIB ACCESS"/>
        <s v="CARD ACQUISITION"/>
        <s v="SELECTIVE RECEIVABLE FINANCE"/>
        <s v="BRAND"/>
        <s v="WIN A TRUCK"/>
        <s v="WIN A MORAKA"/>
        <s v="BUSINESS BANKING CREDIT CARD"/>
        <s v="GREEN ENERGY LOANS"/>
        <s v="PURPOSE ACCOUNT"/>
        <s v="SME LOANS @10 BOOSTER CAMPAIGN"/>
        <s v="PRINT ONLY CAMPAIGNS"/>
        <s v="OOH ONLY CAMPAIGNS - ADHOC"/>
        <s v="DIGITAL CAMPAIGNS ONLY"/>
        <s v="Airport OOH"/>
        <s v="Ready To Work Webinar"/>
        <s v="Acquisition Campaign"/>
        <s v="KASOA RE-OPENING"/>
        <s v="MOBITAP"/>
        <s v="INSPIRE ME"/>
        <s v="BLACKSTAR MARATHON"/>
        <s v="Agency Banking"/>
        <s v="SHE BUSINESS"/>
        <s v="GLOBAL FINANCE"/>
        <s v="Mastercard Partnership"/>
        <s v="Absa CIB Transactional GTR Africa ARO"/>
        <s v="Absa CIB_Property Finance_EAPI Conference_ARO OOH"/>
        <s v="Absa_ ARO_ DSTV_Showmax TV Schedule March 2025 "/>
        <s v="PRESTIGE"/>
        <s v="INTERNATIONAL WOMEN'S DAY"/>
        <s v="TIMIZA"/>
        <s v="BACK TO SCHOOL"/>
        <s v="CIB"/>
        <s v="FOUNDATION"/>
        <s v="NOTICES"/>
        <s v="VALENTINE"/>
        <s v="READY TO WORK"/>
        <s v="MKO"/>
        <s v="FINANCIALS"/>
        <s v="PERSONAL BANKING"/>
        <s v="BUSINESS BANKING"/>
        <s v="LA RIBA"/>
        <s v="AFFLUENT"/>
        <s v="ALWAYS ON SEARCH"/>
        <s v="MULTICURRENCY"/>
        <s v="Radio plus Sponsorship"/>
        <s v="CIB Campaign  "/>
        <s v="RB - EOY + Card Press communique"/>
        <s v="Pensioners Savings "/>
        <s v=" Premier League Card 2025       "/>
        <s v="le Passeport FB"/>
        <s v="Bocuse d'or    "/>
        <s v="Saturday Branch opening"/>
        <s v="Absa Social media Post"/>
        <s v="Absa - Change of PLR - Press Notice     "/>
        <s v="Absa -  Financial Results Advertorial"/>
        <s v="Absa Metro Train Wrapping"/>
        <s v="ABSA Mortgage Campaign "/>
        <s v="ABSA Tribeca Digital screen"/>
        <s v="ABSA Proparco event"/>
        <s v="Absa Wealth"/>
        <s v="Winners Annoucement "/>
        <s v="ABSA Access"/>
        <s v="ABSA Women Forward "/>
        <s v="ABSA Video wall @ Aiport - Global Market/ CIB/Wealth"/>
        <s v="ABSA National Sensitization campaign "/>
        <s v="GROUP SAVINGS ACCOUNT"/>
        <s v="INFINITE VISA CARD"/>
        <s v="BRAND CHAPTERS"/>
        <s v="PLAY YOUR CARDS RIGHT"/>
        <s v="Premier Banking"/>
        <s v="Retail Unsecured Loans "/>
        <s v="Your Story Matters "/>
        <s v="Women in Business"/>
        <s v="Absa Marathon "/>
        <s v="Momo on POS"/>
        <s v="Other - Financial Statements and MRP"/>
        <s v="ABSA Cup "/>
        <s v="Infinity Card"/>
        <s v="Inspire Me Conference - Women in Business"/>
        <s v="Swipe and Win "/>
        <s v="Ulitamte Plus Account "/>
        <s v="Salary Advance"/>
        <s v="Mobi Tap"/>
        <s v="Jooga 2025 Campaign"/>
        <s v="7 Hills 2025 Campaign"/>
        <s v="TRADE FINANCE"/>
        <s v="POST BUDGET DIALOGUE"/>
        <s v="DIGILOAN"/>
        <s v="SEO SEARCH ENGINE - MULTI CAMPAIGN"/>
        <s v="Business Club"/>
        <s v="Cash Management"/>
        <s v="Brand Positioning"/>
        <s v="VAF CAR LOAN"/>
        <s v="MOBI TOP "/>
        <s v="PREMIER BANKING CVP"/>
        <s v="FESTIVE CARD"/>
        <s v="SIGNATURE CARD"/>
        <s v="FIXED DEPOSIT"/>
        <s v="BUSINESS CREDIT CARD"/>
        <s v="Repositioning Campaign"/>
        <s v="Canais Digitais"/>
        <s v="Credit Consumer"/>
        <s v="Promoted Content"/>
      </sharedItems>
    </cacheField>
    <cacheField name="Medium" numFmtId="0">
      <sharedItems count="10">
        <s v="Television"/>
        <s v="Digital"/>
        <s v="DOOH"/>
        <s v="Radio"/>
        <s v="OOH"/>
        <s v="Print"/>
        <s v="Online Publications"/>
        <s v="Other"/>
        <s v="Influencers"/>
        <s v="Podcast"/>
      </sharedItems>
    </cacheField>
    <cacheField name="Total Spend_x000a_(ZAR)" numFmtId="166">
      <sharedItems containsSemiMixedTypes="0" containsString="0" containsNumber="1" minValue="0" maxValue="3011100.7164000007"/>
    </cacheField>
    <cacheField name="Total Spend" numFmtId="0">
      <sharedItems containsSemiMixedTypes="0" containsString="0" containsNumber="1" minValue="0" maxValue="392000000"/>
    </cacheField>
    <cacheField name="Jan" numFmtId="0">
      <sharedItems containsString="0" containsBlank="1" containsNumber="1" minValue="819.15000000000009" maxValue="60199999.999999993"/>
    </cacheField>
    <cacheField name="Feb" numFmtId="0">
      <sharedItems containsString="0" containsBlank="1" containsNumber="1" minValue="1049.7" maxValue="65342554"/>
    </cacheField>
    <cacheField name="Mar" numFmtId="0">
      <sharedItems containsString="0" containsBlank="1" containsNumber="1" minValue="0" maxValue="100366617"/>
    </cacheField>
    <cacheField name="Apr" numFmtId="0">
      <sharedItems containsString="0" containsBlank="1" containsNumber="1" minValue="0" maxValue="84239909"/>
    </cacheField>
    <cacheField name="May" numFmtId="0">
      <sharedItems containsString="0" containsBlank="1" containsNumber="1" minValue="0" maxValue="80250000"/>
    </cacheField>
    <cacheField name="Jun" numFmtId="0">
      <sharedItems containsBlank="1" containsMixedTypes="1" containsNumber="1" minValue="6000" maxValue="56000000" count="69">
        <n v="11128.32"/>
        <n v="40000"/>
        <n v="33580.080000000002"/>
        <n v="9214.84"/>
        <n v="10000"/>
        <n v="16560"/>
        <m/>
        <n v="35000"/>
        <n v="31760"/>
        <n v="6000"/>
        <n v="71489"/>
        <n v="66209.2"/>
        <n v="39824"/>
        <n v="14500"/>
        <n v="252695"/>
        <n v="12747.29"/>
        <n v="38343.565000000002"/>
        <n v="92372.67"/>
        <n v="30422.720000000001"/>
        <n v="179752.54"/>
        <n v="267831.98"/>
        <n v="36557.5599"/>
        <n v="286929.08549999999"/>
        <n v="8221.8799999999992"/>
        <n v="352847.67"/>
        <n v="110000"/>
        <n v="595045.99"/>
        <n v="200000"/>
        <n v="327613"/>
        <n v="66000"/>
        <n v="134510"/>
        <n v="350290"/>
        <n v="18522"/>
        <n v="271687"/>
        <n v="98379"/>
        <n v="33355.699999999997"/>
        <n v="285000"/>
        <n v="100000"/>
        <n v="3500000"/>
        <n v="11800000"/>
        <n v="820000"/>
        <n v="450000"/>
        <n v="102037"/>
        <n v="76560"/>
        <n v="56000"/>
        <n v="69000"/>
        <n v="70000"/>
        <n v="62000"/>
        <n v="160000"/>
        <n v="40900"/>
        <n v="62600"/>
        <n v="213847"/>
        <n v="85700"/>
        <n v="56000000"/>
        <n v="20150496.555"/>
        <n v="16043648.279999999"/>
        <n v="52200000"/>
        <n v="7000000"/>
        <n v="11487031"/>
        <n v="6973515.4699999997"/>
        <n v="40000000"/>
        <n v="15282305.17"/>
        <n v="34800000"/>
        <n v="854579.52"/>
        <s v="           -  "/>
        <n v="1065853.25"/>
        <n v="1007825.86"/>
        <n v="422114.69"/>
        <s v="                 -  "/>
      </sharedItems>
    </cacheField>
    <cacheField name="Jul" numFmtId="0">
      <sharedItems containsString="0" containsBlank="1" containsNumber="1" minValue="0" maxValue="56000000"/>
    </cacheField>
    <cacheField name="Aug" numFmtId="0">
      <sharedItems containsString="0" containsBlank="1" containsNumber="1" minValue="0" maxValue="56000000"/>
    </cacheField>
    <cacheField name="Sep" numFmtId="0">
      <sharedItems containsString="0" containsBlank="1" containsNumber="1" minValue="0" maxValue="56000000"/>
    </cacheField>
    <cacheField name="Oct" numFmtId="0">
      <sharedItems containsString="0" containsBlank="1" containsNumber="1" containsInteger="1" minValue="0" maxValue="450000"/>
    </cacheField>
    <cacheField name="Nov" numFmtId="0">
      <sharedItems containsString="0" containsBlank="1" containsNumber="1" containsInteger="1" minValue="0" maxValue="213847"/>
    </cacheField>
    <cacheField name="Dec" numFmtId="0">
      <sharedItems containsString="0" containsBlank="1" containsNumber="1" containsInteger="1" minValue="0" maxValue="213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014.281473842595" createdVersion="8" refreshedVersion="8" minRefreshableVersion="3" recordCount="309" xr:uid="{03C44EFB-3577-4B44-9318-3948BC7720E5}">
  <cacheSource type="worksheet">
    <worksheetSource ref="A7:S316" sheet="Master Activity Plan (Local)"/>
  </cacheSource>
  <cacheFields count="19">
    <cacheField name="Conversion Rate" numFmtId="0">
      <sharedItems containsString="0" containsBlank="1" containsNumber="1" minValue="5.0000000000000001E-3" maxValue="1.68" count="11">
        <n v="1.32"/>
        <n v="1.68"/>
        <n v="1"/>
        <n v="0.14000000000000001"/>
        <n v="0.39"/>
        <n v="7.0000000000000001E-3"/>
        <n v="0.76"/>
        <n v="5.0000000000000001E-3"/>
        <n v="1.2107000000000001"/>
        <n v="0.28000000000000003"/>
        <m/>
      </sharedItems>
    </cacheField>
    <cacheField name="Market" numFmtId="0">
      <sharedItems containsBlank="1" count="11">
        <s v="Botswana"/>
        <s v="Ghana"/>
        <s v="Hub"/>
        <s v="Kenya"/>
        <s v="Mauritius"/>
        <s v="Tanzania"/>
        <s v="Zambia"/>
        <s v="Uganda"/>
        <s v="Seychelles"/>
        <s v="Mozambique"/>
        <m/>
      </sharedItems>
    </cacheField>
    <cacheField name="Business Unit" numFmtId="0">
      <sharedItems containsBlank="1"/>
    </cacheField>
    <cacheField name="Campaign" numFmtId="0">
      <sharedItems containsBlank="1"/>
    </cacheField>
    <cacheField name="Medium" numFmtId="0">
      <sharedItems containsBlank="1"/>
    </cacheField>
    <cacheField name="Total Spend_x000a_(ZAR)" numFmtId="166">
      <sharedItems containsSemiMixedTypes="0" containsString="0" containsNumber="1" minValue="0" maxValue="68546839.150372252"/>
    </cacheField>
    <cacheField name="Total Spend" numFmtId="0">
      <sharedItems containsString="0" containsBlank="1" containsNumber="1" minValue="0" maxValue="392000000"/>
    </cacheField>
    <cacheField name="Jan" numFmtId="0">
      <sharedItems containsString="0" containsBlank="1" containsNumber="1" minValue="819.15000000000009" maxValue="60199999.999999993"/>
    </cacheField>
    <cacheField name="Feb" numFmtId="0">
      <sharedItems containsString="0" containsBlank="1" containsNumber="1" minValue="1275" maxValue="65342554"/>
    </cacheField>
    <cacheField name="Mar" numFmtId="0">
      <sharedItems containsString="0" containsBlank="1" containsNumber="1" minValue="0" maxValue="100366617"/>
    </cacheField>
    <cacheField name="Apr" numFmtId="0">
      <sharedItems containsString="0" containsBlank="1" containsNumber="1" minValue="0" maxValue="84239909"/>
    </cacheField>
    <cacheField name="May" numFmtId="0">
      <sharedItems containsString="0" containsBlank="1" containsNumber="1" minValue="0" maxValue="80250000"/>
    </cacheField>
    <cacheField name="Jun" numFmtId="0">
      <sharedItems containsBlank="1" containsMixedTypes="1" containsNumber="1" minValue="6000" maxValue="56000000"/>
    </cacheField>
    <cacheField name="Jul" numFmtId="0">
      <sharedItems containsString="0" containsBlank="1" containsNumber="1" minValue="0" maxValue="56000000"/>
    </cacheField>
    <cacheField name="Aug" numFmtId="0">
      <sharedItems containsString="0" containsBlank="1" containsNumber="1" minValue="0" maxValue="56000000"/>
    </cacheField>
    <cacheField name="Sep" numFmtId="0">
      <sharedItems containsString="0" containsBlank="1" containsNumber="1" minValue="0" maxValue="56000000"/>
    </cacheField>
    <cacheField name="Oct" numFmtId="0">
      <sharedItems containsString="0" containsBlank="1" containsNumber="1" minValue="0" maxValue="450000"/>
    </cacheField>
    <cacheField name="Nov" numFmtId="0">
      <sharedItems containsString="0" containsBlank="1" containsNumber="1" containsInteger="1" minValue="0" maxValue="213847"/>
    </cacheField>
    <cacheField name="Dec" numFmtId="0">
      <sharedItems containsString="0" containsBlank="1" containsNumber="1" minValue="0" maxValue="21384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8">
  <r>
    <x v="0"/>
    <x v="0"/>
    <x v="0"/>
    <x v="0"/>
    <n v="81964.608000000007"/>
    <n v="62094.400000000001"/>
    <m/>
    <m/>
    <m/>
    <n v="27337.759999999998"/>
    <n v="23628.32"/>
    <x v="0"/>
    <m/>
    <m/>
    <m/>
    <m/>
    <m/>
    <m/>
  </r>
  <r>
    <x v="0"/>
    <x v="0"/>
    <x v="0"/>
    <x v="1"/>
    <n v="105600"/>
    <n v="80000"/>
    <m/>
    <m/>
    <m/>
    <m/>
    <n v="40000"/>
    <x v="1"/>
    <m/>
    <m/>
    <m/>
    <m/>
    <m/>
    <m/>
  </r>
  <r>
    <x v="0"/>
    <x v="0"/>
    <x v="0"/>
    <x v="2"/>
    <n v="132977.11680000002"/>
    <n v="100740.24"/>
    <m/>
    <m/>
    <m/>
    <n v="33580.080000000002"/>
    <n v="33580.080000000002"/>
    <x v="2"/>
    <m/>
    <m/>
    <m/>
    <m/>
    <m/>
    <m/>
  </r>
  <r>
    <x v="0"/>
    <x v="0"/>
    <x v="0"/>
    <x v="3"/>
    <n v="40125.465599999996"/>
    <n v="30398.079999999998"/>
    <m/>
    <m/>
    <m/>
    <n v="11968.4"/>
    <n v="9214.84"/>
    <x v="3"/>
    <m/>
    <m/>
    <m/>
    <m/>
    <m/>
    <m/>
  </r>
  <r>
    <x v="0"/>
    <x v="0"/>
    <x v="0"/>
    <x v="4"/>
    <n v="39600"/>
    <n v="30000"/>
    <m/>
    <m/>
    <m/>
    <n v="10000"/>
    <n v="10000"/>
    <x v="4"/>
    <m/>
    <m/>
    <m/>
    <m/>
    <m/>
    <m/>
  </r>
  <r>
    <x v="0"/>
    <x v="0"/>
    <x v="0"/>
    <x v="5"/>
    <n v="60429.600000000006"/>
    <n v="45780"/>
    <m/>
    <m/>
    <m/>
    <n v="12570"/>
    <n v="16650"/>
    <x v="5"/>
    <m/>
    <m/>
    <m/>
    <m/>
    <m/>
    <m/>
  </r>
  <r>
    <x v="0"/>
    <x v="0"/>
    <x v="0"/>
    <x v="6"/>
    <n v="25290.671999999999"/>
    <n v="19159.599999999999"/>
    <m/>
    <m/>
    <m/>
    <n v="9579.7999999999993"/>
    <n v="9579.7999999999993"/>
    <x v="6"/>
    <m/>
    <m/>
    <m/>
    <m/>
    <m/>
    <m/>
  </r>
  <r>
    <x v="0"/>
    <x v="0"/>
    <x v="1"/>
    <x v="0"/>
    <n v="105272.95680000001"/>
    <n v="79752.240000000005"/>
    <n v="20401.919999999998"/>
    <n v="27820.080000000002"/>
    <n v="31530.240000000002"/>
    <m/>
    <m/>
    <x v="6"/>
    <m/>
    <m/>
    <m/>
    <m/>
    <m/>
    <m/>
  </r>
  <r>
    <x v="0"/>
    <x v="0"/>
    <x v="1"/>
    <x v="1"/>
    <n v="132000"/>
    <n v="100000"/>
    <n v="25000"/>
    <n v="25000"/>
    <n v="25000"/>
    <n v="25000"/>
    <m/>
    <x v="6"/>
    <m/>
    <m/>
    <m/>
    <m/>
    <m/>
    <m/>
  </r>
  <r>
    <x v="0"/>
    <x v="0"/>
    <x v="1"/>
    <x v="4"/>
    <n v="346159.96800000005"/>
    <n v="262242.40000000002"/>
    <n v="84080.8"/>
    <n v="94080.8"/>
    <n v="84080.8"/>
    <m/>
    <m/>
    <x v="6"/>
    <m/>
    <m/>
    <m/>
    <m/>
    <m/>
    <m/>
  </r>
  <r>
    <x v="0"/>
    <x v="0"/>
    <x v="1"/>
    <x v="5"/>
    <n v="124250.808"/>
    <n v="94129.4"/>
    <n v="40715.160000000003"/>
    <n v="53414.239999999998"/>
    <m/>
    <m/>
    <m/>
    <x v="6"/>
    <m/>
    <m/>
    <m/>
    <m/>
    <m/>
    <m/>
  </r>
  <r>
    <x v="0"/>
    <x v="0"/>
    <x v="1"/>
    <x v="6"/>
    <n v="16914.902399999999"/>
    <n v="12814.32"/>
    <n v="12814.32"/>
    <m/>
    <m/>
    <m/>
    <m/>
    <x v="6"/>
    <m/>
    <m/>
    <m/>
    <m/>
    <m/>
    <m/>
  </r>
  <r>
    <x v="0"/>
    <x v="1"/>
    <x v="2"/>
    <x v="3"/>
    <n v="36607.955999999998"/>
    <n v="27733.3"/>
    <n v="27733.3"/>
    <m/>
    <m/>
    <m/>
    <m/>
    <x v="6"/>
    <m/>
    <m/>
    <m/>
    <m/>
    <m/>
    <m/>
  </r>
  <r>
    <x v="0"/>
    <x v="1"/>
    <x v="2"/>
    <x v="4"/>
    <n v="170115.6336"/>
    <n v="128875.48"/>
    <n v="128875.48"/>
    <m/>
    <m/>
    <m/>
    <m/>
    <x v="6"/>
    <m/>
    <m/>
    <m/>
    <m/>
    <m/>
    <m/>
  </r>
  <r>
    <x v="0"/>
    <x v="1"/>
    <x v="2"/>
    <x v="5"/>
    <n v="36128.400000000001"/>
    <n v="27370"/>
    <n v="27370"/>
    <m/>
    <m/>
    <m/>
    <m/>
    <x v="6"/>
    <m/>
    <m/>
    <m/>
    <m/>
    <m/>
    <m/>
  </r>
  <r>
    <x v="0"/>
    <x v="1"/>
    <x v="2"/>
    <x v="6"/>
    <n v="33987.360000000001"/>
    <n v="25748"/>
    <n v="25748"/>
    <m/>
    <m/>
    <m/>
    <m/>
    <x v="6"/>
    <m/>
    <m/>
    <m/>
    <m/>
    <m/>
    <m/>
  </r>
  <r>
    <x v="0"/>
    <x v="1"/>
    <x v="3"/>
    <x v="1"/>
    <n v="46200"/>
    <n v="35000"/>
    <m/>
    <m/>
    <m/>
    <m/>
    <m/>
    <x v="7"/>
    <m/>
    <m/>
    <m/>
    <m/>
    <m/>
    <m/>
  </r>
  <r>
    <x v="0"/>
    <x v="1"/>
    <x v="3"/>
    <x v="2"/>
    <n v="125769.60000000001"/>
    <n v="95280"/>
    <m/>
    <m/>
    <m/>
    <n v="31760"/>
    <n v="31760"/>
    <x v="8"/>
    <m/>
    <m/>
    <m/>
    <m/>
    <m/>
    <m/>
  </r>
  <r>
    <x v="0"/>
    <x v="1"/>
    <x v="3"/>
    <x v="4"/>
    <n v="23760"/>
    <n v="18000"/>
    <m/>
    <m/>
    <m/>
    <n v="6000"/>
    <n v="6000"/>
    <x v="9"/>
    <m/>
    <m/>
    <m/>
    <m/>
    <m/>
    <m/>
  </r>
  <r>
    <x v="0"/>
    <x v="1"/>
    <x v="3"/>
    <x v="5"/>
    <n v="57655.804800000005"/>
    <n v="43678.64"/>
    <m/>
    <m/>
    <m/>
    <n v="43678.64"/>
    <m/>
    <x v="6"/>
    <m/>
    <m/>
    <m/>
    <m/>
    <m/>
    <m/>
  </r>
  <r>
    <x v="0"/>
    <x v="1"/>
    <x v="3"/>
    <x v="6"/>
    <n v="12647.712000000001"/>
    <n v="9581.6"/>
    <m/>
    <m/>
    <m/>
    <n v="9581.6"/>
    <m/>
    <x v="6"/>
    <m/>
    <m/>
    <m/>
    <m/>
    <m/>
    <m/>
  </r>
  <r>
    <x v="0"/>
    <x v="2"/>
    <x v="4"/>
    <x v="4"/>
    <n v="269599.1496"/>
    <n v="204241.78"/>
    <m/>
    <m/>
    <n v="8393"/>
    <n v="48795.3"/>
    <n v="5964.48"/>
    <x v="10"/>
    <n v="69600"/>
    <m/>
    <m/>
    <m/>
    <m/>
    <m/>
  </r>
  <r>
    <x v="0"/>
    <x v="2"/>
    <x v="4"/>
    <x v="5"/>
    <n v="568510.04760000005"/>
    <n v="430689.43"/>
    <m/>
    <n v="78901"/>
    <n v="114324.56"/>
    <n v="86809.75"/>
    <n v="57224.92"/>
    <x v="11"/>
    <n v="27220"/>
    <m/>
    <m/>
    <m/>
    <m/>
    <m/>
  </r>
  <r>
    <x v="0"/>
    <x v="1"/>
    <x v="5"/>
    <x v="1"/>
    <n v="153978"/>
    <n v="116650"/>
    <m/>
    <m/>
    <m/>
    <m/>
    <n v="35000"/>
    <x v="7"/>
    <n v="46650"/>
    <m/>
    <m/>
    <m/>
    <m/>
    <m/>
  </r>
  <r>
    <x v="0"/>
    <x v="1"/>
    <x v="5"/>
    <x v="2"/>
    <n v="220616.08799999999"/>
    <n v="167133.4"/>
    <m/>
    <m/>
    <m/>
    <m/>
    <n v="39824"/>
    <x v="12"/>
    <n v="48742.400000000001"/>
    <n v="38743"/>
    <m/>
    <m/>
    <m/>
    <m/>
  </r>
  <r>
    <x v="0"/>
    <x v="1"/>
    <x v="5"/>
    <x v="3"/>
    <n v="88914.605999999985"/>
    <n v="67359.549999999988"/>
    <m/>
    <m/>
    <m/>
    <m/>
    <n v="16160"/>
    <x v="13"/>
    <n v="16899.95"/>
    <n v="19799.599999999999"/>
    <m/>
    <m/>
    <m/>
    <m/>
  </r>
  <r>
    <x v="0"/>
    <x v="1"/>
    <x v="5"/>
    <x v="4"/>
    <n v="390367.56"/>
    <n v="295733"/>
    <m/>
    <m/>
    <m/>
    <m/>
    <m/>
    <x v="14"/>
    <n v="21519"/>
    <n v="21519"/>
    <m/>
    <m/>
    <m/>
    <m/>
  </r>
  <r>
    <x v="0"/>
    <x v="1"/>
    <x v="5"/>
    <x v="5"/>
    <n v="67181.122799999997"/>
    <n v="50894.79"/>
    <m/>
    <m/>
    <m/>
    <m/>
    <n v="22981.79"/>
    <x v="6"/>
    <n v="21326"/>
    <n v="6587"/>
    <m/>
    <m/>
    <m/>
    <m/>
  </r>
  <r>
    <x v="0"/>
    <x v="1"/>
    <x v="5"/>
    <x v="6"/>
    <n v="23474.880000000001"/>
    <n v="17784"/>
    <m/>
    <m/>
    <m/>
    <m/>
    <n v="7784"/>
    <x v="4"/>
    <m/>
    <m/>
    <m/>
    <m/>
    <m/>
    <m/>
  </r>
  <r>
    <x v="0"/>
    <x v="1"/>
    <x v="6"/>
    <x v="1"/>
    <n v="74778"/>
    <n v="56650"/>
    <m/>
    <m/>
    <m/>
    <m/>
    <m/>
    <x v="6"/>
    <n v="56650"/>
    <m/>
    <m/>
    <m/>
    <m/>
    <m/>
  </r>
  <r>
    <x v="0"/>
    <x v="1"/>
    <x v="6"/>
    <x v="0"/>
    <n v="26142.600000000002"/>
    <n v="19805"/>
    <m/>
    <m/>
    <m/>
    <m/>
    <m/>
    <x v="6"/>
    <n v="9902.5"/>
    <n v="9902.5"/>
    <m/>
    <m/>
    <m/>
    <m/>
  </r>
  <r>
    <x v="0"/>
    <x v="1"/>
    <x v="6"/>
    <x v="3"/>
    <n v="139946.4"/>
    <n v="106020"/>
    <m/>
    <m/>
    <m/>
    <m/>
    <m/>
    <x v="6"/>
    <n v="79740.100000000006"/>
    <n v="26279.9"/>
    <m/>
    <m/>
    <m/>
    <m/>
  </r>
  <r>
    <x v="0"/>
    <x v="1"/>
    <x v="6"/>
    <x v="2"/>
    <n v="83371.305600000007"/>
    <n v="63160.08"/>
    <m/>
    <m/>
    <m/>
    <m/>
    <m/>
    <x v="6"/>
    <n v="31580"/>
    <n v="31580.080000000002"/>
    <m/>
    <m/>
    <m/>
    <m/>
  </r>
  <r>
    <x v="0"/>
    <x v="1"/>
    <x v="6"/>
    <x v="5"/>
    <n v="44657.712"/>
    <n v="33831.599999999999"/>
    <m/>
    <m/>
    <m/>
    <m/>
    <m/>
    <x v="6"/>
    <n v="24476.6"/>
    <n v="9355"/>
    <m/>
    <m/>
    <m/>
    <m/>
  </r>
  <r>
    <x v="0"/>
    <x v="1"/>
    <x v="6"/>
    <x v="4"/>
    <n v="28405.08"/>
    <n v="21519"/>
    <m/>
    <m/>
    <m/>
    <m/>
    <m/>
    <x v="6"/>
    <n v="21519"/>
    <m/>
    <m/>
    <m/>
    <m/>
    <m/>
  </r>
  <r>
    <x v="0"/>
    <x v="1"/>
    <x v="6"/>
    <x v="6"/>
    <n v="29412.240000000002"/>
    <n v="22282"/>
    <m/>
    <m/>
    <m/>
    <m/>
    <m/>
    <x v="6"/>
    <n v="22282"/>
    <m/>
    <m/>
    <m/>
    <m/>
    <m/>
  </r>
  <r>
    <x v="0"/>
    <x v="1"/>
    <x v="4"/>
    <x v="5"/>
    <n v="96638.52"/>
    <n v="73211"/>
    <m/>
    <m/>
    <m/>
    <m/>
    <m/>
    <x v="6"/>
    <n v="73211"/>
    <m/>
    <m/>
    <m/>
    <m/>
    <m/>
  </r>
  <r>
    <x v="0"/>
    <x v="1"/>
    <x v="4"/>
    <x v="4"/>
    <n v="142755.36000000002"/>
    <n v="108148"/>
    <m/>
    <m/>
    <m/>
    <m/>
    <m/>
    <x v="6"/>
    <n v="71498"/>
    <n v="36650"/>
    <m/>
    <m/>
    <m/>
    <m/>
  </r>
  <r>
    <x v="0"/>
    <x v="1"/>
    <x v="7"/>
    <x v="1"/>
    <n v="83358"/>
    <n v="63150"/>
    <m/>
    <m/>
    <m/>
    <m/>
    <m/>
    <x v="6"/>
    <n v="36650"/>
    <n v="26500"/>
    <m/>
    <m/>
    <m/>
    <m/>
  </r>
  <r>
    <x v="0"/>
    <x v="1"/>
    <x v="7"/>
    <x v="2"/>
    <n v="34980"/>
    <n v="26500"/>
    <m/>
    <m/>
    <m/>
    <m/>
    <m/>
    <x v="6"/>
    <n v="26500"/>
    <m/>
    <m/>
    <m/>
    <m/>
    <m/>
  </r>
  <r>
    <x v="0"/>
    <x v="1"/>
    <x v="7"/>
    <x v="5"/>
    <n v="33811.800000000003"/>
    <n v="25615"/>
    <m/>
    <m/>
    <m/>
    <m/>
    <m/>
    <x v="6"/>
    <n v="25615"/>
    <m/>
    <m/>
    <m/>
    <m/>
    <m/>
  </r>
  <r>
    <x v="0"/>
    <x v="1"/>
    <x v="7"/>
    <x v="6"/>
    <n v="12646.655999999999"/>
    <n v="9580.7999999999993"/>
    <m/>
    <m/>
    <m/>
    <m/>
    <m/>
    <x v="6"/>
    <n v="9580.7999999999993"/>
    <m/>
    <m/>
    <m/>
    <m/>
    <m/>
  </r>
  <r>
    <x v="0"/>
    <x v="1"/>
    <x v="8"/>
    <x v="1"/>
    <n v="157476"/>
    <n v="119300"/>
    <m/>
    <m/>
    <m/>
    <m/>
    <m/>
    <x v="6"/>
    <n v="59650"/>
    <n v="59650"/>
    <m/>
    <m/>
    <m/>
    <m/>
  </r>
  <r>
    <x v="0"/>
    <x v="1"/>
    <x v="8"/>
    <x v="3"/>
    <n v="45583.89"/>
    <n v="34533.25"/>
    <m/>
    <m/>
    <m/>
    <m/>
    <m/>
    <x v="6"/>
    <n v="13813.3"/>
    <n v="20719.95"/>
    <m/>
    <m/>
    <m/>
    <m/>
  </r>
  <r>
    <x v="0"/>
    <x v="1"/>
    <x v="8"/>
    <x v="2"/>
    <n v="103382.82240000002"/>
    <n v="78320.320000000007"/>
    <m/>
    <m/>
    <m/>
    <m/>
    <m/>
    <x v="6"/>
    <n v="39160.160000000003"/>
    <n v="39160.160000000003"/>
    <m/>
    <m/>
    <m/>
    <m/>
  </r>
  <r>
    <x v="0"/>
    <x v="1"/>
    <x v="8"/>
    <x v="5"/>
    <n v="43169.279999999999"/>
    <n v="32704"/>
    <m/>
    <m/>
    <m/>
    <m/>
    <m/>
    <x v="6"/>
    <n v="19632"/>
    <n v="13072"/>
    <m/>
    <m/>
    <m/>
    <m/>
  </r>
  <r>
    <x v="0"/>
    <x v="1"/>
    <x v="8"/>
    <x v="6"/>
    <n v="33219.648000000001"/>
    <n v="25166.400000000001"/>
    <m/>
    <m/>
    <m/>
    <m/>
    <m/>
    <x v="6"/>
    <n v="12583.2"/>
    <n v="12583.2"/>
    <m/>
    <m/>
    <m/>
    <m/>
  </r>
  <r>
    <x v="0"/>
    <x v="1"/>
    <x v="9"/>
    <x v="1"/>
    <n v="57618"/>
    <n v="43650"/>
    <m/>
    <m/>
    <m/>
    <m/>
    <m/>
    <x v="6"/>
    <m/>
    <n v="43650"/>
    <m/>
    <m/>
    <m/>
    <m/>
  </r>
  <r>
    <x v="0"/>
    <x v="1"/>
    <x v="9"/>
    <x v="3"/>
    <n v="20407.992000000002"/>
    <n v="15460.6"/>
    <m/>
    <m/>
    <m/>
    <m/>
    <m/>
    <x v="6"/>
    <m/>
    <n v="15460.6"/>
    <m/>
    <m/>
    <m/>
    <m/>
  </r>
  <r>
    <x v="0"/>
    <x v="1"/>
    <x v="9"/>
    <x v="2"/>
    <n v="40365.705600000001"/>
    <n v="30580.080000000002"/>
    <m/>
    <m/>
    <m/>
    <m/>
    <m/>
    <x v="6"/>
    <m/>
    <n v="30580.080000000002"/>
    <m/>
    <m/>
    <m/>
    <m/>
  </r>
  <r>
    <x v="0"/>
    <x v="1"/>
    <x v="9"/>
    <x v="5"/>
    <n v="40503.196800000005"/>
    <n v="30684.240000000002"/>
    <m/>
    <m/>
    <m/>
    <m/>
    <m/>
    <x v="6"/>
    <m/>
    <n v="30684.240000000002"/>
    <m/>
    <m/>
    <m/>
    <m/>
  </r>
  <r>
    <x v="0"/>
    <x v="1"/>
    <x v="9"/>
    <x v="6"/>
    <n v="12172.406400000002"/>
    <n v="9221.52"/>
    <m/>
    <m/>
    <m/>
    <m/>
    <m/>
    <x v="6"/>
    <m/>
    <n v="9221.52"/>
    <m/>
    <m/>
    <m/>
    <m/>
  </r>
  <r>
    <x v="1"/>
    <x v="1"/>
    <x v="10"/>
    <x v="1"/>
    <n v="105153.06479999999"/>
    <n v="62591.11"/>
    <n v="16800"/>
    <n v="21793.99"/>
    <n v="23997.119999999999"/>
    <m/>
    <m/>
    <x v="6"/>
    <m/>
    <m/>
    <m/>
    <m/>
    <m/>
    <m/>
  </r>
  <r>
    <x v="1"/>
    <x v="1"/>
    <x v="10"/>
    <x v="3"/>
    <n v="754106.43311460677"/>
    <n v="448872.87685393263"/>
    <n v="181557.3468539326"/>
    <n v="202085.51"/>
    <n v="65230.020000000004"/>
    <m/>
    <m/>
    <x v="6"/>
    <m/>
    <m/>
    <m/>
    <m/>
    <m/>
    <m/>
  </r>
  <r>
    <x v="1"/>
    <x v="1"/>
    <x v="10"/>
    <x v="4"/>
    <n v="220977.65760000001"/>
    <n v="131534.32"/>
    <n v="59137.159999999996"/>
    <n v="59137.159999999996"/>
    <n v="13260"/>
    <m/>
    <m/>
    <x v="6"/>
    <m/>
    <m/>
    <m/>
    <m/>
    <m/>
    <m/>
  </r>
  <r>
    <x v="1"/>
    <x v="1"/>
    <x v="10"/>
    <x v="7"/>
    <n v="213060.12"/>
    <n v="126821.5"/>
    <n v="6961.5"/>
    <n v="119860"/>
    <m/>
    <m/>
    <m/>
    <x v="6"/>
    <m/>
    <m/>
    <m/>
    <m/>
    <m/>
    <m/>
  </r>
  <r>
    <x v="1"/>
    <x v="1"/>
    <x v="11"/>
    <x v="5"/>
    <n v="349283.74924800004"/>
    <n v="207906.99360000002"/>
    <n v="11588.45"/>
    <n v="11588.45"/>
    <n v="83795.16"/>
    <n v="28559.55"/>
    <n v="12747.29"/>
    <x v="15"/>
    <n v="25494.573600000003"/>
    <m/>
    <n v="21386.23"/>
    <m/>
    <m/>
    <m/>
  </r>
  <r>
    <x v="1"/>
    <x v="1"/>
    <x v="12"/>
    <x v="4"/>
    <n v="16800"/>
    <n v="10000"/>
    <m/>
    <m/>
    <m/>
    <m/>
    <m/>
    <x v="6"/>
    <m/>
    <m/>
    <n v="10000"/>
    <m/>
    <m/>
    <m/>
  </r>
  <r>
    <x v="1"/>
    <x v="1"/>
    <x v="13"/>
    <x v="1"/>
    <n v="282836.34119999997"/>
    <n v="168354.965"/>
    <n v="819.15000000000009"/>
    <n v="13911.150000000001"/>
    <n v="13655.559999999998"/>
    <n v="25444.32"/>
    <n v="7938.91"/>
    <x v="16"/>
    <n v="30477.23"/>
    <n v="37765.08"/>
    <m/>
    <m/>
    <m/>
    <m/>
  </r>
  <r>
    <x v="1"/>
    <x v="1"/>
    <x v="14"/>
    <x v="4"/>
    <n v="1236748.8336"/>
    <n v="736160.02"/>
    <m/>
    <n v="89551.33"/>
    <n v="92372.67"/>
    <n v="92372.67"/>
    <n v="92372.67"/>
    <x v="17"/>
    <n v="92372.67"/>
    <n v="92372.67"/>
    <n v="92372.67"/>
    <m/>
    <m/>
    <m/>
  </r>
  <r>
    <x v="1"/>
    <x v="1"/>
    <x v="15"/>
    <x v="0"/>
    <n v="4712.3999999999996"/>
    <n v="2805"/>
    <m/>
    <n v="1275"/>
    <m/>
    <m/>
    <n v="1530"/>
    <x v="6"/>
    <m/>
    <m/>
    <m/>
    <m/>
    <m/>
    <m/>
  </r>
  <r>
    <x v="1"/>
    <x v="1"/>
    <x v="15"/>
    <x v="1"/>
    <n v="35186.565811200002"/>
    <n v="20944.384411428571"/>
    <m/>
    <n v="13498.264411428572"/>
    <m/>
    <m/>
    <n v="7446.12"/>
    <x v="6"/>
    <m/>
    <m/>
    <m/>
    <m/>
    <m/>
    <m/>
  </r>
  <r>
    <x v="1"/>
    <x v="1"/>
    <x v="15"/>
    <x v="3"/>
    <n v="39298.568399999996"/>
    <n v="23392.004999999997"/>
    <m/>
    <n v="11568.074999999999"/>
    <m/>
    <m/>
    <n v="11823.93"/>
    <x v="6"/>
    <m/>
    <m/>
    <m/>
    <m/>
    <m/>
    <m/>
  </r>
  <r>
    <x v="1"/>
    <x v="1"/>
    <x v="16"/>
    <x v="0"/>
    <n v="758609.04839999997"/>
    <n v="451553.005"/>
    <m/>
    <m/>
    <m/>
    <m/>
    <m/>
    <x v="6"/>
    <n v="322783.89500000002"/>
    <n v="128769.11"/>
    <m/>
    <m/>
    <m/>
    <m/>
  </r>
  <r>
    <x v="1"/>
    <x v="1"/>
    <x v="16"/>
    <x v="1"/>
    <n v="465411.87839999999"/>
    <n v="277030.88"/>
    <m/>
    <m/>
    <n v="44979.839999999997"/>
    <n v="38426.559999999998"/>
    <n v="9236"/>
    <x v="18"/>
    <n v="35821.599999999999"/>
    <n v="35821.599999999999"/>
    <n v="82322.559999999998"/>
    <m/>
    <m/>
    <m/>
  </r>
  <r>
    <x v="1"/>
    <x v="1"/>
    <x v="16"/>
    <x v="3"/>
    <n v="2406789.6636000006"/>
    <n v="1432612.8950000003"/>
    <m/>
    <m/>
    <n v="222231.67250000002"/>
    <n v="286994.36249999999"/>
    <n v="204376.7"/>
    <x v="19"/>
    <n v="179752.54"/>
    <n v="179752.54"/>
    <n v="179752.54"/>
    <m/>
    <m/>
    <m/>
  </r>
  <r>
    <x v="1"/>
    <x v="1"/>
    <x v="16"/>
    <x v="4"/>
    <n v="2786259.6047999999"/>
    <n v="1658487.8599999999"/>
    <m/>
    <m/>
    <n v="267831.98"/>
    <n v="267831.98"/>
    <n v="267831.98"/>
    <x v="20"/>
    <n v="267831.98"/>
    <n v="232798.98"/>
    <n v="86528.98"/>
    <m/>
    <m/>
    <m/>
  </r>
  <r>
    <x v="1"/>
    <x v="1"/>
    <x v="16"/>
    <x v="5"/>
    <n v="327555.04269600002"/>
    <n v="194973.23970000001"/>
    <m/>
    <m/>
    <n v="48743"/>
    <n v="36557.56"/>
    <n v="48743.413200000003"/>
    <x v="21"/>
    <n v="24371.706600000001"/>
    <m/>
    <m/>
    <m/>
    <m/>
    <m/>
  </r>
  <r>
    <x v="1"/>
    <x v="1"/>
    <x v="17"/>
    <x v="1"/>
    <n v="15175.439999999999"/>
    <n v="9033"/>
    <m/>
    <m/>
    <m/>
    <m/>
    <m/>
    <x v="6"/>
    <n v="8200"/>
    <m/>
    <n v="833"/>
    <m/>
    <m/>
    <m/>
  </r>
  <r>
    <x v="1"/>
    <x v="1"/>
    <x v="17"/>
    <x v="3"/>
    <n v="21869.82"/>
    <n v="13017.75"/>
    <m/>
    <m/>
    <m/>
    <m/>
    <m/>
    <x v="6"/>
    <n v="13017.75"/>
    <m/>
    <m/>
    <m/>
    <m/>
    <m/>
  </r>
  <r>
    <x v="1"/>
    <x v="1"/>
    <x v="17"/>
    <x v="4"/>
    <n v="13776"/>
    <n v="8200"/>
    <m/>
    <m/>
    <m/>
    <m/>
    <m/>
    <x v="6"/>
    <n v="8200"/>
    <m/>
    <m/>
    <m/>
    <m/>
    <m/>
  </r>
  <r>
    <x v="1"/>
    <x v="0"/>
    <x v="17"/>
    <x v="5"/>
    <n v="11040.099336000001"/>
    <n v="6571.4877000000006"/>
    <m/>
    <m/>
    <m/>
    <m/>
    <m/>
    <x v="6"/>
    <n v="6571.4877000000006"/>
    <m/>
    <m/>
    <m/>
    <m/>
    <m/>
  </r>
  <r>
    <x v="1"/>
    <x v="0"/>
    <x v="17"/>
    <x v="7"/>
    <n v="50904"/>
    <n v="30300"/>
    <m/>
    <m/>
    <m/>
    <m/>
    <m/>
    <x v="6"/>
    <n v="30300"/>
    <m/>
    <m/>
    <m/>
    <m/>
    <m/>
  </r>
  <r>
    <x v="1"/>
    <x v="0"/>
    <x v="18"/>
    <x v="1"/>
    <n v="52996.675199999998"/>
    <n v="31545.64"/>
    <m/>
    <m/>
    <m/>
    <m/>
    <m/>
    <x v="6"/>
    <n v="15772.82"/>
    <n v="15772.82"/>
    <m/>
    <m/>
    <m/>
    <m/>
  </r>
  <r>
    <x v="1"/>
    <x v="1"/>
    <x v="18"/>
    <x v="3"/>
    <n v="111304.60319999998"/>
    <n v="66252.739999999991"/>
    <m/>
    <m/>
    <m/>
    <m/>
    <m/>
    <x v="6"/>
    <n v="66252.739999999991"/>
    <m/>
    <m/>
    <m/>
    <m/>
    <m/>
  </r>
  <r>
    <x v="1"/>
    <x v="1"/>
    <x v="18"/>
    <x v="5"/>
    <n v="31841.105184000004"/>
    <n v="18953.038800000002"/>
    <m/>
    <m/>
    <m/>
    <m/>
    <m/>
    <x v="6"/>
    <n v="18953.038800000002"/>
    <m/>
    <m/>
    <m/>
    <m/>
    <m/>
  </r>
  <r>
    <x v="1"/>
    <x v="1"/>
    <x v="19"/>
    <x v="1"/>
    <n v="15964.317599999998"/>
    <n v="9502.57"/>
    <m/>
    <m/>
    <m/>
    <m/>
    <m/>
    <x v="6"/>
    <n v="9502.57"/>
    <m/>
    <m/>
    <m/>
    <m/>
    <m/>
  </r>
  <r>
    <x v="1"/>
    <x v="1"/>
    <x v="19"/>
    <x v="3"/>
    <n v="20940.191999999999"/>
    <n v="12464.4"/>
    <m/>
    <m/>
    <m/>
    <m/>
    <m/>
    <x v="6"/>
    <n v="12464.4"/>
    <m/>
    <m/>
    <m/>
    <m/>
    <m/>
  </r>
  <r>
    <x v="1"/>
    <x v="1"/>
    <x v="20"/>
    <x v="1"/>
    <n v="36929.323199999999"/>
    <n v="21981.74"/>
    <m/>
    <m/>
    <m/>
    <m/>
    <m/>
    <x v="6"/>
    <n v="10990.87"/>
    <n v="10990.87"/>
    <m/>
    <m/>
    <m/>
    <m/>
  </r>
  <r>
    <x v="1"/>
    <x v="1"/>
    <x v="20"/>
    <x v="3"/>
    <n v="25221.335999999999"/>
    <n v="15012.7"/>
    <m/>
    <m/>
    <m/>
    <m/>
    <m/>
    <x v="6"/>
    <n v="15012.7"/>
    <m/>
    <m/>
    <m/>
    <m/>
    <m/>
  </r>
  <r>
    <x v="1"/>
    <x v="1"/>
    <x v="21"/>
    <x v="3"/>
    <n v="265483.6569"/>
    <n v="158025.98625000002"/>
    <m/>
    <m/>
    <m/>
    <m/>
    <m/>
    <x v="6"/>
    <m/>
    <n v="105350.6575"/>
    <n v="52675.328750000001"/>
    <m/>
    <m/>
    <m/>
  </r>
  <r>
    <x v="1"/>
    <x v="1"/>
    <x v="22"/>
    <x v="0"/>
    <n v="83357.500799999994"/>
    <n v="49617.56"/>
    <m/>
    <m/>
    <m/>
    <n v="40130.03"/>
    <n v="9487.5300000000007"/>
    <x v="6"/>
    <m/>
    <m/>
    <m/>
    <m/>
    <m/>
    <m/>
  </r>
  <r>
    <x v="1"/>
    <x v="1"/>
    <x v="22"/>
    <x v="1"/>
    <n v="52901.125199999995"/>
    <n v="31488.764999999999"/>
    <m/>
    <m/>
    <m/>
    <n v="10840.5"/>
    <n v="11222.145"/>
    <x v="6"/>
    <m/>
    <n v="9426.1200000000008"/>
    <m/>
    <m/>
    <m/>
    <m/>
  </r>
  <r>
    <x v="1"/>
    <x v="1"/>
    <x v="22"/>
    <x v="3"/>
    <n v="219386.69339999999"/>
    <n v="130587.3175"/>
    <m/>
    <m/>
    <m/>
    <n v="79654"/>
    <n v="50933.317499999997"/>
    <x v="6"/>
    <m/>
    <m/>
    <m/>
    <m/>
    <m/>
    <m/>
  </r>
  <r>
    <x v="1"/>
    <x v="1"/>
    <x v="22"/>
    <x v="5"/>
    <n v="64246.324800000002"/>
    <n v="38241.86"/>
    <m/>
    <m/>
    <m/>
    <n v="25494.57"/>
    <n v="12747.29"/>
    <x v="6"/>
    <m/>
    <m/>
    <m/>
    <m/>
    <m/>
    <m/>
  </r>
  <r>
    <x v="1"/>
    <x v="1"/>
    <x v="23"/>
    <x v="1"/>
    <n v="17806.7736"/>
    <n v="10599.27"/>
    <m/>
    <m/>
    <m/>
    <n v="10599.27"/>
    <m/>
    <x v="6"/>
    <m/>
    <m/>
    <m/>
    <m/>
    <m/>
    <m/>
  </r>
  <r>
    <x v="1"/>
    <x v="1"/>
    <x v="23"/>
    <x v="4"/>
    <n v="50400"/>
    <n v="30000"/>
    <m/>
    <m/>
    <m/>
    <n v="30000"/>
    <m/>
    <x v="6"/>
    <m/>
    <m/>
    <m/>
    <m/>
    <m/>
    <m/>
  </r>
  <r>
    <x v="1"/>
    <x v="1"/>
    <x v="23"/>
    <x v="5"/>
    <n v="30443.279999999999"/>
    <n v="18121"/>
    <m/>
    <m/>
    <m/>
    <n v="18121"/>
    <m/>
    <x v="6"/>
    <m/>
    <m/>
    <m/>
    <m/>
    <m/>
    <m/>
  </r>
  <r>
    <x v="1"/>
    <x v="1"/>
    <x v="24"/>
    <x v="0"/>
    <n v="482040.86363999994"/>
    <n v="286929.08549999999"/>
    <m/>
    <m/>
    <m/>
    <m/>
    <m/>
    <x v="22"/>
    <m/>
    <m/>
    <m/>
    <m/>
    <m/>
    <m/>
  </r>
  <r>
    <x v="1"/>
    <x v="1"/>
    <x v="24"/>
    <x v="1"/>
    <n v="96540.225599999991"/>
    <n v="57464.42"/>
    <m/>
    <m/>
    <m/>
    <m/>
    <m/>
    <x v="23"/>
    <n v="24621.27"/>
    <n v="24621.27"/>
    <n v="0"/>
    <n v="0"/>
    <n v="0"/>
    <n v="0"/>
  </r>
  <r>
    <x v="2"/>
    <x v="0"/>
    <x v="25"/>
    <x v="1"/>
    <n v="8081.17"/>
    <n v="8081.17"/>
    <m/>
    <n v="8081.17"/>
    <m/>
    <m/>
    <m/>
    <x v="6"/>
    <m/>
    <m/>
    <m/>
    <m/>
    <m/>
    <m/>
  </r>
  <r>
    <x v="2"/>
    <x v="0"/>
    <x v="25"/>
    <x v="1"/>
    <n v="8081.17"/>
    <n v="8081.17"/>
    <m/>
    <n v="8081.17"/>
    <m/>
    <m/>
    <m/>
    <x v="6"/>
    <m/>
    <m/>
    <m/>
    <m/>
    <m/>
    <m/>
  </r>
  <r>
    <x v="2"/>
    <x v="0"/>
    <x v="25"/>
    <x v="1"/>
    <n v="4665.3100000000004"/>
    <n v="4665.3100000000004"/>
    <m/>
    <n v="4665.3100000000004"/>
    <m/>
    <m/>
    <m/>
    <x v="6"/>
    <m/>
    <m/>
    <m/>
    <m/>
    <m/>
    <m/>
  </r>
  <r>
    <x v="2"/>
    <x v="0"/>
    <x v="25"/>
    <x v="1"/>
    <n v="1818.49"/>
    <n v="1818.49"/>
    <m/>
    <n v="1818.49"/>
    <m/>
    <m/>
    <m/>
    <x v="6"/>
    <m/>
    <m/>
    <m/>
    <m/>
    <m/>
    <m/>
  </r>
  <r>
    <x v="2"/>
    <x v="0"/>
    <x v="25"/>
    <x v="1"/>
    <n v="1818.49"/>
    <n v="1818.49"/>
    <m/>
    <n v="1818.49"/>
    <m/>
    <m/>
    <m/>
    <x v="6"/>
    <m/>
    <m/>
    <m/>
    <m/>
    <m/>
    <m/>
  </r>
  <r>
    <x v="2"/>
    <x v="0"/>
    <x v="25"/>
    <x v="1"/>
    <n v="1049.7"/>
    <n v="1049.7"/>
    <m/>
    <n v="1049.7"/>
    <m/>
    <m/>
    <m/>
    <x v="6"/>
    <m/>
    <m/>
    <m/>
    <m/>
    <m/>
    <m/>
  </r>
  <r>
    <x v="2"/>
    <x v="0"/>
    <x v="25"/>
    <x v="1"/>
    <n v="3434.73"/>
    <n v="3434.73"/>
    <m/>
    <n v="3434.73"/>
    <m/>
    <m/>
    <m/>
    <x v="6"/>
    <m/>
    <m/>
    <m/>
    <m/>
    <m/>
    <m/>
  </r>
  <r>
    <x v="2"/>
    <x v="0"/>
    <x v="25"/>
    <x v="1"/>
    <n v="3434.73"/>
    <n v="3434.73"/>
    <m/>
    <n v="3434.73"/>
    <m/>
    <m/>
    <m/>
    <x v="6"/>
    <m/>
    <m/>
    <m/>
    <m/>
    <m/>
    <m/>
  </r>
  <r>
    <x v="2"/>
    <x v="0"/>
    <x v="25"/>
    <x v="1"/>
    <n v="1982.76"/>
    <n v="1982.76"/>
    <m/>
    <n v="1982.76"/>
    <m/>
    <m/>
    <m/>
    <x v="6"/>
    <m/>
    <m/>
    <m/>
    <m/>
    <m/>
    <m/>
  </r>
  <r>
    <x v="2"/>
    <x v="0"/>
    <x v="25"/>
    <x v="1"/>
    <n v="17509.36"/>
    <n v="17509.36"/>
    <m/>
    <n v="17509.36"/>
    <m/>
    <m/>
    <m/>
    <x v="6"/>
    <m/>
    <m/>
    <m/>
    <m/>
    <m/>
    <m/>
  </r>
  <r>
    <x v="2"/>
    <x v="0"/>
    <x v="25"/>
    <x v="1"/>
    <n v="17509.36"/>
    <n v="17509.36"/>
    <m/>
    <n v="17509.36"/>
    <m/>
    <m/>
    <m/>
    <x v="6"/>
    <m/>
    <m/>
    <m/>
    <m/>
    <m/>
    <m/>
  </r>
  <r>
    <x v="2"/>
    <x v="0"/>
    <x v="25"/>
    <x v="1"/>
    <n v="10107.870000000001"/>
    <n v="10107.870000000001"/>
    <m/>
    <n v="10107.870000000001"/>
    <m/>
    <m/>
    <m/>
    <x v="6"/>
    <m/>
    <m/>
    <m/>
    <m/>
    <m/>
    <m/>
  </r>
  <r>
    <x v="2"/>
    <x v="0"/>
    <x v="25"/>
    <x v="1"/>
    <n v="4646.8999999999996"/>
    <n v="4646.8999999999996"/>
    <m/>
    <n v="4646.8999999999996"/>
    <m/>
    <m/>
    <m/>
    <x v="6"/>
    <m/>
    <m/>
    <m/>
    <m/>
    <m/>
    <m/>
  </r>
  <r>
    <x v="2"/>
    <x v="0"/>
    <x v="25"/>
    <x v="1"/>
    <n v="4646.8999999999996"/>
    <n v="4646.8999999999996"/>
    <m/>
    <n v="4646.8999999999996"/>
    <m/>
    <m/>
    <m/>
    <x v="6"/>
    <m/>
    <m/>
    <m/>
    <m/>
    <m/>
    <m/>
  </r>
  <r>
    <x v="2"/>
    <x v="0"/>
    <x v="25"/>
    <x v="1"/>
    <n v="2682.55"/>
    <n v="2682.55"/>
    <m/>
    <n v="2682.55"/>
    <m/>
    <m/>
    <m/>
    <x v="6"/>
    <m/>
    <m/>
    <m/>
    <m/>
    <m/>
    <m/>
  </r>
  <r>
    <x v="2"/>
    <x v="0"/>
    <x v="25"/>
    <x v="1"/>
    <n v="5082.75"/>
    <n v="5082.75"/>
    <m/>
    <n v="5082.75"/>
    <m/>
    <m/>
    <m/>
    <x v="6"/>
    <m/>
    <m/>
    <m/>
    <m/>
    <m/>
    <m/>
  </r>
  <r>
    <x v="2"/>
    <x v="0"/>
    <x v="25"/>
    <x v="1"/>
    <n v="2261.75"/>
    <n v="2261.75"/>
    <m/>
    <n v="2261.75"/>
    <m/>
    <m/>
    <m/>
    <x v="6"/>
    <m/>
    <m/>
    <m/>
    <m/>
    <m/>
    <m/>
  </r>
  <r>
    <x v="2"/>
    <x v="0"/>
    <x v="26"/>
    <x v="4"/>
    <n v="176000"/>
    <n v="176000"/>
    <m/>
    <m/>
    <m/>
    <n v="176000"/>
    <m/>
    <x v="6"/>
    <m/>
    <m/>
    <m/>
    <m/>
    <m/>
    <m/>
  </r>
  <r>
    <x v="2"/>
    <x v="1"/>
    <x v="27"/>
    <x v="0"/>
    <n v="517634"/>
    <n v="517634"/>
    <n v="517634"/>
    <m/>
    <m/>
    <m/>
    <m/>
    <x v="6"/>
    <m/>
    <m/>
    <m/>
    <m/>
    <m/>
    <m/>
  </r>
  <r>
    <x v="3"/>
    <x v="1"/>
    <x v="28"/>
    <x v="0"/>
    <n v="59409.000000000007"/>
    <n v="424350"/>
    <m/>
    <m/>
    <n v="424350"/>
    <m/>
    <m/>
    <x v="6"/>
    <m/>
    <m/>
    <m/>
    <m/>
    <m/>
    <m/>
  </r>
  <r>
    <x v="3"/>
    <x v="1"/>
    <x v="28"/>
    <x v="1"/>
    <n v="197420.41620000004"/>
    <n v="1410145.83"/>
    <m/>
    <m/>
    <n v="384066"/>
    <n v="105200.34"/>
    <n v="117489"/>
    <x v="24"/>
    <m/>
    <n v="313723.06"/>
    <n v="136819.76"/>
    <m/>
    <m/>
    <m/>
  </r>
  <r>
    <x v="3"/>
    <x v="1"/>
    <x v="28"/>
    <x v="2"/>
    <n v="126000.00000000001"/>
    <n v="900000"/>
    <m/>
    <m/>
    <n v="900000"/>
    <m/>
    <m/>
    <x v="6"/>
    <m/>
    <m/>
    <m/>
    <m/>
    <m/>
    <m/>
  </r>
  <r>
    <x v="3"/>
    <x v="1"/>
    <x v="28"/>
    <x v="3"/>
    <n v="534431.24000000011"/>
    <n v="3817366"/>
    <m/>
    <n v="1100000"/>
    <n v="2717366"/>
    <m/>
    <m/>
    <x v="6"/>
    <m/>
    <m/>
    <m/>
    <m/>
    <m/>
    <m/>
  </r>
  <r>
    <x v="3"/>
    <x v="1"/>
    <x v="28"/>
    <x v="4"/>
    <n v="590800"/>
    <n v="4220000"/>
    <m/>
    <m/>
    <n v="1450000"/>
    <n v="1450000"/>
    <n v="1210000"/>
    <x v="25"/>
    <m/>
    <m/>
    <m/>
    <m/>
    <m/>
    <m/>
  </r>
  <r>
    <x v="3"/>
    <x v="2"/>
    <x v="4"/>
    <x v="0"/>
    <n v="178227.00000000003"/>
    <n v="1273050"/>
    <m/>
    <n v="1273050"/>
    <m/>
    <m/>
    <m/>
    <x v="6"/>
    <m/>
    <m/>
    <m/>
    <m/>
    <m/>
    <m/>
  </r>
  <r>
    <x v="3"/>
    <x v="1"/>
    <x v="29"/>
    <x v="1"/>
    <n v="37776.620000000003"/>
    <n v="269833"/>
    <m/>
    <m/>
    <n v="269833"/>
    <m/>
    <m/>
    <x v="6"/>
    <m/>
    <m/>
    <m/>
    <m/>
    <m/>
    <m/>
  </r>
  <r>
    <x v="3"/>
    <x v="1"/>
    <x v="30"/>
    <x v="1"/>
    <n v="1131534.1982000002"/>
    <n v="8082387.1300000008"/>
    <n v="1366132"/>
    <n v="662096.69999999995"/>
    <m/>
    <n v="469505.96"/>
    <n v="593749"/>
    <x v="26"/>
    <n v="1855262.22"/>
    <n v="1098352.57"/>
    <n v="1442242.69"/>
    <m/>
    <m/>
    <m/>
  </r>
  <r>
    <x v="3"/>
    <x v="1"/>
    <x v="30"/>
    <x v="3"/>
    <n v="80360.000000000015"/>
    <n v="574000"/>
    <n v="574000"/>
    <m/>
    <m/>
    <m/>
    <m/>
    <x v="6"/>
    <m/>
    <m/>
    <m/>
    <m/>
    <m/>
    <m/>
  </r>
  <r>
    <x v="3"/>
    <x v="1"/>
    <x v="31"/>
    <x v="0"/>
    <n v="144648"/>
    <n v="1033200"/>
    <n v="1033200"/>
    <m/>
    <m/>
    <m/>
    <m/>
    <x v="6"/>
    <m/>
    <m/>
    <m/>
    <m/>
    <m/>
    <m/>
  </r>
  <r>
    <x v="3"/>
    <x v="1"/>
    <x v="31"/>
    <x v="1"/>
    <n v="28350.000000000004"/>
    <n v="202500"/>
    <n v="202500"/>
    <m/>
    <m/>
    <m/>
    <m/>
    <x v="6"/>
    <m/>
    <m/>
    <m/>
    <m/>
    <m/>
    <m/>
  </r>
  <r>
    <x v="3"/>
    <x v="0"/>
    <x v="32"/>
    <x v="1"/>
    <n v="462261.8672000001"/>
    <n v="3301870.4800000004"/>
    <n v="393869"/>
    <n v="338172.3"/>
    <n v="1109246"/>
    <n v="527277.17000000004"/>
    <n v="303156"/>
    <x v="6"/>
    <n v="58887.08"/>
    <n v="223813.73"/>
    <n v="347449.2"/>
    <m/>
    <m/>
    <m/>
  </r>
  <r>
    <x v="3"/>
    <x v="0"/>
    <x v="32"/>
    <x v="5"/>
    <n v="21000.000000000004"/>
    <n v="150000"/>
    <m/>
    <n v="150000"/>
    <m/>
    <m/>
    <m/>
    <x v="6"/>
    <m/>
    <m/>
    <m/>
    <m/>
    <m/>
    <m/>
  </r>
  <r>
    <x v="3"/>
    <x v="0"/>
    <x v="32"/>
    <x v="0"/>
    <n v="109200.00000000001"/>
    <n v="780000"/>
    <m/>
    <m/>
    <m/>
    <m/>
    <m/>
    <x v="6"/>
    <m/>
    <m/>
    <n v="780000"/>
    <m/>
    <m/>
    <m/>
  </r>
  <r>
    <x v="3"/>
    <x v="2"/>
    <x v="33"/>
    <x v="1"/>
    <n v="124542.1296"/>
    <n v="889586.6399999999"/>
    <n v="389789"/>
    <n v="61379.1"/>
    <m/>
    <m/>
    <m/>
    <x v="6"/>
    <n v="66500"/>
    <n v="371918.54"/>
    <m/>
    <m/>
    <m/>
    <m/>
  </r>
  <r>
    <x v="3"/>
    <x v="2"/>
    <x v="34"/>
    <x v="5"/>
    <n v="104473.74"/>
    <n v="746241"/>
    <m/>
    <n v="248747"/>
    <m/>
    <n v="248747"/>
    <m/>
    <x v="6"/>
    <n v="248747"/>
    <m/>
    <m/>
    <m/>
    <m/>
    <m/>
  </r>
  <r>
    <x v="3"/>
    <x v="2"/>
    <x v="35"/>
    <x v="1"/>
    <n v="190260.00000000003"/>
    <n v="1359000"/>
    <m/>
    <n v="1359000"/>
    <m/>
    <m/>
    <m/>
    <x v="6"/>
    <m/>
    <m/>
    <m/>
    <m/>
    <m/>
    <m/>
  </r>
  <r>
    <x v="3"/>
    <x v="2"/>
    <x v="36"/>
    <x v="1"/>
    <n v="25556.58"/>
    <n v="182547"/>
    <m/>
    <m/>
    <m/>
    <m/>
    <m/>
    <x v="6"/>
    <m/>
    <m/>
    <n v="182547"/>
    <m/>
    <m/>
    <m/>
  </r>
  <r>
    <x v="3"/>
    <x v="2"/>
    <x v="37"/>
    <x v="1"/>
    <n v="221448.78000000003"/>
    <n v="1581777"/>
    <m/>
    <n v="1581777"/>
    <m/>
    <m/>
    <m/>
    <x v="6"/>
    <m/>
    <m/>
    <m/>
    <m/>
    <m/>
    <m/>
  </r>
  <r>
    <x v="3"/>
    <x v="1"/>
    <x v="38"/>
    <x v="5"/>
    <n v="999828.76000000013"/>
    <n v="7141634"/>
    <m/>
    <m/>
    <n v="2253622"/>
    <n v="2253622"/>
    <m/>
    <x v="6"/>
    <m/>
    <n v="2634390"/>
    <m/>
    <m/>
    <m/>
    <m/>
  </r>
  <r>
    <x v="3"/>
    <x v="1"/>
    <x v="39"/>
    <x v="1"/>
    <n v="608870.20740000007"/>
    <n v="4349072.91"/>
    <m/>
    <m/>
    <m/>
    <m/>
    <m/>
    <x v="6"/>
    <n v="1122880.43"/>
    <n v="1008081.48"/>
    <n v="2218111"/>
    <m/>
    <m/>
    <m/>
  </r>
  <r>
    <x v="3"/>
    <x v="1"/>
    <x v="39"/>
    <x v="3"/>
    <n v="390320.00000000006"/>
    <n v="2788000"/>
    <m/>
    <m/>
    <m/>
    <m/>
    <m/>
    <x v="6"/>
    <m/>
    <m/>
    <n v="2788000"/>
    <m/>
    <m/>
    <m/>
  </r>
  <r>
    <x v="3"/>
    <x v="1"/>
    <x v="39"/>
    <x v="0"/>
    <n v="282867.20000000001"/>
    <n v="2020480"/>
    <m/>
    <m/>
    <m/>
    <m/>
    <m/>
    <x v="6"/>
    <m/>
    <m/>
    <n v="2020480"/>
    <m/>
    <m/>
    <m/>
  </r>
  <r>
    <x v="3"/>
    <x v="1"/>
    <x v="39"/>
    <x v="4"/>
    <n v="343000.00000000006"/>
    <n v="2450000"/>
    <m/>
    <m/>
    <m/>
    <m/>
    <m/>
    <x v="6"/>
    <m/>
    <m/>
    <n v="2450000"/>
    <m/>
    <m/>
    <m/>
  </r>
  <r>
    <x v="3"/>
    <x v="1"/>
    <x v="40"/>
    <x v="1"/>
    <n v="76112.043000000005"/>
    <n v="543657.44999999995"/>
    <m/>
    <m/>
    <m/>
    <m/>
    <m/>
    <x v="6"/>
    <n v="33135.620000000003"/>
    <n v="159794.18"/>
    <n v="350727.65"/>
    <m/>
    <m/>
    <m/>
  </r>
  <r>
    <x v="3"/>
    <x v="1"/>
    <x v="41"/>
    <x v="1"/>
    <n v="77227.381000000008"/>
    <n v="551624.15"/>
    <m/>
    <m/>
    <m/>
    <m/>
    <m/>
    <x v="6"/>
    <n v="66500"/>
    <n v="238844.06"/>
    <n v="246280.09"/>
    <m/>
    <m/>
    <m/>
  </r>
  <r>
    <x v="3"/>
    <x v="1"/>
    <x v="41"/>
    <x v="3"/>
    <n v="149240"/>
    <n v="1066000"/>
    <m/>
    <m/>
    <m/>
    <m/>
    <m/>
    <x v="6"/>
    <n v="574000"/>
    <n v="492000"/>
    <m/>
    <m/>
    <m/>
    <m/>
  </r>
  <r>
    <x v="3"/>
    <x v="1"/>
    <x v="42"/>
    <x v="4"/>
    <n v="30800.000000000004"/>
    <n v="220000"/>
    <m/>
    <m/>
    <m/>
    <m/>
    <m/>
    <x v="6"/>
    <n v="110000"/>
    <n v="110000"/>
    <m/>
    <m/>
    <m/>
    <m/>
  </r>
  <r>
    <x v="3"/>
    <x v="3"/>
    <x v="43"/>
    <x v="1"/>
    <n v="123750.56820000001"/>
    <n v="883932.63"/>
    <m/>
    <m/>
    <m/>
    <m/>
    <m/>
    <x v="6"/>
    <n v="242916.52"/>
    <n v="308974.96000000002"/>
    <n v="332041.15000000002"/>
    <m/>
    <m/>
    <m/>
  </r>
  <r>
    <x v="3"/>
    <x v="1"/>
    <x v="44"/>
    <x v="1"/>
    <n v="171083.91160000002"/>
    <n v="1222027.94"/>
    <m/>
    <m/>
    <m/>
    <m/>
    <m/>
    <x v="6"/>
    <m/>
    <n v="679885.36"/>
    <n v="542142.57999999996"/>
    <m/>
    <m/>
    <m/>
  </r>
  <r>
    <x v="3"/>
    <x v="1"/>
    <x v="44"/>
    <x v="8"/>
    <n v="190960.00000000003"/>
    <n v="1364000"/>
    <m/>
    <m/>
    <m/>
    <m/>
    <m/>
    <x v="6"/>
    <n v="682000"/>
    <n v="682000"/>
    <m/>
    <m/>
    <m/>
    <m/>
  </r>
  <r>
    <x v="4"/>
    <x v="1"/>
    <x v="45"/>
    <x v="3"/>
    <n v="702000"/>
    <n v="1800000"/>
    <n v="200000"/>
    <n v="200000"/>
    <n v="200000"/>
    <n v="200000"/>
    <n v="200000"/>
    <x v="27"/>
    <n v="200000"/>
    <n v="200000"/>
    <n v="200000"/>
    <m/>
    <m/>
    <m/>
  </r>
  <r>
    <x v="4"/>
    <x v="0"/>
    <x v="46"/>
    <x v="1"/>
    <n v="142916.67000000001"/>
    <n v="366453"/>
    <m/>
    <n v="9710"/>
    <n v="29130"/>
    <m/>
    <m/>
    <x v="28"/>
    <m/>
    <m/>
    <m/>
    <m/>
    <m/>
    <m/>
  </r>
  <r>
    <x v="4"/>
    <x v="0"/>
    <x v="46"/>
    <x v="4"/>
    <n v="421851.94999999995"/>
    <n v="1081671.6666666665"/>
    <n v="208000"/>
    <n v="210917"/>
    <n v="206666.66666666666"/>
    <n v="147000"/>
    <n v="66000"/>
    <x v="29"/>
    <n v="177088"/>
    <m/>
    <m/>
    <m/>
    <m/>
    <m/>
  </r>
  <r>
    <x v="4"/>
    <x v="0"/>
    <x v="46"/>
    <x v="5"/>
    <n v="90045.598500000007"/>
    <n v="230886.15"/>
    <m/>
    <n v="51376.15"/>
    <n v="45000"/>
    <m/>
    <m/>
    <x v="30"/>
    <m/>
    <m/>
    <m/>
    <m/>
    <m/>
    <m/>
  </r>
  <r>
    <x v="4"/>
    <x v="1"/>
    <x v="47"/>
    <x v="1"/>
    <n v="84835.269870000004"/>
    <n v="217526.33299999998"/>
    <m/>
    <m/>
    <n v="217526.33299999998"/>
    <m/>
    <m/>
    <x v="6"/>
    <m/>
    <m/>
    <m/>
    <m/>
    <m/>
    <m/>
  </r>
  <r>
    <x v="4"/>
    <x v="1"/>
    <x v="47"/>
    <x v="3"/>
    <n v="10415.301000000001"/>
    <n v="26705.9"/>
    <n v="26705.9"/>
    <m/>
    <m/>
    <m/>
    <m/>
    <x v="6"/>
    <m/>
    <m/>
    <m/>
    <m/>
    <m/>
    <m/>
  </r>
  <r>
    <x v="4"/>
    <x v="1"/>
    <x v="47"/>
    <x v="5"/>
    <n v="37978.200000000004"/>
    <n v="97380"/>
    <n v="51120"/>
    <n v="22320"/>
    <n v="23940"/>
    <m/>
    <m/>
    <x v="6"/>
    <m/>
    <m/>
    <m/>
    <m/>
    <m/>
    <m/>
  </r>
  <r>
    <x v="4"/>
    <x v="1"/>
    <x v="48"/>
    <x v="0"/>
    <n v="271525.8"/>
    <n v="696220"/>
    <n v="316120"/>
    <n v="162960"/>
    <n v="217140"/>
    <m/>
    <m/>
    <x v="6"/>
    <m/>
    <m/>
    <m/>
    <m/>
    <m/>
    <m/>
  </r>
  <r>
    <x v="4"/>
    <x v="1"/>
    <x v="48"/>
    <x v="1"/>
    <n v="307093.8"/>
    <n v="787420"/>
    <n v="113050"/>
    <m/>
    <n v="36000"/>
    <m/>
    <m/>
    <x v="31"/>
    <n v="176310"/>
    <n v="111770"/>
    <m/>
    <m/>
    <m/>
    <m/>
  </r>
  <r>
    <x v="4"/>
    <x v="1"/>
    <x v="48"/>
    <x v="3"/>
    <n v="64587.705000000002"/>
    <n v="165609.5"/>
    <n v="42644"/>
    <n v="30975"/>
    <n v="91990.5"/>
    <m/>
    <m/>
    <x v="6"/>
    <m/>
    <m/>
    <m/>
    <m/>
    <m/>
    <m/>
  </r>
  <r>
    <x v="4"/>
    <x v="1"/>
    <x v="48"/>
    <x v="4"/>
    <n v="220947.48"/>
    <n v="566532"/>
    <n v="566532"/>
    <m/>
    <m/>
    <m/>
    <m/>
    <x v="6"/>
    <m/>
    <m/>
    <m/>
    <m/>
    <m/>
    <m/>
  </r>
  <r>
    <x v="4"/>
    <x v="1"/>
    <x v="48"/>
    <x v="5"/>
    <n v="22120.3125"/>
    <n v="56718.75"/>
    <n v="20718.75"/>
    <n v="23760"/>
    <m/>
    <m/>
    <m/>
    <x v="6"/>
    <n v="12240"/>
    <m/>
    <m/>
    <m/>
    <m/>
    <m/>
  </r>
  <r>
    <x v="4"/>
    <x v="1"/>
    <x v="49"/>
    <x v="1"/>
    <n v="135934.5"/>
    <n v="348550"/>
    <n v="348550"/>
    <m/>
    <m/>
    <m/>
    <m/>
    <x v="6"/>
    <m/>
    <m/>
    <m/>
    <m/>
    <m/>
    <m/>
  </r>
  <r>
    <x v="4"/>
    <x v="1"/>
    <x v="49"/>
    <x v="3"/>
    <n v="131298.68700000001"/>
    <n v="336663.3"/>
    <n v="140884.5"/>
    <n v="90146"/>
    <n v="105632.8"/>
    <m/>
    <m/>
    <x v="6"/>
    <m/>
    <m/>
    <m/>
    <m/>
    <m/>
    <m/>
  </r>
  <r>
    <x v="4"/>
    <x v="1"/>
    <x v="49"/>
    <x v="5"/>
    <n v="34693.425000000003"/>
    <n v="88957.5"/>
    <n v="20718.75"/>
    <n v="44478.75"/>
    <n v="23760"/>
    <m/>
    <m/>
    <x v="6"/>
    <m/>
    <m/>
    <m/>
    <m/>
    <m/>
    <m/>
  </r>
  <r>
    <x v="4"/>
    <x v="1"/>
    <x v="49"/>
    <x v="2"/>
    <n v="73710"/>
    <n v="189000"/>
    <n v="189000"/>
    <m/>
    <m/>
    <m/>
    <m/>
    <x v="6"/>
    <m/>
    <m/>
    <m/>
    <m/>
    <m/>
    <m/>
  </r>
  <r>
    <x v="4"/>
    <x v="1"/>
    <x v="50"/>
    <x v="1"/>
    <n v="30899.018864999998"/>
    <n v="79228.253499999992"/>
    <n v="24275"/>
    <n v="15000.01"/>
    <n v="9999.843499999999"/>
    <m/>
    <n v="14953.4"/>
    <x v="6"/>
    <n v="15000"/>
    <m/>
    <m/>
    <m/>
    <m/>
    <m/>
  </r>
  <r>
    <x v="4"/>
    <x v="2"/>
    <x v="51"/>
    <x v="1"/>
    <n v="39384.93"/>
    <n v="100987"/>
    <n v="12137.5"/>
    <m/>
    <n v="2427.5"/>
    <m/>
    <m/>
    <x v="32"/>
    <n v="50977.5"/>
    <m/>
    <n v="16922.5"/>
    <m/>
    <m/>
    <m/>
  </r>
  <r>
    <x v="4"/>
    <x v="1"/>
    <x v="52"/>
    <x v="1"/>
    <n v="38434.476015"/>
    <n v="98549.938499999989"/>
    <n v="68691.938499999989"/>
    <m/>
    <m/>
    <m/>
    <m/>
    <x v="6"/>
    <n v="20148"/>
    <m/>
    <n v="9710"/>
    <m/>
    <m/>
    <m/>
  </r>
  <r>
    <x v="4"/>
    <x v="1"/>
    <x v="52"/>
    <x v="3"/>
    <n v="75850.671000000002"/>
    <n v="194488.9"/>
    <n v="75332.899999999994"/>
    <m/>
    <n v="49071"/>
    <m/>
    <m/>
    <x v="6"/>
    <n v="70085"/>
    <m/>
    <m/>
    <m/>
    <m/>
    <m/>
  </r>
  <r>
    <x v="4"/>
    <x v="2"/>
    <x v="53"/>
    <x v="1"/>
    <n v="446851.54800000001"/>
    <n v="1145773.2"/>
    <m/>
    <n v="58260"/>
    <n v="116520"/>
    <n v="109382"/>
    <n v="264791.7"/>
    <x v="33"/>
    <n v="114092.5"/>
    <n v="177055"/>
    <n v="33985"/>
    <m/>
    <m/>
    <m/>
  </r>
  <r>
    <x v="4"/>
    <x v="2"/>
    <x v="54"/>
    <x v="5"/>
    <n v="3480.75"/>
    <n v="8925"/>
    <m/>
    <n v="8925"/>
    <m/>
    <m/>
    <m/>
    <x v="6"/>
    <m/>
    <m/>
    <m/>
    <m/>
    <m/>
    <m/>
  </r>
  <r>
    <x v="4"/>
    <x v="2"/>
    <x v="55"/>
    <x v="1"/>
    <n v="9694.23"/>
    <n v="24857"/>
    <m/>
    <m/>
    <m/>
    <n v="24857"/>
    <m/>
    <x v="6"/>
    <m/>
    <m/>
    <m/>
    <m/>
    <m/>
    <m/>
  </r>
  <r>
    <x v="4"/>
    <x v="2"/>
    <x v="55"/>
    <x v="5"/>
    <n v="66183"/>
    <n v="169700"/>
    <m/>
    <m/>
    <m/>
    <n v="169700"/>
    <m/>
    <x v="6"/>
    <m/>
    <m/>
    <m/>
    <m/>
    <m/>
    <m/>
  </r>
  <r>
    <x v="4"/>
    <x v="2"/>
    <x v="56"/>
    <x v="4"/>
    <n v="132600"/>
    <n v="340000"/>
    <m/>
    <m/>
    <m/>
    <m/>
    <m/>
    <x v="6"/>
    <n v="340000"/>
    <m/>
    <m/>
    <m/>
    <m/>
    <m/>
  </r>
  <r>
    <x v="4"/>
    <x v="1"/>
    <x v="56"/>
    <x v="5"/>
    <n v="499200"/>
    <n v="1280000"/>
    <m/>
    <n v="640000"/>
    <n v="640000"/>
    <n v="0"/>
    <n v="0"/>
    <x v="6"/>
    <m/>
    <m/>
    <m/>
    <m/>
    <m/>
    <m/>
  </r>
  <r>
    <x v="4"/>
    <x v="1"/>
    <x v="57"/>
    <x v="1"/>
    <n v="403997.59530000004"/>
    <n v="1035891.27"/>
    <m/>
    <m/>
    <n v="195553.37"/>
    <n v="272600.45"/>
    <n v="272600.45"/>
    <x v="34"/>
    <n v="98379"/>
    <n v="98379"/>
    <m/>
    <m/>
    <m/>
    <m/>
  </r>
  <r>
    <x v="4"/>
    <x v="1"/>
    <x v="57"/>
    <x v="3"/>
    <n v="88441.353000000003"/>
    <n v="226772.7"/>
    <m/>
    <m/>
    <m/>
    <n v="68360"/>
    <n v="77157"/>
    <x v="35"/>
    <n v="30571"/>
    <n v="17329"/>
    <m/>
    <m/>
    <m/>
    <m/>
  </r>
  <r>
    <x v="4"/>
    <x v="1"/>
    <x v="57"/>
    <x v="5"/>
    <n v="40840.020000000004"/>
    <n v="104718"/>
    <m/>
    <m/>
    <n v="60000"/>
    <n v="44718"/>
    <m/>
    <x v="6"/>
    <m/>
    <m/>
    <m/>
    <m/>
    <m/>
    <m/>
  </r>
  <r>
    <x v="4"/>
    <x v="2"/>
    <x v="57"/>
    <x v="2"/>
    <n v="142545"/>
    <n v="365500"/>
    <m/>
    <m/>
    <m/>
    <n v="365500"/>
    <m/>
    <x v="6"/>
    <m/>
    <m/>
    <m/>
    <m/>
    <m/>
    <m/>
  </r>
  <r>
    <x v="4"/>
    <x v="2"/>
    <x v="58"/>
    <x v="2"/>
    <n v="778050"/>
    <n v="1995000"/>
    <m/>
    <m/>
    <n v="285000"/>
    <n v="285000"/>
    <n v="285000"/>
    <x v="36"/>
    <n v="285000"/>
    <n v="285000"/>
    <n v="285000"/>
    <m/>
    <m/>
    <m/>
  </r>
  <r>
    <x v="4"/>
    <x v="2"/>
    <x v="59"/>
    <x v="1"/>
    <n v="6627.0749999999998"/>
    <n v="16992.5"/>
    <m/>
    <m/>
    <n v="16992.5"/>
    <m/>
    <m/>
    <x v="6"/>
    <m/>
    <m/>
    <m/>
    <m/>
    <m/>
    <m/>
  </r>
  <r>
    <x v="4"/>
    <x v="1"/>
    <x v="59"/>
    <x v="5"/>
    <n v="35392.5"/>
    <n v="90750"/>
    <m/>
    <m/>
    <n v="90750"/>
    <m/>
    <m/>
    <x v="6"/>
    <m/>
    <m/>
    <m/>
    <m/>
    <m/>
    <m/>
  </r>
  <r>
    <x v="4"/>
    <x v="1"/>
    <x v="60"/>
    <x v="1"/>
    <n v="118382.69547000001"/>
    <n v="303545.37300000002"/>
    <m/>
    <m/>
    <n v="303545.37300000002"/>
    <m/>
    <m/>
    <x v="6"/>
    <m/>
    <m/>
    <m/>
    <m/>
    <m/>
    <m/>
  </r>
  <r>
    <x v="4"/>
    <x v="1"/>
    <x v="60"/>
    <x v="4"/>
    <n v="232910.66630000001"/>
    <n v="597206.83666666667"/>
    <m/>
    <m/>
    <n v="174610.83666666667"/>
    <n v="111996"/>
    <n v="310600"/>
    <x v="6"/>
    <m/>
    <m/>
    <m/>
    <m/>
    <m/>
    <m/>
  </r>
  <r>
    <x v="4"/>
    <x v="1"/>
    <x v="60"/>
    <x v="5"/>
    <n v="155122.5"/>
    <n v="397750"/>
    <m/>
    <m/>
    <m/>
    <m/>
    <n v="262500"/>
    <x v="37"/>
    <n v="35250"/>
    <m/>
    <m/>
    <m/>
    <m/>
    <m/>
  </r>
  <r>
    <x v="4"/>
    <x v="1"/>
    <x v="60"/>
    <x v="2"/>
    <n v="444600"/>
    <n v="1140000"/>
    <m/>
    <m/>
    <m/>
    <m/>
    <m/>
    <x v="6"/>
    <n v="400000"/>
    <n v="370000"/>
    <n v="370000"/>
    <m/>
    <m/>
    <m/>
  </r>
  <r>
    <x v="4"/>
    <x v="1"/>
    <x v="61"/>
    <x v="1"/>
    <n v="5680.35"/>
    <n v="14565"/>
    <m/>
    <m/>
    <m/>
    <m/>
    <n v="14565"/>
    <x v="6"/>
    <m/>
    <m/>
    <m/>
    <m/>
    <m/>
    <m/>
  </r>
  <r>
    <x v="4"/>
    <x v="1"/>
    <x v="61"/>
    <x v="5"/>
    <n v="8704.8000000000011"/>
    <n v="22320"/>
    <m/>
    <m/>
    <m/>
    <m/>
    <n v="22320"/>
    <x v="6"/>
    <m/>
    <m/>
    <m/>
    <m/>
    <m/>
    <m/>
  </r>
  <r>
    <x v="4"/>
    <x v="1"/>
    <x v="62"/>
    <x v="1"/>
    <n v="122860.53"/>
    <n v="315027"/>
    <m/>
    <m/>
    <m/>
    <m/>
    <m/>
    <x v="6"/>
    <m/>
    <n v="51793"/>
    <n v="263234"/>
    <m/>
    <m/>
    <m/>
  </r>
  <r>
    <x v="4"/>
    <x v="1"/>
    <x v="62"/>
    <x v="4"/>
    <n v="52461.630000000005"/>
    <n v="134517"/>
    <m/>
    <m/>
    <m/>
    <m/>
    <m/>
    <x v="6"/>
    <m/>
    <n v="62050"/>
    <n v="72467"/>
    <m/>
    <m/>
    <m/>
  </r>
  <r>
    <x v="4"/>
    <x v="1"/>
    <x v="62"/>
    <x v="5"/>
    <n v="27641.25"/>
    <n v="70875"/>
    <m/>
    <m/>
    <m/>
    <m/>
    <m/>
    <x v="6"/>
    <m/>
    <n v="23625"/>
    <n v="47250"/>
    <m/>
    <m/>
    <m/>
  </r>
  <r>
    <x v="4"/>
    <x v="1"/>
    <x v="62"/>
    <x v="2"/>
    <n v="87027.72"/>
    <n v="223148"/>
    <m/>
    <m/>
    <m/>
    <m/>
    <m/>
    <x v="6"/>
    <m/>
    <n v="111574"/>
    <n v="111574"/>
    <m/>
    <m/>
    <m/>
  </r>
  <r>
    <x v="4"/>
    <x v="1"/>
    <x v="63"/>
    <x v="1"/>
    <n v="7573.8"/>
    <n v="19420"/>
    <m/>
    <m/>
    <m/>
    <m/>
    <m/>
    <x v="6"/>
    <m/>
    <m/>
    <n v="19420"/>
    <m/>
    <m/>
    <m/>
  </r>
  <r>
    <x v="4"/>
    <x v="1"/>
    <x v="63"/>
    <x v="5"/>
    <n v="39341.25"/>
    <n v="100875"/>
    <m/>
    <m/>
    <m/>
    <m/>
    <m/>
    <x v="6"/>
    <m/>
    <m/>
    <n v="100875"/>
    <m/>
    <m/>
    <m/>
  </r>
  <r>
    <x v="4"/>
    <x v="0"/>
    <x v="64"/>
    <x v="2"/>
    <n v="134550"/>
    <n v="345000"/>
    <m/>
    <m/>
    <m/>
    <m/>
    <m/>
    <x v="6"/>
    <m/>
    <m/>
    <n v="345000"/>
    <m/>
    <m/>
    <m/>
  </r>
  <r>
    <x v="4"/>
    <x v="1"/>
    <x v="65"/>
    <x v="1"/>
    <n v="70220.67"/>
    <n v="180053"/>
    <m/>
    <m/>
    <m/>
    <m/>
    <m/>
    <x v="6"/>
    <m/>
    <m/>
    <n v="180053"/>
    <m/>
    <m/>
    <m/>
  </r>
  <r>
    <x v="4"/>
    <x v="1"/>
    <x v="65"/>
    <x v="3"/>
    <n v="4188.6000000000004"/>
    <n v="10740"/>
    <m/>
    <m/>
    <m/>
    <m/>
    <m/>
    <x v="6"/>
    <m/>
    <m/>
    <n v="10740"/>
    <m/>
    <m/>
    <m/>
  </r>
  <r>
    <x v="4"/>
    <x v="1"/>
    <x v="65"/>
    <x v="4"/>
    <n v="77307.75"/>
    <n v="198225"/>
    <m/>
    <m/>
    <m/>
    <m/>
    <m/>
    <x v="6"/>
    <m/>
    <m/>
    <n v="198225"/>
    <m/>
    <m/>
    <m/>
  </r>
  <r>
    <x v="4"/>
    <x v="1"/>
    <x v="65"/>
    <x v="5"/>
    <n v="27699.75"/>
    <n v="71025"/>
    <m/>
    <m/>
    <m/>
    <m/>
    <m/>
    <x v="6"/>
    <m/>
    <m/>
    <n v="71025"/>
    <m/>
    <m/>
    <m/>
  </r>
  <r>
    <x v="5"/>
    <x v="1"/>
    <x v="66"/>
    <x v="1"/>
    <n v="45107.643000000004"/>
    <n v="6443949"/>
    <m/>
    <n v="2147983"/>
    <n v="2147983"/>
    <n v="2147983"/>
    <m/>
    <x v="6"/>
    <m/>
    <m/>
    <m/>
    <m/>
    <m/>
    <m/>
  </r>
  <r>
    <x v="5"/>
    <x v="1"/>
    <x v="66"/>
    <x v="2"/>
    <n v="76072.5"/>
    <n v="10867500"/>
    <m/>
    <n v="4657500"/>
    <n v="6210000"/>
    <m/>
    <m/>
    <x v="6"/>
    <m/>
    <m/>
    <m/>
    <m/>
    <m/>
    <m/>
  </r>
  <r>
    <x v="5"/>
    <x v="1"/>
    <x v="66"/>
    <x v="3"/>
    <n v="343000"/>
    <n v="49000000"/>
    <m/>
    <n v="24500000"/>
    <n v="24500000"/>
    <m/>
    <m/>
    <x v="6"/>
    <m/>
    <m/>
    <m/>
    <m/>
    <m/>
    <m/>
  </r>
  <r>
    <x v="5"/>
    <x v="0"/>
    <x v="1"/>
    <x v="1"/>
    <n v="107375.072"/>
    <n v="15339296"/>
    <m/>
    <m/>
    <n v="7669648"/>
    <n v="7669648"/>
    <m/>
    <x v="6"/>
    <m/>
    <m/>
    <m/>
    <m/>
    <m/>
    <m/>
  </r>
  <r>
    <x v="5"/>
    <x v="0"/>
    <x v="1"/>
    <x v="2"/>
    <n v="234622.5"/>
    <n v="33517500"/>
    <m/>
    <m/>
    <n v="21860000"/>
    <n v="11657500"/>
    <m/>
    <x v="6"/>
    <m/>
    <m/>
    <m/>
    <m/>
    <m/>
    <m/>
  </r>
  <r>
    <x v="5"/>
    <x v="1"/>
    <x v="67"/>
    <x v="2"/>
    <n v="129710"/>
    <n v="18530000"/>
    <m/>
    <m/>
    <m/>
    <n v="8820000"/>
    <n v="6210000"/>
    <x v="38"/>
    <m/>
    <m/>
    <m/>
    <m/>
    <m/>
    <m/>
  </r>
  <r>
    <x v="5"/>
    <x v="1"/>
    <x v="67"/>
    <x v="3"/>
    <n v="389200"/>
    <n v="55600000"/>
    <m/>
    <m/>
    <m/>
    <n v="27800000"/>
    <n v="16000000"/>
    <x v="39"/>
    <m/>
    <m/>
    <m/>
    <m/>
    <m/>
    <m/>
  </r>
  <r>
    <x v="5"/>
    <x v="1"/>
    <x v="67"/>
    <x v="5"/>
    <n v="92725.5"/>
    <n v="13246500"/>
    <m/>
    <m/>
    <m/>
    <n v="11606500"/>
    <n v="820000"/>
    <x v="40"/>
    <m/>
    <m/>
    <m/>
    <m/>
    <m/>
    <m/>
  </r>
  <r>
    <x v="5"/>
    <x v="2"/>
    <x v="68"/>
    <x v="1"/>
    <n v="0"/>
    <n v="0"/>
    <m/>
    <m/>
    <m/>
    <m/>
    <m/>
    <x v="6"/>
    <m/>
    <m/>
    <m/>
    <m/>
    <m/>
    <m/>
  </r>
  <r>
    <x v="5"/>
    <x v="2"/>
    <x v="68"/>
    <x v="2"/>
    <n v="123970"/>
    <n v="17710000"/>
    <m/>
    <m/>
    <m/>
    <m/>
    <m/>
    <x v="6"/>
    <m/>
    <m/>
    <n v="17710000"/>
    <m/>
    <m/>
    <m/>
  </r>
  <r>
    <x v="5"/>
    <x v="2"/>
    <x v="68"/>
    <x v="3"/>
    <n v="154000"/>
    <n v="22000000"/>
    <m/>
    <m/>
    <m/>
    <m/>
    <m/>
    <x v="6"/>
    <m/>
    <m/>
    <n v="22000000"/>
    <m/>
    <m/>
    <m/>
  </r>
  <r>
    <x v="5"/>
    <x v="2"/>
    <x v="68"/>
    <x v="5"/>
    <n v="70700"/>
    <n v="10100000"/>
    <m/>
    <m/>
    <m/>
    <m/>
    <m/>
    <x v="6"/>
    <m/>
    <m/>
    <n v="10100000"/>
    <m/>
    <m/>
    <m/>
  </r>
  <r>
    <x v="5"/>
    <x v="2"/>
    <x v="68"/>
    <x v="0"/>
    <n v="33600"/>
    <n v="4800000"/>
    <m/>
    <m/>
    <m/>
    <m/>
    <m/>
    <x v="6"/>
    <m/>
    <m/>
    <n v="4800000"/>
    <m/>
    <m/>
    <m/>
  </r>
  <r>
    <x v="5"/>
    <x v="2"/>
    <x v="68"/>
    <x v="9"/>
    <n v="0"/>
    <n v="0"/>
    <m/>
    <m/>
    <m/>
    <m/>
    <m/>
    <x v="6"/>
    <m/>
    <m/>
    <m/>
    <m/>
    <m/>
    <m/>
  </r>
  <r>
    <x v="5"/>
    <x v="1"/>
    <x v="69"/>
    <x v="1"/>
    <n v="0"/>
    <n v="0"/>
    <m/>
    <m/>
    <m/>
    <m/>
    <m/>
    <x v="6"/>
    <m/>
    <m/>
    <m/>
    <m/>
    <m/>
    <m/>
  </r>
  <r>
    <x v="5"/>
    <x v="1"/>
    <x v="69"/>
    <x v="2"/>
    <n v="81970"/>
    <n v="11710000"/>
    <m/>
    <m/>
    <m/>
    <m/>
    <m/>
    <x v="6"/>
    <m/>
    <m/>
    <n v="11710000"/>
    <m/>
    <m/>
    <m/>
  </r>
  <r>
    <x v="5"/>
    <x v="1"/>
    <x v="69"/>
    <x v="3"/>
    <n v="304500"/>
    <n v="43500000"/>
    <m/>
    <m/>
    <m/>
    <m/>
    <m/>
    <x v="6"/>
    <m/>
    <m/>
    <n v="43500000"/>
    <m/>
    <m/>
    <m/>
  </r>
  <r>
    <x v="5"/>
    <x v="1"/>
    <x v="69"/>
    <x v="8"/>
    <n v="24500"/>
    <n v="3500000"/>
    <m/>
    <m/>
    <m/>
    <m/>
    <m/>
    <x v="6"/>
    <m/>
    <m/>
    <n v="3500000"/>
    <m/>
    <m/>
    <m/>
  </r>
  <r>
    <x v="6"/>
    <x v="1"/>
    <x v="70"/>
    <x v="1"/>
    <n v="17480"/>
    <n v="23000"/>
    <n v="23000"/>
    <m/>
    <m/>
    <m/>
    <m/>
    <x v="6"/>
    <m/>
    <m/>
    <m/>
    <m/>
    <m/>
    <m/>
  </r>
  <r>
    <x v="6"/>
    <x v="1"/>
    <x v="71"/>
    <x v="0"/>
    <n v="1197000"/>
    <n v="1575000"/>
    <n v="450000"/>
    <n v="450000"/>
    <m/>
    <m/>
    <n v="225000"/>
    <x v="41"/>
    <m/>
    <m/>
    <m/>
    <m/>
    <m/>
    <m/>
  </r>
  <r>
    <x v="6"/>
    <x v="2"/>
    <x v="72"/>
    <x v="3"/>
    <n v="82080"/>
    <n v="108000"/>
    <n v="108000"/>
    <m/>
    <m/>
    <m/>
    <m/>
    <x v="6"/>
    <m/>
    <m/>
    <m/>
    <m/>
    <m/>
    <m/>
  </r>
  <r>
    <x v="6"/>
    <x v="2"/>
    <x v="72"/>
    <x v="4"/>
    <n v="775481.2"/>
    <n v="1020370"/>
    <n v="102037"/>
    <n v="102037"/>
    <n v="102037"/>
    <n v="102037"/>
    <n v="102037"/>
    <x v="42"/>
    <n v="102037"/>
    <n v="102037"/>
    <n v="102037"/>
    <n v="102037"/>
    <m/>
    <m/>
  </r>
  <r>
    <x v="6"/>
    <x v="4"/>
    <x v="73"/>
    <x v="1"/>
    <n v="154618.96"/>
    <n v="203446"/>
    <m/>
    <m/>
    <n v="143446"/>
    <m/>
    <m/>
    <x v="6"/>
    <n v="15000"/>
    <n v="15000"/>
    <n v="15000"/>
    <n v="15000"/>
    <m/>
    <m/>
  </r>
  <r>
    <x v="6"/>
    <x v="4"/>
    <x v="73"/>
    <x v="2"/>
    <n v="156042.44"/>
    <n v="205319"/>
    <m/>
    <m/>
    <m/>
    <n v="205319"/>
    <m/>
    <x v="6"/>
    <m/>
    <m/>
    <m/>
    <m/>
    <m/>
    <m/>
  </r>
  <r>
    <x v="6"/>
    <x v="4"/>
    <x v="73"/>
    <x v="3"/>
    <n v="37415.56"/>
    <n v="49231"/>
    <m/>
    <m/>
    <n v="49231"/>
    <m/>
    <m/>
    <x v="6"/>
    <m/>
    <m/>
    <m/>
    <m/>
    <m/>
    <m/>
  </r>
  <r>
    <x v="6"/>
    <x v="4"/>
    <x v="73"/>
    <x v="4"/>
    <n v="67640"/>
    <n v="89000"/>
    <m/>
    <m/>
    <n v="89000"/>
    <m/>
    <m/>
    <x v="6"/>
    <m/>
    <m/>
    <m/>
    <m/>
    <m/>
    <m/>
  </r>
  <r>
    <x v="6"/>
    <x v="2"/>
    <x v="74"/>
    <x v="0"/>
    <n v="513000"/>
    <n v="675000"/>
    <m/>
    <m/>
    <m/>
    <m/>
    <m/>
    <x v="6"/>
    <n v="225000"/>
    <n v="225000"/>
    <n v="225000"/>
    <m/>
    <m/>
    <m/>
  </r>
  <r>
    <x v="6"/>
    <x v="2"/>
    <x v="74"/>
    <x v="1"/>
    <n v="69391.8"/>
    <n v="91305"/>
    <n v="1305"/>
    <m/>
    <m/>
    <m/>
    <m/>
    <x v="6"/>
    <n v="20000"/>
    <n v="35000"/>
    <n v="35000"/>
    <m/>
    <m/>
    <m/>
  </r>
  <r>
    <x v="6"/>
    <x v="2"/>
    <x v="74"/>
    <x v="3"/>
    <n v="259571.16"/>
    <n v="341541"/>
    <m/>
    <m/>
    <m/>
    <m/>
    <m/>
    <x v="6"/>
    <n v="113847"/>
    <n v="113847"/>
    <n v="113847"/>
    <m/>
    <m/>
    <m/>
  </r>
  <r>
    <x v="6"/>
    <x v="2"/>
    <x v="74"/>
    <x v="5"/>
    <n v="26600"/>
    <n v="35000"/>
    <m/>
    <m/>
    <m/>
    <m/>
    <m/>
    <x v="6"/>
    <m/>
    <m/>
    <n v="35000"/>
    <m/>
    <m/>
    <m/>
  </r>
  <r>
    <x v="6"/>
    <x v="4"/>
    <x v="75"/>
    <x v="0"/>
    <n v="255785.60000000001"/>
    <n v="336560"/>
    <m/>
    <m/>
    <m/>
    <m/>
    <m/>
    <x v="43"/>
    <n v="130000"/>
    <n v="130000"/>
    <m/>
    <m/>
    <m/>
    <m/>
  </r>
  <r>
    <x v="6"/>
    <x v="4"/>
    <x v="75"/>
    <x v="1"/>
    <n v="103360"/>
    <n v="136000"/>
    <m/>
    <m/>
    <m/>
    <m/>
    <m/>
    <x v="44"/>
    <n v="40000"/>
    <n v="40000"/>
    <m/>
    <m/>
    <m/>
    <m/>
  </r>
  <r>
    <x v="6"/>
    <x v="4"/>
    <x v="75"/>
    <x v="2"/>
    <n v="313362.44"/>
    <n v="412319"/>
    <m/>
    <n v="205319"/>
    <m/>
    <m/>
    <m/>
    <x v="45"/>
    <n v="69000"/>
    <n v="69000"/>
    <m/>
    <m/>
    <m/>
    <m/>
  </r>
  <r>
    <x v="6"/>
    <x v="4"/>
    <x v="75"/>
    <x v="3"/>
    <n v="650095.89839999995"/>
    <n v="855389.34"/>
    <m/>
    <n v="427694.67"/>
    <m/>
    <m/>
    <n v="427694.67"/>
    <x v="6"/>
    <m/>
    <m/>
    <m/>
    <m/>
    <m/>
    <m/>
  </r>
  <r>
    <x v="6"/>
    <x v="4"/>
    <x v="75"/>
    <x v="4"/>
    <n v="358229.04"/>
    <n v="471354"/>
    <m/>
    <n v="191354"/>
    <m/>
    <m/>
    <m/>
    <x v="46"/>
    <n v="70000"/>
    <n v="70000"/>
    <n v="70000"/>
    <m/>
    <m/>
    <m/>
  </r>
  <r>
    <x v="6"/>
    <x v="4"/>
    <x v="75"/>
    <x v="5"/>
    <n v="60800"/>
    <n v="80000"/>
    <m/>
    <n v="80000"/>
    <m/>
    <m/>
    <m/>
    <x v="6"/>
    <m/>
    <m/>
    <m/>
    <m/>
    <m/>
    <m/>
  </r>
  <r>
    <x v="6"/>
    <x v="1"/>
    <x v="76"/>
    <x v="5"/>
    <n v="293208"/>
    <n v="385800"/>
    <m/>
    <n v="60800"/>
    <n v="67000"/>
    <n v="134000"/>
    <n v="124000"/>
    <x v="6"/>
    <m/>
    <m/>
    <m/>
    <m/>
    <m/>
    <m/>
  </r>
  <r>
    <x v="6"/>
    <x v="2"/>
    <x v="77"/>
    <x v="0"/>
    <n v="855000"/>
    <n v="1125000"/>
    <m/>
    <m/>
    <n v="450000"/>
    <n v="450000"/>
    <n v="225000"/>
    <x v="6"/>
    <m/>
    <m/>
    <m/>
    <m/>
    <m/>
    <m/>
  </r>
  <r>
    <x v="6"/>
    <x v="2"/>
    <x v="77"/>
    <x v="1"/>
    <n v="166440"/>
    <n v="219000"/>
    <m/>
    <m/>
    <m/>
    <n v="210300"/>
    <n v="8700"/>
    <x v="6"/>
    <m/>
    <m/>
    <m/>
    <m/>
    <m/>
    <m/>
  </r>
  <r>
    <x v="6"/>
    <x v="2"/>
    <x v="77"/>
    <x v="2"/>
    <n v="279162.44"/>
    <n v="367319"/>
    <m/>
    <m/>
    <n v="205319"/>
    <m/>
    <n v="162000"/>
    <x v="6"/>
    <m/>
    <m/>
    <m/>
    <m/>
    <m/>
    <m/>
  </r>
  <r>
    <x v="6"/>
    <x v="2"/>
    <x v="77"/>
    <x v="3"/>
    <n v="650095.89839999995"/>
    <n v="855389.34"/>
    <m/>
    <m/>
    <n v="427694.67"/>
    <n v="427694.67"/>
    <m/>
    <x v="6"/>
    <m/>
    <m/>
    <m/>
    <m/>
    <m/>
    <m/>
  </r>
  <r>
    <x v="6"/>
    <x v="2"/>
    <x v="77"/>
    <x v="4"/>
    <n v="142393.60000000001"/>
    <n v="187360"/>
    <m/>
    <m/>
    <n v="93680"/>
    <n v="46840"/>
    <n v="46840"/>
    <x v="6"/>
    <m/>
    <m/>
    <m/>
    <m/>
    <m/>
    <m/>
  </r>
  <r>
    <x v="6"/>
    <x v="1"/>
    <x v="78"/>
    <x v="4"/>
    <n v="354540"/>
    <n v="466500"/>
    <m/>
    <m/>
    <n v="94500"/>
    <n v="62000"/>
    <n v="62000"/>
    <x v="47"/>
    <n v="62000"/>
    <n v="62000"/>
    <n v="62000"/>
    <m/>
    <m/>
    <m/>
  </r>
  <r>
    <x v="6"/>
    <x v="4"/>
    <x v="79"/>
    <x v="1"/>
    <n v="243200"/>
    <n v="320000"/>
    <m/>
    <m/>
    <m/>
    <m/>
    <m/>
    <x v="48"/>
    <n v="160000"/>
    <m/>
    <m/>
    <m/>
    <m/>
    <m/>
  </r>
  <r>
    <x v="6"/>
    <x v="4"/>
    <x v="79"/>
    <x v="2"/>
    <n v="47120"/>
    <n v="62000"/>
    <m/>
    <m/>
    <m/>
    <m/>
    <m/>
    <x v="47"/>
    <m/>
    <m/>
    <m/>
    <m/>
    <m/>
    <m/>
  </r>
  <r>
    <x v="6"/>
    <x v="4"/>
    <x v="79"/>
    <x v="3"/>
    <n v="0"/>
    <n v="0"/>
    <m/>
    <m/>
    <m/>
    <m/>
    <m/>
    <x v="6"/>
    <m/>
    <m/>
    <m/>
    <m/>
    <m/>
    <m/>
  </r>
  <r>
    <x v="6"/>
    <x v="4"/>
    <x v="79"/>
    <x v="4"/>
    <n v="62168"/>
    <n v="81800"/>
    <m/>
    <m/>
    <m/>
    <m/>
    <m/>
    <x v="49"/>
    <n v="40900"/>
    <m/>
    <m/>
    <m/>
    <m/>
    <m/>
  </r>
  <r>
    <x v="6"/>
    <x v="4"/>
    <x v="79"/>
    <x v="5"/>
    <n v="60800"/>
    <n v="80000"/>
    <m/>
    <m/>
    <m/>
    <m/>
    <m/>
    <x v="6"/>
    <n v="80000"/>
    <m/>
    <m/>
    <m/>
    <m/>
    <m/>
  </r>
  <r>
    <x v="6"/>
    <x v="1"/>
    <x v="80"/>
    <x v="1"/>
    <n v="342912"/>
    <n v="451200"/>
    <m/>
    <m/>
    <m/>
    <m/>
    <m/>
    <x v="50"/>
    <n v="62600"/>
    <n v="75600"/>
    <n v="62600"/>
    <n v="62600"/>
    <n v="62600"/>
    <n v="62600"/>
  </r>
  <r>
    <x v="6"/>
    <x v="1"/>
    <x v="80"/>
    <x v="2"/>
    <n v="330296"/>
    <n v="434600"/>
    <m/>
    <m/>
    <m/>
    <m/>
    <m/>
    <x v="47"/>
    <n v="62000"/>
    <n v="62000"/>
    <n v="62600"/>
    <n v="62000"/>
    <n v="62000"/>
    <n v="62000"/>
  </r>
  <r>
    <x v="6"/>
    <x v="1"/>
    <x v="80"/>
    <x v="0"/>
    <n v="171000"/>
    <n v="225000"/>
    <m/>
    <m/>
    <m/>
    <m/>
    <m/>
    <x v="6"/>
    <m/>
    <n v="225000"/>
    <m/>
    <m/>
    <m/>
    <m/>
  </r>
  <r>
    <x v="6"/>
    <x v="1"/>
    <x v="80"/>
    <x v="3"/>
    <n v="977422.32000000007"/>
    <n v="1286082"/>
    <m/>
    <m/>
    <m/>
    <m/>
    <m/>
    <x v="51"/>
    <n v="113847"/>
    <n v="103000"/>
    <n v="213847"/>
    <n v="213847"/>
    <n v="213847"/>
    <n v="213847"/>
  </r>
  <r>
    <x v="6"/>
    <x v="1"/>
    <x v="80"/>
    <x v="4"/>
    <n v="260528"/>
    <n v="342800"/>
    <m/>
    <m/>
    <m/>
    <m/>
    <m/>
    <x v="52"/>
    <n v="85700"/>
    <n v="85700"/>
    <n v="85700"/>
    <m/>
    <m/>
    <m/>
  </r>
  <r>
    <x v="6"/>
    <x v="1"/>
    <x v="81"/>
    <x v="3"/>
    <n v="243785.58000000002"/>
    <n v="320770.5"/>
    <m/>
    <m/>
    <m/>
    <m/>
    <m/>
    <x v="51"/>
    <n v="106923.5"/>
    <m/>
    <m/>
    <m/>
    <m/>
    <m/>
  </r>
  <r>
    <x v="6"/>
    <x v="1"/>
    <x v="82"/>
    <x v="3"/>
    <n v="514461.86"/>
    <n v="676923.5"/>
    <m/>
    <m/>
    <m/>
    <m/>
    <m/>
    <x v="6"/>
    <n v="150000"/>
    <n v="106923.5"/>
    <n v="140000"/>
    <n v="140000"/>
    <n v="140000"/>
    <m/>
  </r>
  <r>
    <x v="6"/>
    <x v="1"/>
    <x v="82"/>
    <x v="0"/>
    <n v="513000"/>
    <n v="675000"/>
    <m/>
    <m/>
    <m/>
    <m/>
    <m/>
    <x v="6"/>
    <m/>
    <m/>
    <n v="225000"/>
    <n v="450000"/>
    <m/>
    <m/>
  </r>
  <r>
    <x v="6"/>
    <x v="1"/>
    <x v="82"/>
    <x v="1"/>
    <n v="65360"/>
    <n v="86000"/>
    <m/>
    <m/>
    <m/>
    <m/>
    <m/>
    <x v="6"/>
    <m/>
    <m/>
    <n v="43000"/>
    <n v="43000"/>
    <m/>
    <m/>
  </r>
  <r>
    <x v="6"/>
    <x v="4"/>
    <x v="83"/>
    <x v="0"/>
    <n v="34200"/>
    <n v="45000"/>
    <m/>
    <m/>
    <m/>
    <m/>
    <m/>
    <x v="6"/>
    <m/>
    <m/>
    <n v="45000"/>
    <m/>
    <m/>
    <m/>
  </r>
  <r>
    <x v="6"/>
    <x v="4"/>
    <x v="83"/>
    <x v="3"/>
    <n v="319200"/>
    <n v="420000"/>
    <m/>
    <m/>
    <m/>
    <m/>
    <m/>
    <x v="6"/>
    <m/>
    <m/>
    <n v="140000"/>
    <n v="140000"/>
    <n v="140000"/>
    <m/>
  </r>
  <r>
    <x v="6"/>
    <x v="4"/>
    <x v="83"/>
    <x v="2"/>
    <n v="47120"/>
    <n v="62000"/>
    <m/>
    <m/>
    <m/>
    <m/>
    <m/>
    <x v="6"/>
    <m/>
    <m/>
    <n v="62000"/>
    <m/>
    <m/>
    <m/>
  </r>
  <r>
    <x v="6"/>
    <x v="4"/>
    <x v="83"/>
    <x v="1"/>
    <n v="39520"/>
    <n v="52000"/>
    <m/>
    <m/>
    <m/>
    <m/>
    <m/>
    <x v="6"/>
    <m/>
    <m/>
    <n v="52000"/>
    <m/>
    <m/>
    <m/>
  </r>
  <r>
    <x v="7"/>
    <x v="1"/>
    <x v="84"/>
    <x v="0"/>
    <n v="1960000"/>
    <n v="392000000"/>
    <n v="28000000"/>
    <n v="28000000"/>
    <n v="28000000"/>
    <n v="28000000"/>
    <n v="56000000"/>
    <x v="53"/>
    <n v="56000000"/>
    <n v="56000000"/>
    <n v="56000000"/>
    <m/>
    <m/>
    <m/>
  </r>
  <r>
    <x v="7"/>
    <x v="1"/>
    <x v="84"/>
    <x v="1"/>
    <n v="742918.76777500007"/>
    <n v="148583753.55500001"/>
    <m/>
    <m/>
    <n v="26872160"/>
    <n v="84239909"/>
    <n v="17321188"/>
    <x v="54"/>
    <m/>
    <n v="0"/>
    <m/>
    <m/>
    <m/>
    <m/>
  </r>
  <r>
    <x v="7"/>
    <x v="1"/>
    <x v="84"/>
    <x v="3"/>
    <n v="1563100"/>
    <n v="312620000"/>
    <n v="60199999.999999993"/>
    <n v="54720000"/>
    <n v="36500000"/>
    <n v="80950000"/>
    <n v="80250000"/>
    <x v="6"/>
    <n v="0"/>
    <n v="0"/>
    <m/>
    <m/>
    <m/>
    <m/>
  </r>
  <r>
    <x v="7"/>
    <x v="1"/>
    <x v="84"/>
    <x v="4"/>
    <n v="163100"/>
    <n v="32620000"/>
    <n v="7000000"/>
    <n v="5600000"/>
    <n v="6020000"/>
    <n v="7000000"/>
    <n v="7000000"/>
    <x v="6"/>
    <m/>
    <n v="0"/>
    <m/>
    <m/>
    <m/>
    <m/>
  </r>
  <r>
    <x v="7"/>
    <x v="1"/>
    <x v="84"/>
    <x v="5"/>
    <n v="135295.57"/>
    <n v="27059114"/>
    <n v="6802490"/>
    <n v="6752208"/>
    <n v="6752208"/>
    <n v="6752208"/>
    <m/>
    <x v="6"/>
    <m/>
    <n v="0"/>
    <m/>
    <m/>
    <m/>
    <m/>
  </r>
  <r>
    <x v="7"/>
    <x v="1"/>
    <x v="85"/>
    <x v="0"/>
    <n v="120000"/>
    <n v="24000000"/>
    <m/>
    <m/>
    <n v="24000000"/>
    <m/>
    <m/>
    <x v="6"/>
    <m/>
    <n v="0"/>
    <m/>
    <m/>
    <m/>
    <m/>
  </r>
  <r>
    <x v="7"/>
    <x v="1"/>
    <x v="85"/>
    <x v="1"/>
    <n v="828545.85499999998"/>
    <n v="165709171"/>
    <m/>
    <n v="65342554"/>
    <n v="100366617"/>
    <m/>
    <m/>
    <x v="6"/>
    <m/>
    <n v="0"/>
    <m/>
    <m/>
    <m/>
    <m/>
  </r>
  <r>
    <x v="7"/>
    <x v="1"/>
    <x v="85"/>
    <x v="3"/>
    <n v="351160"/>
    <n v="70232000"/>
    <m/>
    <n v="27360000"/>
    <n v="42872000"/>
    <n v="0"/>
    <n v="0"/>
    <x v="6"/>
    <n v="0"/>
    <n v="0"/>
    <m/>
    <m/>
    <m/>
    <m/>
  </r>
  <r>
    <x v="7"/>
    <x v="1"/>
    <x v="85"/>
    <x v="2"/>
    <n v="24500"/>
    <n v="4900000"/>
    <m/>
    <n v="2800000"/>
    <n v="2100000"/>
    <m/>
    <m/>
    <x v="6"/>
    <m/>
    <n v="0"/>
    <m/>
    <m/>
    <m/>
    <m/>
  </r>
  <r>
    <x v="7"/>
    <x v="1"/>
    <x v="69"/>
    <x v="1"/>
    <n v="127578.22140000001"/>
    <n v="25515644.280000001"/>
    <m/>
    <m/>
    <m/>
    <m/>
    <m/>
    <x v="55"/>
    <n v="9471996"/>
    <m/>
    <m/>
    <m/>
    <m/>
    <m/>
  </r>
  <r>
    <x v="7"/>
    <x v="1"/>
    <x v="69"/>
    <x v="3"/>
    <n v="572500"/>
    <n v="114500000"/>
    <m/>
    <m/>
    <m/>
    <m/>
    <m/>
    <x v="56"/>
    <n v="31150000"/>
    <n v="31150000"/>
    <m/>
    <m/>
    <m/>
    <m/>
  </r>
  <r>
    <x v="7"/>
    <x v="1"/>
    <x v="69"/>
    <x v="2"/>
    <n v="105000"/>
    <n v="21000000"/>
    <m/>
    <m/>
    <m/>
    <m/>
    <m/>
    <x v="57"/>
    <n v="7000000"/>
    <n v="7000000"/>
    <m/>
    <m/>
    <m/>
    <m/>
  </r>
  <r>
    <x v="7"/>
    <x v="1"/>
    <x v="69"/>
    <x v="5"/>
    <n v="57435.154999999999"/>
    <n v="11487031"/>
    <m/>
    <m/>
    <m/>
    <m/>
    <m/>
    <x v="58"/>
    <m/>
    <n v="0"/>
    <m/>
    <m/>
    <m/>
    <m/>
  </r>
  <r>
    <x v="7"/>
    <x v="1"/>
    <x v="86"/>
    <x v="0"/>
    <n v="560000"/>
    <n v="112000000"/>
    <n v="28000000"/>
    <n v="28000000"/>
    <n v="28000000"/>
    <n v="28000000"/>
    <m/>
    <x v="6"/>
    <m/>
    <m/>
    <m/>
    <m/>
    <m/>
    <m/>
  </r>
  <r>
    <x v="7"/>
    <x v="1"/>
    <x v="86"/>
    <x v="1"/>
    <n v="63175.755000000005"/>
    <n v="12635151"/>
    <m/>
    <m/>
    <n v="12635151"/>
    <m/>
    <m/>
    <x v="6"/>
    <m/>
    <n v="0"/>
    <m/>
    <m/>
    <m/>
    <m/>
  </r>
  <r>
    <x v="7"/>
    <x v="1"/>
    <x v="86"/>
    <x v="3"/>
    <n v="312000"/>
    <n v="62400000"/>
    <n v="25800000"/>
    <n v="9120000"/>
    <n v="13980000"/>
    <n v="6750000"/>
    <n v="6750000"/>
    <x v="6"/>
    <n v="0"/>
    <n v="0"/>
    <m/>
    <m/>
    <m/>
    <m/>
  </r>
  <r>
    <x v="7"/>
    <x v="1"/>
    <x v="86"/>
    <x v="2"/>
    <n v="162400"/>
    <n v="32480000"/>
    <n v="7000000"/>
    <n v="5600000"/>
    <n v="5880000"/>
    <n v="7000000"/>
    <n v="7000000"/>
    <x v="6"/>
    <m/>
    <n v="0"/>
    <m/>
    <m/>
    <m/>
    <m/>
  </r>
  <r>
    <x v="7"/>
    <x v="1"/>
    <x v="86"/>
    <x v="5"/>
    <n v="535134.16500000004"/>
    <n v="107026833"/>
    <n v="54163510"/>
    <n v="40664095"/>
    <n v="12199228"/>
    <m/>
    <m/>
    <x v="6"/>
    <m/>
    <n v="0"/>
    <m/>
    <m/>
    <m/>
    <m/>
  </r>
  <r>
    <x v="7"/>
    <x v="1"/>
    <x v="62"/>
    <x v="1"/>
    <n v="54703.577349999992"/>
    <n v="10940715.469999999"/>
    <m/>
    <m/>
    <m/>
    <m/>
    <m/>
    <x v="59"/>
    <n v="3967200"/>
    <m/>
    <m/>
    <m/>
    <m/>
    <m/>
  </r>
  <r>
    <x v="7"/>
    <x v="1"/>
    <x v="62"/>
    <x v="2"/>
    <n v="14000"/>
    <n v="2800000"/>
    <m/>
    <m/>
    <m/>
    <m/>
    <m/>
    <x v="6"/>
    <n v="1400000"/>
    <n v="1400000"/>
    <m/>
    <m/>
    <m/>
    <m/>
  </r>
  <r>
    <x v="7"/>
    <x v="1"/>
    <x v="87"/>
    <x v="0"/>
    <n v="200000"/>
    <n v="40000000"/>
    <m/>
    <m/>
    <m/>
    <m/>
    <m/>
    <x v="60"/>
    <m/>
    <n v="0"/>
    <m/>
    <m/>
    <m/>
    <m/>
  </r>
  <r>
    <x v="7"/>
    <x v="1"/>
    <x v="88"/>
    <x v="1"/>
    <n v="76411.525850000005"/>
    <n v="15282305.17"/>
    <m/>
    <m/>
    <m/>
    <m/>
    <m/>
    <x v="61"/>
    <m/>
    <m/>
    <m/>
    <m/>
    <m/>
    <m/>
  </r>
  <r>
    <x v="7"/>
    <x v="1"/>
    <x v="88"/>
    <x v="3"/>
    <n v="517500"/>
    <n v="103500000"/>
    <m/>
    <m/>
    <m/>
    <m/>
    <m/>
    <x v="62"/>
    <n v="13350000"/>
    <n v="13350000"/>
    <n v="42000000"/>
    <m/>
    <m/>
    <m/>
  </r>
  <r>
    <x v="7"/>
    <x v="1"/>
    <x v="88"/>
    <x v="2"/>
    <n v="98500"/>
    <n v="19700000"/>
    <m/>
    <m/>
    <m/>
    <m/>
    <m/>
    <x v="57"/>
    <n v="5600000"/>
    <n v="5600000"/>
    <n v="1500000"/>
    <m/>
    <m/>
    <m/>
  </r>
  <r>
    <x v="7"/>
    <x v="1"/>
    <x v="89"/>
    <x v="1"/>
    <n v="27833.940000000002"/>
    <n v="5566788"/>
    <m/>
    <m/>
    <m/>
    <m/>
    <m/>
    <x v="6"/>
    <m/>
    <n v="4846788"/>
    <n v="720000"/>
    <m/>
    <m/>
    <m/>
  </r>
  <r>
    <x v="7"/>
    <x v="1"/>
    <x v="90"/>
    <x v="2"/>
    <n v="42500"/>
    <n v="8500000"/>
    <m/>
    <m/>
    <m/>
    <m/>
    <m/>
    <x v="6"/>
    <m/>
    <m/>
    <n v="8500000"/>
    <m/>
    <m/>
    <m/>
  </r>
  <r>
    <x v="7"/>
    <x v="1"/>
    <x v="90"/>
    <x v="5"/>
    <n v="31864.405000000002"/>
    <n v="6372881"/>
    <m/>
    <m/>
    <m/>
    <m/>
    <m/>
    <x v="6"/>
    <m/>
    <m/>
    <n v="6372881"/>
    <m/>
    <m/>
    <m/>
  </r>
  <r>
    <x v="7"/>
    <x v="1"/>
    <x v="91"/>
    <x v="2"/>
    <n v="20000"/>
    <n v="4000000"/>
    <m/>
    <m/>
    <m/>
    <m/>
    <m/>
    <x v="6"/>
    <m/>
    <m/>
    <n v="4000000"/>
    <m/>
    <m/>
    <m/>
  </r>
  <r>
    <x v="7"/>
    <x v="1"/>
    <x v="91"/>
    <x v="5"/>
    <n v="31864.405000000002"/>
    <n v="6372881"/>
    <m/>
    <m/>
    <m/>
    <m/>
    <m/>
    <x v="6"/>
    <m/>
    <m/>
    <n v="6372881"/>
    <m/>
    <m/>
    <m/>
  </r>
  <r>
    <x v="8"/>
    <x v="1"/>
    <x v="92"/>
    <x v="2"/>
    <n v="10896.300000000001"/>
    <n v="9000"/>
    <m/>
    <m/>
    <m/>
    <m/>
    <m/>
    <x v="6"/>
    <m/>
    <m/>
    <m/>
    <m/>
    <m/>
    <m/>
  </r>
  <r>
    <x v="8"/>
    <x v="1"/>
    <x v="92"/>
    <x v="4"/>
    <n v="149473.02200000003"/>
    <n v="123460"/>
    <m/>
    <m/>
    <m/>
    <m/>
    <m/>
    <x v="6"/>
    <m/>
    <m/>
    <m/>
    <m/>
    <m/>
    <m/>
  </r>
  <r>
    <x v="8"/>
    <x v="1"/>
    <x v="92"/>
    <x v="1"/>
    <n v="11138.44"/>
    <n v="9200"/>
    <m/>
    <m/>
    <m/>
    <m/>
    <m/>
    <x v="6"/>
    <m/>
    <m/>
    <m/>
    <m/>
    <m/>
    <m/>
  </r>
  <r>
    <x v="8"/>
    <x v="1"/>
    <x v="93"/>
    <x v="2"/>
    <n v="10896.300000000001"/>
    <n v="9000"/>
    <m/>
    <m/>
    <m/>
    <m/>
    <m/>
    <x v="6"/>
    <m/>
    <m/>
    <m/>
    <m/>
    <m/>
    <m/>
  </r>
  <r>
    <x v="8"/>
    <x v="1"/>
    <x v="93"/>
    <x v="4"/>
    <n v="145909.93190000003"/>
    <n v="120517"/>
    <m/>
    <m/>
    <m/>
    <m/>
    <m/>
    <x v="6"/>
    <m/>
    <m/>
    <m/>
    <m/>
    <m/>
    <m/>
  </r>
  <r>
    <x v="8"/>
    <x v="1"/>
    <x v="94"/>
    <x v="3"/>
    <n v="71531.788100000005"/>
    <n v="59083"/>
    <m/>
    <m/>
    <m/>
    <m/>
    <m/>
    <x v="6"/>
    <m/>
    <m/>
    <m/>
    <m/>
    <m/>
    <m/>
  </r>
  <r>
    <x v="8"/>
    <x v="1"/>
    <x v="94"/>
    <x v="2"/>
    <n v="10896.300000000001"/>
    <n v="9000"/>
    <m/>
    <m/>
    <m/>
    <m/>
    <m/>
    <x v="6"/>
    <m/>
    <m/>
    <m/>
    <m/>
    <m/>
    <m/>
  </r>
  <r>
    <x v="8"/>
    <x v="1"/>
    <x v="94"/>
    <x v="4"/>
    <n v="99176.911900000006"/>
    <n v="81917"/>
    <m/>
    <m/>
    <m/>
    <m/>
    <m/>
    <x v="6"/>
    <m/>
    <m/>
    <m/>
    <m/>
    <m/>
    <m/>
  </r>
  <r>
    <x v="8"/>
    <x v="1"/>
    <x v="95"/>
    <x v="5"/>
    <n v="6683.0640000000003"/>
    <n v="5520"/>
    <m/>
    <m/>
    <m/>
    <m/>
    <m/>
    <x v="6"/>
    <m/>
    <m/>
    <m/>
    <m/>
    <m/>
    <m/>
  </r>
  <r>
    <x v="8"/>
    <x v="1"/>
    <x v="95"/>
    <x v="2"/>
    <n v="19371.2"/>
    <n v="16000"/>
    <m/>
    <m/>
    <m/>
    <m/>
    <m/>
    <x v="6"/>
    <m/>
    <m/>
    <m/>
    <m/>
    <m/>
    <m/>
  </r>
  <r>
    <x v="8"/>
    <x v="1"/>
    <x v="95"/>
    <x v="1"/>
    <n v="15860.170000000002"/>
    <n v="13100"/>
    <m/>
    <m/>
    <m/>
    <m/>
    <m/>
    <x v="6"/>
    <m/>
    <m/>
    <m/>
    <m/>
    <m/>
    <m/>
  </r>
  <r>
    <x v="8"/>
    <x v="1"/>
    <x v="96"/>
    <x v="2"/>
    <n v="15739.100000000002"/>
    <n v="13000"/>
    <m/>
    <m/>
    <m/>
    <m/>
    <m/>
    <x v="6"/>
    <m/>
    <m/>
    <m/>
    <m/>
    <m/>
    <m/>
  </r>
  <r>
    <x v="8"/>
    <x v="1"/>
    <x v="96"/>
    <x v="1"/>
    <n v="15860.170000000002"/>
    <n v="13100"/>
    <m/>
    <m/>
    <m/>
    <m/>
    <m/>
    <x v="6"/>
    <m/>
    <m/>
    <m/>
    <m/>
    <m/>
    <m/>
  </r>
  <r>
    <x v="8"/>
    <x v="1"/>
    <x v="97"/>
    <x v="5"/>
    <n v="15032.051200000002"/>
    <n v="12416"/>
    <m/>
    <m/>
    <m/>
    <m/>
    <m/>
    <x v="6"/>
    <m/>
    <m/>
    <m/>
    <m/>
    <m/>
    <m/>
  </r>
  <r>
    <x v="8"/>
    <x v="1"/>
    <x v="97"/>
    <x v="2"/>
    <n v="36387.588500000005"/>
    <n v="30055"/>
    <m/>
    <m/>
    <m/>
    <m/>
    <m/>
    <x v="6"/>
    <m/>
    <m/>
    <m/>
    <m/>
    <m/>
    <m/>
  </r>
  <r>
    <x v="8"/>
    <x v="1"/>
    <x v="97"/>
    <x v="1"/>
    <n v="61079.815000000002"/>
    <n v="50450"/>
    <m/>
    <m/>
    <m/>
    <m/>
    <m/>
    <x v="6"/>
    <m/>
    <m/>
    <m/>
    <m/>
    <m/>
    <m/>
  </r>
  <r>
    <x v="8"/>
    <x v="1"/>
    <x v="98"/>
    <x v="0"/>
    <n v="22809.588000000003"/>
    <n v="18840"/>
    <m/>
    <m/>
    <m/>
    <m/>
    <m/>
    <x v="6"/>
    <m/>
    <m/>
    <m/>
    <m/>
    <m/>
    <m/>
  </r>
  <r>
    <x v="8"/>
    <x v="1"/>
    <x v="98"/>
    <x v="3"/>
    <n v="55625.611500000006"/>
    <n v="45945"/>
    <m/>
    <m/>
    <m/>
    <m/>
    <m/>
    <x v="6"/>
    <m/>
    <m/>
    <m/>
    <m/>
    <m/>
    <m/>
  </r>
  <r>
    <x v="8"/>
    <x v="1"/>
    <x v="98"/>
    <x v="5"/>
    <n v="27337.606000000003"/>
    <n v="22580"/>
    <m/>
    <m/>
    <m/>
    <m/>
    <m/>
    <x v="6"/>
    <m/>
    <m/>
    <m/>
    <m/>
    <m/>
    <m/>
  </r>
  <r>
    <x v="8"/>
    <x v="1"/>
    <x v="98"/>
    <x v="2"/>
    <n v="21563.777700000002"/>
    <n v="17811"/>
    <m/>
    <m/>
    <m/>
    <m/>
    <m/>
    <x v="6"/>
    <m/>
    <m/>
    <m/>
    <m/>
    <m/>
    <m/>
  </r>
  <r>
    <x v="8"/>
    <x v="1"/>
    <x v="98"/>
    <x v="1"/>
    <n v="57241.896000000008"/>
    <n v="47280"/>
    <m/>
    <m/>
    <m/>
    <m/>
    <m/>
    <x v="6"/>
    <m/>
    <m/>
    <m/>
    <m/>
    <m/>
    <m/>
  </r>
  <r>
    <x v="8"/>
    <x v="1"/>
    <x v="99"/>
    <x v="3"/>
    <n v="55625.611500000006"/>
    <n v="45945"/>
    <m/>
    <m/>
    <m/>
    <m/>
    <m/>
    <x v="6"/>
    <m/>
    <m/>
    <m/>
    <m/>
    <m/>
    <m/>
  </r>
  <r>
    <x v="8"/>
    <x v="1"/>
    <x v="99"/>
    <x v="5"/>
    <n v="30742.094400000002"/>
    <n v="25392"/>
    <m/>
    <m/>
    <m/>
    <m/>
    <m/>
    <x v="6"/>
    <m/>
    <m/>
    <m/>
    <m/>
    <m/>
    <m/>
  </r>
  <r>
    <x v="8"/>
    <x v="1"/>
    <x v="99"/>
    <x v="2"/>
    <n v="23756.3554"/>
    <n v="19622"/>
    <m/>
    <m/>
    <m/>
    <m/>
    <m/>
    <x v="6"/>
    <m/>
    <m/>
    <m/>
    <m/>
    <m/>
    <m/>
  </r>
  <r>
    <x v="8"/>
    <x v="1"/>
    <x v="99"/>
    <x v="1"/>
    <n v="21017.752"/>
    <n v="17360"/>
    <m/>
    <m/>
    <m/>
    <m/>
    <m/>
    <x v="6"/>
    <m/>
    <m/>
    <m/>
    <m/>
    <m/>
    <m/>
  </r>
  <r>
    <x v="9"/>
    <x v="2"/>
    <x v="100"/>
    <x v="1"/>
    <n v="1737095.7772000001"/>
    <n v="6203913.4900000002"/>
    <n v="566629.75"/>
    <n v="681175.75"/>
    <n v="681175.75"/>
    <n v="949123.75"/>
    <n v="663617"/>
    <x v="63"/>
    <n v="788828.48"/>
    <n v="788828.48"/>
    <n v="229955.01"/>
    <m/>
    <m/>
    <m/>
  </r>
  <r>
    <x v="9"/>
    <x v="2"/>
    <x v="100"/>
    <x v="3"/>
    <n v="75735.240000000005"/>
    <n v="270483"/>
    <m/>
    <n v="44172"/>
    <n v="0"/>
    <n v="0"/>
    <n v="226311"/>
    <x v="64"/>
    <n v="0"/>
    <n v="0"/>
    <n v="0"/>
    <m/>
    <m/>
    <m/>
  </r>
  <r>
    <x v="9"/>
    <x v="2"/>
    <x v="100"/>
    <x v="4"/>
    <n v="3011100.7164000007"/>
    <n v="10753931.130000001"/>
    <n v="513000"/>
    <n v="873875"/>
    <n v="1062237"/>
    <n v="1588829"/>
    <n v="1588829"/>
    <x v="65"/>
    <n v="1559596.08"/>
    <n v="1395022"/>
    <n v="1106689.8"/>
    <m/>
    <m/>
    <m/>
  </r>
  <r>
    <x v="9"/>
    <x v="2"/>
    <x v="100"/>
    <x v="2"/>
    <n v="1254906.3044"/>
    <n v="4481808.2299999995"/>
    <n v="267337.59999999998"/>
    <n v="267337.59999999998"/>
    <n v="338021"/>
    <n v="665239"/>
    <n v="327218"/>
    <x v="66"/>
    <n v="551385.92000000004"/>
    <n v="551385.92000000004"/>
    <n v="506057.33"/>
    <m/>
    <m/>
    <m/>
  </r>
  <r>
    <x v="9"/>
    <x v="2"/>
    <x v="100"/>
    <x v="5"/>
    <n v="715863.70520000008"/>
    <n v="2556656.09"/>
    <n v="334400"/>
    <n v="150128"/>
    <n v="150128"/>
    <n v="387219.20000000001"/>
    <n v="317798.2"/>
    <x v="67"/>
    <n v="0"/>
    <n v="605598"/>
    <n v="189270"/>
    <m/>
    <m/>
    <m/>
  </r>
  <r>
    <x v="9"/>
    <x v="2"/>
    <x v="100"/>
    <x v="7"/>
    <n v="482980.4"/>
    <n v="1724930"/>
    <m/>
    <n v="862465"/>
    <n v="862465"/>
    <n v="0"/>
    <n v="0"/>
    <x v="68"/>
    <n v="0"/>
    <n v="0"/>
    <n v="0"/>
    <m/>
    <m/>
    <m/>
  </r>
  <r>
    <x v="9"/>
    <x v="1"/>
    <x v="101"/>
    <x v="1"/>
    <n v="6643.8372000000008"/>
    <n v="23727.99"/>
    <m/>
    <m/>
    <m/>
    <m/>
    <m/>
    <x v="6"/>
    <m/>
    <m/>
    <n v="23727.99"/>
    <m/>
    <m/>
    <m/>
  </r>
  <r>
    <x v="9"/>
    <x v="1"/>
    <x v="101"/>
    <x v="1"/>
    <n v="25335.609600000003"/>
    <n v="90484.32"/>
    <m/>
    <m/>
    <m/>
    <m/>
    <m/>
    <x v="6"/>
    <m/>
    <m/>
    <n v="90484.32"/>
    <m/>
    <m/>
    <m/>
  </r>
  <r>
    <x v="9"/>
    <x v="1"/>
    <x v="101"/>
    <x v="1"/>
    <n v="19493.334000000003"/>
    <n v="69619.05"/>
    <m/>
    <m/>
    <m/>
    <m/>
    <m/>
    <x v="6"/>
    <m/>
    <m/>
    <n v="69619.05"/>
    <m/>
    <m/>
    <m/>
  </r>
  <r>
    <x v="9"/>
    <x v="1"/>
    <x v="102"/>
    <x v="1"/>
    <n v="154.58800000000002"/>
    <n v="552.1"/>
    <m/>
    <m/>
    <m/>
    <m/>
    <m/>
    <x v="6"/>
    <m/>
    <m/>
    <n v="552.1"/>
    <m/>
    <m/>
    <m/>
  </r>
  <r>
    <x v="9"/>
    <x v="1"/>
    <x v="102"/>
    <x v="1"/>
    <n v="662.71800000000007"/>
    <n v="2366.85"/>
    <m/>
    <m/>
    <m/>
    <m/>
    <m/>
    <x v="6"/>
    <m/>
    <m/>
    <n v="2366.85"/>
    <m/>
    <m/>
    <m/>
  </r>
  <r>
    <x v="9"/>
    <x v="1"/>
    <x v="103"/>
    <x v="1"/>
    <n v="4861.4356000000007"/>
    <n v="17362.27"/>
    <m/>
    <m/>
    <m/>
    <m/>
    <m/>
    <x v="6"/>
    <m/>
    <m/>
    <n v="17362.27"/>
    <m/>
    <m/>
    <m/>
  </r>
  <r>
    <x v="9"/>
    <x v="1"/>
    <x v="103"/>
    <x v="1"/>
    <n v="7235.8804000000009"/>
    <n v="25842.43"/>
    <m/>
    <m/>
    <m/>
    <m/>
    <m/>
    <x v="6"/>
    <m/>
    <m/>
    <n v="25842.4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9">
  <r>
    <x v="0"/>
    <x v="0"/>
    <s v="CIB"/>
    <s v="CIB THEMATIC"/>
    <s v="Television"/>
    <n v="81964.608000000007"/>
    <n v="62094.400000000001"/>
    <m/>
    <m/>
    <m/>
    <n v="27337.759999999998"/>
    <n v="23628.32"/>
    <n v="11128.32"/>
    <m/>
    <m/>
    <m/>
    <m/>
    <m/>
    <m/>
  </r>
  <r>
    <x v="0"/>
    <x v="0"/>
    <s v="CIB"/>
    <s v="CIB THEMATIC"/>
    <s v="Digital"/>
    <n v="105600"/>
    <n v="80000"/>
    <m/>
    <m/>
    <m/>
    <m/>
    <n v="40000"/>
    <n v="40000"/>
    <m/>
    <m/>
    <m/>
    <m/>
    <m/>
    <m/>
  </r>
  <r>
    <x v="0"/>
    <x v="0"/>
    <s v="CIB"/>
    <s v="CIB THEMATIC"/>
    <s v="DOOH"/>
    <n v="132977.11680000002"/>
    <n v="100740.24"/>
    <m/>
    <m/>
    <m/>
    <n v="33580.080000000002"/>
    <n v="33580.080000000002"/>
    <n v="33580.080000000002"/>
    <m/>
    <m/>
    <m/>
    <m/>
    <m/>
    <m/>
  </r>
  <r>
    <x v="0"/>
    <x v="0"/>
    <s v="CIB"/>
    <s v="CIB THEMATIC"/>
    <s v="Radio"/>
    <n v="40125.465599999996"/>
    <n v="30398.079999999998"/>
    <m/>
    <m/>
    <m/>
    <n v="11968.4"/>
    <n v="9214.84"/>
    <n v="9214.84"/>
    <m/>
    <m/>
    <m/>
    <m/>
    <m/>
    <m/>
  </r>
  <r>
    <x v="0"/>
    <x v="0"/>
    <s v="CIB"/>
    <s v="CIB THEMATIC"/>
    <s v="OOH"/>
    <n v="39600"/>
    <n v="30000"/>
    <m/>
    <m/>
    <m/>
    <n v="10000"/>
    <n v="10000"/>
    <n v="10000"/>
    <m/>
    <m/>
    <m/>
    <m/>
    <m/>
    <m/>
  </r>
  <r>
    <x v="0"/>
    <x v="0"/>
    <s v="CIB"/>
    <s v="CIB THEMATIC"/>
    <s v="Print"/>
    <n v="60429.600000000006"/>
    <n v="45780"/>
    <m/>
    <m/>
    <m/>
    <n v="12570"/>
    <n v="16650"/>
    <n v="16560"/>
    <m/>
    <m/>
    <m/>
    <m/>
    <m/>
    <m/>
  </r>
  <r>
    <x v="0"/>
    <x v="0"/>
    <s v="CIB"/>
    <s v="CIB THEMATIC"/>
    <s v="Online Publications"/>
    <n v="25290.671999999999"/>
    <n v="19159.599999999999"/>
    <m/>
    <m/>
    <m/>
    <n v="9579.7999999999993"/>
    <n v="9579.7999999999993"/>
    <m/>
    <m/>
    <m/>
    <m/>
    <m/>
    <m/>
    <m/>
  </r>
  <r>
    <x v="0"/>
    <x v="0"/>
    <s v="CIB"/>
    <s v="CIB ACCESS"/>
    <s v="Television"/>
    <n v="105272.95680000001"/>
    <n v="79752.240000000005"/>
    <n v="20401.919999999998"/>
    <n v="27820.080000000002"/>
    <n v="31530.240000000002"/>
    <m/>
    <m/>
    <m/>
    <m/>
    <m/>
    <m/>
    <m/>
    <m/>
    <m/>
  </r>
  <r>
    <x v="0"/>
    <x v="0"/>
    <s v="CIB"/>
    <s v="CIB ACCESS"/>
    <s v="Digital"/>
    <n v="132000"/>
    <n v="100000"/>
    <n v="25000"/>
    <n v="25000"/>
    <n v="25000"/>
    <n v="25000"/>
    <m/>
    <m/>
    <m/>
    <m/>
    <m/>
    <m/>
    <m/>
    <m/>
  </r>
  <r>
    <x v="0"/>
    <x v="0"/>
    <s v="CIB"/>
    <s v="CIB ACCESS"/>
    <s v="OOH"/>
    <n v="346159.96800000005"/>
    <n v="262242.40000000002"/>
    <n v="84080.8"/>
    <n v="94080.8"/>
    <n v="84080.8"/>
    <m/>
    <m/>
    <m/>
    <m/>
    <m/>
    <m/>
    <m/>
    <m/>
    <m/>
  </r>
  <r>
    <x v="0"/>
    <x v="0"/>
    <s v="CIB"/>
    <s v="CIB ACCESS"/>
    <s v="Print"/>
    <n v="124250.808"/>
    <n v="94129.4"/>
    <n v="40715.160000000003"/>
    <n v="53414.239999999998"/>
    <m/>
    <m/>
    <m/>
    <m/>
    <m/>
    <m/>
    <m/>
    <m/>
    <m/>
    <m/>
  </r>
  <r>
    <x v="0"/>
    <x v="0"/>
    <s v="CIB"/>
    <s v="CIB ACCESS"/>
    <s v="Online Publications"/>
    <n v="16914.902399999999"/>
    <n v="12814.32"/>
    <n v="12814.32"/>
    <m/>
    <m/>
    <m/>
    <m/>
    <m/>
    <m/>
    <m/>
    <m/>
    <m/>
    <m/>
    <m/>
  </r>
  <r>
    <x v="0"/>
    <x v="0"/>
    <s v="RBB"/>
    <s v="CARD ACQUISITION"/>
    <s v="Radio"/>
    <n v="36607.955999999998"/>
    <n v="27733.3"/>
    <n v="27733.3"/>
    <m/>
    <m/>
    <m/>
    <m/>
    <m/>
    <m/>
    <m/>
    <m/>
    <m/>
    <m/>
    <m/>
  </r>
  <r>
    <x v="0"/>
    <x v="0"/>
    <s v="RBB"/>
    <s v="CARD ACQUISITION"/>
    <s v="OOH"/>
    <n v="170115.6336"/>
    <n v="128875.48"/>
    <n v="128875.48"/>
    <m/>
    <m/>
    <m/>
    <m/>
    <m/>
    <m/>
    <m/>
    <m/>
    <m/>
    <m/>
    <m/>
  </r>
  <r>
    <x v="0"/>
    <x v="0"/>
    <s v="RBB"/>
    <s v="CARD ACQUISITION"/>
    <s v="Print"/>
    <n v="36128.400000000001"/>
    <n v="27370"/>
    <n v="27370"/>
    <m/>
    <m/>
    <m/>
    <m/>
    <m/>
    <m/>
    <m/>
    <m/>
    <m/>
    <m/>
    <m/>
  </r>
  <r>
    <x v="0"/>
    <x v="0"/>
    <s v="RBB"/>
    <s v="CARD ACQUISITION"/>
    <s v="Online Publications"/>
    <n v="33987.360000000001"/>
    <n v="25748"/>
    <n v="25748"/>
    <m/>
    <m/>
    <m/>
    <m/>
    <m/>
    <m/>
    <m/>
    <m/>
    <m/>
    <m/>
    <m/>
  </r>
  <r>
    <x v="0"/>
    <x v="0"/>
    <s v="RBB"/>
    <s v="SELECTIVE RECEIVABLE FINANCE"/>
    <s v="Digital"/>
    <n v="46200"/>
    <n v="35000"/>
    <m/>
    <m/>
    <m/>
    <m/>
    <m/>
    <n v="35000"/>
    <m/>
    <m/>
    <m/>
    <m/>
    <m/>
    <m/>
  </r>
  <r>
    <x v="0"/>
    <x v="0"/>
    <s v="RBB"/>
    <s v="SELECTIVE RECEIVABLE FINANCE"/>
    <s v="DOOH"/>
    <n v="125769.60000000001"/>
    <n v="95280"/>
    <m/>
    <m/>
    <m/>
    <n v="31760"/>
    <n v="31760"/>
    <n v="31760"/>
    <m/>
    <m/>
    <m/>
    <m/>
    <m/>
    <m/>
  </r>
  <r>
    <x v="0"/>
    <x v="0"/>
    <s v="RBB"/>
    <s v="SELECTIVE RECEIVABLE FINANCE"/>
    <s v="OOH"/>
    <n v="23760"/>
    <n v="18000"/>
    <m/>
    <m/>
    <m/>
    <n v="6000"/>
    <n v="6000"/>
    <n v="6000"/>
    <m/>
    <m/>
    <m/>
    <m/>
    <m/>
    <m/>
  </r>
  <r>
    <x v="0"/>
    <x v="0"/>
    <s v="RBB"/>
    <s v="SELECTIVE RECEIVABLE FINANCE"/>
    <s v="Print"/>
    <n v="57655.804800000005"/>
    <n v="43678.64"/>
    <m/>
    <m/>
    <m/>
    <n v="43678.64"/>
    <m/>
    <m/>
    <m/>
    <m/>
    <m/>
    <m/>
    <m/>
    <m/>
  </r>
  <r>
    <x v="0"/>
    <x v="0"/>
    <s v="RBB"/>
    <s v="SELECTIVE RECEIVABLE FINANCE"/>
    <s v="Online Publications"/>
    <n v="12647.712000000001"/>
    <n v="9581.6"/>
    <m/>
    <m/>
    <m/>
    <n v="9581.6"/>
    <m/>
    <m/>
    <m/>
    <m/>
    <m/>
    <m/>
    <m/>
    <m/>
  </r>
  <r>
    <x v="0"/>
    <x v="0"/>
    <s v="Brand"/>
    <s v="BRAND"/>
    <s v="OOH"/>
    <n v="269599.1496"/>
    <n v="204241.78"/>
    <m/>
    <m/>
    <n v="8393"/>
    <n v="48795.3"/>
    <n v="5964.48"/>
    <n v="71489"/>
    <n v="69600"/>
    <m/>
    <m/>
    <m/>
    <m/>
    <m/>
  </r>
  <r>
    <x v="0"/>
    <x v="0"/>
    <s v="Brand"/>
    <s v="BRAND"/>
    <s v="Print"/>
    <n v="568510.04760000005"/>
    <n v="430689.43"/>
    <m/>
    <n v="78901"/>
    <n v="114324.56"/>
    <n v="86809.75"/>
    <n v="57224.92"/>
    <n v="66209.2"/>
    <n v="27220"/>
    <m/>
    <m/>
    <m/>
    <m/>
    <m/>
  </r>
  <r>
    <x v="0"/>
    <x v="0"/>
    <s v="RBB"/>
    <s v="WIN A TRUCK"/>
    <s v="Digital"/>
    <n v="153978"/>
    <n v="116650"/>
    <m/>
    <m/>
    <m/>
    <m/>
    <n v="35000"/>
    <n v="35000"/>
    <n v="46650"/>
    <m/>
    <m/>
    <m/>
    <m/>
    <m/>
  </r>
  <r>
    <x v="0"/>
    <x v="0"/>
    <s v="RBB"/>
    <s v="WIN A TRUCK"/>
    <s v="DOOH"/>
    <n v="220616.08799999999"/>
    <n v="167133.4"/>
    <m/>
    <m/>
    <m/>
    <m/>
    <n v="39824"/>
    <n v="39824"/>
    <n v="48742.400000000001"/>
    <n v="38743"/>
    <m/>
    <m/>
    <m/>
    <m/>
  </r>
  <r>
    <x v="0"/>
    <x v="0"/>
    <s v="RBB"/>
    <s v="WIN A TRUCK"/>
    <s v="Radio"/>
    <n v="88914.605999999985"/>
    <n v="67359.549999999988"/>
    <m/>
    <m/>
    <m/>
    <m/>
    <n v="16160"/>
    <n v="14500"/>
    <n v="16899.95"/>
    <n v="19799.599999999999"/>
    <m/>
    <m/>
    <m/>
    <m/>
  </r>
  <r>
    <x v="0"/>
    <x v="0"/>
    <s v="RBB"/>
    <s v="WIN A TRUCK"/>
    <s v="OOH"/>
    <n v="390367.56"/>
    <n v="295733"/>
    <m/>
    <m/>
    <m/>
    <m/>
    <m/>
    <n v="252695"/>
    <n v="21519"/>
    <n v="21519"/>
    <m/>
    <m/>
    <m/>
    <m/>
  </r>
  <r>
    <x v="0"/>
    <x v="0"/>
    <s v="RBB"/>
    <s v="WIN A TRUCK"/>
    <s v="Print"/>
    <n v="67181.122799999997"/>
    <n v="50894.79"/>
    <m/>
    <m/>
    <m/>
    <m/>
    <n v="22981.79"/>
    <m/>
    <n v="21326"/>
    <n v="6587"/>
    <m/>
    <m/>
    <m/>
    <m/>
  </r>
  <r>
    <x v="0"/>
    <x v="0"/>
    <s v="RBB"/>
    <s v="WIN A TRUCK"/>
    <s v="Online Publications"/>
    <n v="23474.880000000001"/>
    <n v="17784"/>
    <m/>
    <m/>
    <m/>
    <m/>
    <n v="7784"/>
    <n v="10000"/>
    <m/>
    <m/>
    <m/>
    <m/>
    <m/>
    <m/>
  </r>
  <r>
    <x v="0"/>
    <x v="0"/>
    <s v="RBB"/>
    <s v="WIN A MORAKA"/>
    <s v="Digital"/>
    <n v="74778"/>
    <n v="56650"/>
    <m/>
    <m/>
    <m/>
    <m/>
    <m/>
    <m/>
    <n v="56650"/>
    <m/>
    <m/>
    <m/>
    <m/>
    <m/>
  </r>
  <r>
    <x v="0"/>
    <x v="0"/>
    <s v="RBB"/>
    <s v="WIN A MORAKA"/>
    <s v="Television"/>
    <n v="26142.600000000002"/>
    <n v="19805"/>
    <m/>
    <m/>
    <m/>
    <m/>
    <m/>
    <m/>
    <n v="9902.5"/>
    <n v="9902.5"/>
    <m/>
    <m/>
    <m/>
    <m/>
  </r>
  <r>
    <x v="0"/>
    <x v="0"/>
    <s v="RBB"/>
    <s v="WIN A MORAKA"/>
    <s v="Radio"/>
    <n v="139946.4"/>
    <n v="106020"/>
    <m/>
    <m/>
    <m/>
    <m/>
    <m/>
    <m/>
    <n v="79740.100000000006"/>
    <n v="26279.9"/>
    <m/>
    <m/>
    <m/>
    <m/>
  </r>
  <r>
    <x v="0"/>
    <x v="0"/>
    <s v="RBB"/>
    <s v="WIN A MORAKA"/>
    <s v="DOOH"/>
    <n v="83371.305600000007"/>
    <n v="63160.08"/>
    <m/>
    <m/>
    <m/>
    <m/>
    <m/>
    <m/>
    <n v="31580"/>
    <n v="31580.080000000002"/>
    <m/>
    <m/>
    <m/>
    <m/>
  </r>
  <r>
    <x v="0"/>
    <x v="0"/>
    <s v="RBB"/>
    <s v="WIN A MORAKA"/>
    <s v="Print"/>
    <n v="44657.712"/>
    <n v="33831.599999999999"/>
    <m/>
    <m/>
    <m/>
    <m/>
    <m/>
    <m/>
    <n v="24476.6"/>
    <n v="9355"/>
    <m/>
    <m/>
    <m/>
    <m/>
  </r>
  <r>
    <x v="0"/>
    <x v="0"/>
    <s v="RBB"/>
    <s v="WIN A MORAKA"/>
    <s v="OOH"/>
    <n v="28405.08"/>
    <n v="21519"/>
    <m/>
    <m/>
    <m/>
    <m/>
    <m/>
    <m/>
    <n v="21519"/>
    <m/>
    <m/>
    <m/>
    <m/>
    <m/>
  </r>
  <r>
    <x v="0"/>
    <x v="0"/>
    <s v="RBB"/>
    <s v="WIN A MORAKA"/>
    <s v="Online Publications"/>
    <n v="29412.240000000002"/>
    <n v="22282"/>
    <m/>
    <m/>
    <m/>
    <m/>
    <m/>
    <m/>
    <n v="22282"/>
    <m/>
    <m/>
    <m/>
    <m/>
    <m/>
  </r>
  <r>
    <x v="0"/>
    <x v="0"/>
    <s v="RBB"/>
    <s v="BRAND"/>
    <s v="Print"/>
    <n v="96638.52"/>
    <n v="73211"/>
    <m/>
    <m/>
    <m/>
    <m/>
    <m/>
    <m/>
    <n v="73211"/>
    <m/>
    <m/>
    <m/>
    <m/>
    <m/>
  </r>
  <r>
    <x v="0"/>
    <x v="0"/>
    <s v="RBB"/>
    <s v="BRAND"/>
    <s v="OOH"/>
    <n v="142755.36000000002"/>
    <n v="108148"/>
    <m/>
    <m/>
    <m/>
    <m/>
    <m/>
    <m/>
    <n v="71498"/>
    <n v="36650"/>
    <m/>
    <m/>
    <m/>
    <m/>
  </r>
  <r>
    <x v="0"/>
    <x v="0"/>
    <s v="RBB"/>
    <s v="BUSINESS BANKING CREDIT CARD"/>
    <s v="Digital"/>
    <n v="83358"/>
    <n v="63150"/>
    <m/>
    <m/>
    <m/>
    <m/>
    <m/>
    <m/>
    <n v="36650"/>
    <n v="26500"/>
    <m/>
    <m/>
    <m/>
    <m/>
  </r>
  <r>
    <x v="0"/>
    <x v="0"/>
    <s v="RBB"/>
    <s v="BUSINESS BANKING CREDIT CARD"/>
    <s v="DOOH"/>
    <n v="34980"/>
    <n v="26500"/>
    <m/>
    <m/>
    <m/>
    <m/>
    <m/>
    <m/>
    <n v="26500"/>
    <m/>
    <m/>
    <m/>
    <m/>
    <m/>
  </r>
  <r>
    <x v="0"/>
    <x v="0"/>
    <s v="RBB"/>
    <s v="BUSINESS BANKING CREDIT CARD"/>
    <s v="Print"/>
    <n v="33811.800000000003"/>
    <n v="25615"/>
    <m/>
    <m/>
    <m/>
    <m/>
    <m/>
    <m/>
    <n v="25615"/>
    <m/>
    <m/>
    <m/>
    <m/>
    <m/>
  </r>
  <r>
    <x v="0"/>
    <x v="0"/>
    <s v="RBB"/>
    <s v="BUSINESS BANKING CREDIT CARD"/>
    <s v="Online Publications"/>
    <n v="12646.655999999999"/>
    <n v="9580.7999999999993"/>
    <m/>
    <m/>
    <m/>
    <m/>
    <m/>
    <m/>
    <n v="9580.7999999999993"/>
    <m/>
    <m/>
    <m/>
    <m/>
    <m/>
  </r>
  <r>
    <x v="0"/>
    <x v="0"/>
    <s v="RBB"/>
    <s v="GREEN ENERGY LOANS"/>
    <s v="Digital"/>
    <n v="157476"/>
    <n v="119300"/>
    <m/>
    <m/>
    <m/>
    <m/>
    <m/>
    <m/>
    <n v="59650"/>
    <n v="59650"/>
    <m/>
    <m/>
    <m/>
    <m/>
  </r>
  <r>
    <x v="0"/>
    <x v="0"/>
    <s v="RBB"/>
    <s v="GREEN ENERGY LOANS"/>
    <s v="Radio"/>
    <n v="45583.89"/>
    <n v="34533.25"/>
    <m/>
    <m/>
    <m/>
    <m/>
    <m/>
    <m/>
    <n v="13813.3"/>
    <n v="20719.95"/>
    <m/>
    <m/>
    <m/>
    <m/>
  </r>
  <r>
    <x v="0"/>
    <x v="0"/>
    <s v="RBB"/>
    <s v="GREEN ENERGY LOANS"/>
    <s v="DOOH"/>
    <n v="103382.82240000002"/>
    <n v="78320.320000000007"/>
    <m/>
    <m/>
    <m/>
    <m/>
    <m/>
    <m/>
    <n v="39160.160000000003"/>
    <n v="39160.160000000003"/>
    <m/>
    <m/>
    <m/>
    <m/>
  </r>
  <r>
    <x v="0"/>
    <x v="0"/>
    <s v="RBB"/>
    <s v="GREEN ENERGY LOANS"/>
    <s v="Print"/>
    <n v="43169.279999999999"/>
    <n v="32704"/>
    <m/>
    <m/>
    <m/>
    <m/>
    <m/>
    <m/>
    <n v="19632"/>
    <n v="13072"/>
    <m/>
    <m/>
    <m/>
    <m/>
  </r>
  <r>
    <x v="0"/>
    <x v="0"/>
    <s v="RBB"/>
    <s v="GREEN ENERGY LOANS"/>
    <s v="Online Publications"/>
    <n v="33219.648000000001"/>
    <n v="25166.400000000001"/>
    <m/>
    <m/>
    <m/>
    <m/>
    <m/>
    <m/>
    <n v="12583.2"/>
    <n v="12583.2"/>
    <m/>
    <m/>
    <m/>
    <m/>
  </r>
  <r>
    <x v="0"/>
    <x v="0"/>
    <s v="RBB"/>
    <s v="PURPOSE ACCOUNT"/>
    <s v="Digital"/>
    <n v="57618"/>
    <n v="43650"/>
    <m/>
    <m/>
    <m/>
    <m/>
    <m/>
    <m/>
    <m/>
    <n v="43650"/>
    <m/>
    <m/>
    <m/>
    <m/>
  </r>
  <r>
    <x v="0"/>
    <x v="0"/>
    <s v="RBB"/>
    <s v="PURPOSE ACCOUNT"/>
    <s v="Radio"/>
    <n v="20407.992000000002"/>
    <n v="15460.6"/>
    <m/>
    <m/>
    <m/>
    <m/>
    <m/>
    <m/>
    <m/>
    <n v="15460.6"/>
    <m/>
    <m/>
    <m/>
    <m/>
  </r>
  <r>
    <x v="0"/>
    <x v="0"/>
    <s v="RBB"/>
    <s v="PURPOSE ACCOUNT"/>
    <s v="DOOH"/>
    <n v="40365.705600000001"/>
    <n v="30580.080000000002"/>
    <m/>
    <m/>
    <m/>
    <m/>
    <m/>
    <m/>
    <m/>
    <n v="30580.080000000002"/>
    <m/>
    <m/>
    <m/>
    <m/>
  </r>
  <r>
    <x v="0"/>
    <x v="0"/>
    <s v="RBB"/>
    <s v="PURPOSE ACCOUNT"/>
    <s v="Print"/>
    <n v="40503.196800000005"/>
    <n v="30684.240000000002"/>
    <m/>
    <m/>
    <m/>
    <m/>
    <m/>
    <m/>
    <m/>
    <n v="30684.240000000002"/>
    <m/>
    <m/>
    <m/>
    <m/>
  </r>
  <r>
    <x v="0"/>
    <x v="0"/>
    <s v="RBB"/>
    <s v="PURPOSE ACCOUNT"/>
    <s v="Online Publications"/>
    <n v="12172.406400000002"/>
    <n v="9221.52"/>
    <m/>
    <m/>
    <m/>
    <m/>
    <m/>
    <m/>
    <m/>
    <n v="9221.52"/>
    <m/>
    <m/>
    <m/>
    <m/>
  </r>
  <r>
    <x v="1"/>
    <x v="1"/>
    <s v="RBB"/>
    <s v="SME LOANS @10 BOOSTER CAMPAIGN"/>
    <s v="Digital"/>
    <n v="105153.06479999999"/>
    <n v="62591.11"/>
    <n v="16800"/>
    <n v="21793.99"/>
    <n v="23997.119999999999"/>
    <m/>
    <m/>
    <m/>
    <m/>
    <m/>
    <m/>
    <m/>
    <m/>
    <m/>
  </r>
  <r>
    <x v="1"/>
    <x v="1"/>
    <s v="RBB"/>
    <s v="SME LOANS @10 BOOSTER CAMPAIGN"/>
    <s v="Radio"/>
    <n v="754106.43311460677"/>
    <n v="448872.87685393263"/>
    <n v="181557.3468539326"/>
    <n v="202085.51"/>
    <n v="65230.020000000004"/>
    <m/>
    <m/>
    <m/>
    <m/>
    <m/>
    <m/>
    <m/>
    <m/>
    <m/>
  </r>
  <r>
    <x v="1"/>
    <x v="1"/>
    <s v="RBB"/>
    <s v="SME LOANS @10 BOOSTER CAMPAIGN"/>
    <s v="OOH"/>
    <n v="220977.65760000001"/>
    <n v="131534.32"/>
    <n v="59137.159999999996"/>
    <n v="59137.159999999996"/>
    <n v="13260"/>
    <m/>
    <m/>
    <m/>
    <m/>
    <m/>
    <m/>
    <m/>
    <m/>
    <m/>
  </r>
  <r>
    <x v="1"/>
    <x v="1"/>
    <s v="RBB"/>
    <s v="SME LOANS @10 BOOSTER CAMPAIGN"/>
    <s v="Other"/>
    <n v="213060.12"/>
    <n v="126821.5"/>
    <n v="6961.5"/>
    <n v="119860"/>
    <m/>
    <m/>
    <m/>
    <m/>
    <m/>
    <m/>
    <m/>
    <m/>
    <m/>
    <m/>
  </r>
  <r>
    <x v="1"/>
    <x v="1"/>
    <s v="RBB"/>
    <s v="PRINT ONLY CAMPAIGNS"/>
    <s v="Print"/>
    <n v="349283.74924800004"/>
    <n v="207906.99360000002"/>
    <n v="11588.45"/>
    <n v="11588.45"/>
    <n v="83795.16"/>
    <n v="28559.55"/>
    <n v="12747.29"/>
    <n v="12747.29"/>
    <n v="25494.573600000003"/>
    <m/>
    <n v="21386.23"/>
    <m/>
    <m/>
    <m/>
  </r>
  <r>
    <x v="1"/>
    <x v="1"/>
    <s v="RBB"/>
    <s v="OOH ONLY CAMPAIGNS - ADHOC"/>
    <s v="OOH"/>
    <n v="16800"/>
    <n v="10000"/>
    <m/>
    <m/>
    <m/>
    <m/>
    <m/>
    <m/>
    <m/>
    <m/>
    <n v="10000"/>
    <m/>
    <m/>
    <m/>
  </r>
  <r>
    <x v="1"/>
    <x v="1"/>
    <s v="RBB"/>
    <s v="DIGITAL CAMPAIGNS ONLY"/>
    <s v="Digital"/>
    <n v="282836.34119999997"/>
    <n v="168354.965"/>
    <n v="819.15000000000009"/>
    <n v="13911.150000000001"/>
    <n v="13655.559999999998"/>
    <n v="25444.32"/>
    <n v="7938.91"/>
    <n v="38343.565000000002"/>
    <n v="30477.23"/>
    <n v="37765.08"/>
    <m/>
    <m/>
    <m/>
    <m/>
  </r>
  <r>
    <x v="1"/>
    <x v="1"/>
    <s v="RBB"/>
    <s v="Airport OOH"/>
    <s v="OOH"/>
    <n v="1236748.8336"/>
    <n v="736160.02"/>
    <m/>
    <n v="89551.33"/>
    <n v="92372.67"/>
    <n v="92372.67"/>
    <n v="92372.67"/>
    <n v="92372.67"/>
    <n v="92372.67"/>
    <n v="92372.67"/>
    <n v="92372.67"/>
    <m/>
    <m/>
    <m/>
  </r>
  <r>
    <x v="1"/>
    <x v="1"/>
    <s v="RBB"/>
    <s v="Ready To Work Webinar"/>
    <s v="Television"/>
    <n v="4712.3999999999996"/>
    <n v="2805"/>
    <m/>
    <n v="1275"/>
    <m/>
    <m/>
    <n v="1530"/>
    <m/>
    <m/>
    <m/>
    <m/>
    <m/>
    <m/>
    <m/>
  </r>
  <r>
    <x v="1"/>
    <x v="1"/>
    <s v="RBB"/>
    <s v="Ready To Work Webinar"/>
    <s v="Digital"/>
    <n v="35186.565811200002"/>
    <n v="20944.384411428571"/>
    <m/>
    <n v="13498.264411428572"/>
    <m/>
    <m/>
    <n v="7446.12"/>
    <m/>
    <m/>
    <m/>
    <m/>
    <m/>
    <m/>
    <m/>
  </r>
  <r>
    <x v="1"/>
    <x v="1"/>
    <s v="RBB"/>
    <s v="Ready To Work Webinar"/>
    <s v="Radio"/>
    <n v="39298.568399999996"/>
    <n v="23392.004999999997"/>
    <m/>
    <n v="11568.074999999999"/>
    <m/>
    <m/>
    <n v="11823.93"/>
    <m/>
    <m/>
    <m/>
    <m/>
    <m/>
    <m/>
    <m/>
  </r>
  <r>
    <x v="1"/>
    <x v="1"/>
    <s v="RBB"/>
    <s v="Acquisition Campaign"/>
    <s v="Television"/>
    <n v="758609.04839999997"/>
    <n v="451553.005"/>
    <m/>
    <m/>
    <m/>
    <m/>
    <m/>
    <m/>
    <n v="322783.89500000002"/>
    <n v="128769.11"/>
    <m/>
    <m/>
    <m/>
    <m/>
  </r>
  <r>
    <x v="1"/>
    <x v="1"/>
    <s v="RBB"/>
    <s v="Acquisition Campaign"/>
    <s v="Digital"/>
    <n v="465411.87839999999"/>
    <n v="277030.88"/>
    <m/>
    <m/>
    <n v="44979.839999999997"/>
    <n v="38426.559999999998"/>
    <n v="9236"/>
    <n v="30422.720000000001"/>
    <n v="35821.599999999999"/>
    <n v="35821.599999999999"/>
    <n v="82322.559999999998"/>
    <m/>
    <m/>
    <m/>
  </r>
  <r>
    <x v="1"/>
    <x v="1"/>
    <s v="RBB"/>
    <s v="Acquisition Campaign"/>
    <s v="Radio"/>
    <n v="2406789.6636000006"/>
    <n v="1432612.8950000003"/>
    <m/>
    <m/>
    <n v="222231.67250000002"/>
    <n v="286994.36249999999"/>
    <n v="204376.7"/>
    <n v="179752.54"/>
    <n v="179752.54"/>
    <n v="179752.54"/>
    <n v="179752.54"/>
    <m/>
    <m/>
    <m/>
  </r>
  <r>
    <x v="1"/>
    <x v="1"/>
    <s v="RBB"/>
    <s v="Acquisition Campaign"/>
    <s v="OOH"/>
    <n v="2786259.6047999999"/>
    <n v="1658487.8599999999"/>
    <m/>
    <m/>
    <n v="267831.98"/>
    <n v="267831.98"/>
    <n v="267831.98"/>
    <n v="267831.98"/>
    <n v="267831.98"/>
    <n v="232798.98"/>
    <n v="86528.98"/>
    <m/>
    <m/>
    <m/>
  </r>
  <r>
    <x v="1"/>
    <x v="1"/>
    <s v="RBB"/>
    <s v="Acquisition Campaign"/>
    <s v="Print"/>
    <n v="327555.04269600002"/>
    <n v="194973.23970000001"/>
    <m/>
    <m/>
    <n v="48743"/>
    <n v="36557.56"/>
    <n v="48743.413200000003"/>
    <n v="36557.5599"/>
    <n v="24371.706600000001"/>
    <m/>
    <m/>
    <m/>
    <m/>
    <m/>
  </r>
  <r>
    <x v="1"/>
    <x v="1"/>
    <s v="RBB"/>
    <s v="KASOA RE-OPENING"/>
    <s v="Digital"/>
    <n v="15175.439999999999"/>
    <n v="9033"/>
    <m/>
    <m/>
    <m/>
    <m/>
    <m/>
    <m/>
    <n v="8200"/>
    <m/>
    <n v="833"/>
    <m/>
    <m/>
    <m/>
  </r>
  <r>
    <x v="1"/>
    <x v="1"/>
    <s v="RBB"/>
    <s v="KASOA RE-OPENING"/>
    <s v="Radio"/>
    <n v="21869.82"/>
    <n v="13017.75"/>
    <m/>
    <m/>
    <m/>
    <m/>
    <m/>
    <m/>
    <n v="13017.75"/>
    <m/>
    <m/>
    <m/>
    <m/>
    <m/>
  </r>
  <r>
    <x v="1"/>
    <x v="1"/>
    <s v="RBB"/>
    <s v="KASOA RE-OPENING"/>
    <s v="OOH"/>
    <n v="13776"/>
    <n v="8200"/>
    <m/>
    <m/>
    <m/>
    <m/>
    <m/>
    <m/>
    <n v="8200"/>
    <m/>
    <m/>
    <m/>
    <m/>
    <m/>
  </r>
  <r>
    <x v="1"/>
    <x v="1"/>
    <s v="CIB"/>
    <s v="KASOA RE-OPENING"/>
    <s v="Print"/>
    <n v="11040.099336000001"/>
    <n v="6571.4877000000006"/>
    <m/>
    <m/>
    <m/>
    <m/>
    <m/>
    <m/>
    <n v="6571.4877000000006"/>
    <m/>
    <m/>
    <m/>
    <m/>
    <m/>
  </r>
  <r>
    <x v="1"/>
    <x v="1"/>
    <s v="CIB"/>
    <s v="KASOA RE-OPENING"/>
    <s v="Other"/>
    <n v="50904"/>
    <n v="30300"/>
    <m/>
    <m/>
    <m/>
    <m/>
    <m/>
    <m/>
    <n v="30300"/>
    <m/>
    <m/>
    <m/>
    <m/>
    <m/>
  </r>
  <r>
    <x v="1"/>
    <x v="1"/>
    <s v="CIB"/>
    <s v="MOBITAP"/>
    <s v="Digital"/>
    <n v="52996.675199999998"/>
    <n v="31545.64"/>
    <m/>
    <m/>
    <m/>
    <m/>
    <m/>
    <m/>
    <n v="15772.82"/>
    <n v="15772.82"/>
    <m/>
    <m/>
    <m/>
    <m/>
  </r>
  <r>
    <x v="1"/>
    <x v="1"/>
    <s v="RBB"/>
    <s v="MOBITAP"/>
    <s v="Radio"/>
    <n v="111304.60319999998"/>
    <n v="66252.739999999991"/>
    <m/>
    <m/>
    <m/>
    <m/>
    <m/>
    <m/>
    <n v="66252.739999999991"/>
    <m/>
    <m/>
    <m/>
    <m/>
    <m/>
  </r>
  <r>
    <x v="1"/>
    <x v="1"/>
    <s v="RBB"/>
    <s v="MOBITAP"/>
    <s v="Print"/>
    <n v="31841.105184000004"/>
    <n v="18953.038800000002"/>
    <m/>
    <m/>
    <m/>
    <m/>
    <m/>
    <m/>
    <n v="18953.038800000002"/>
    <m/>
    <m/>
    <m/>
    <m/>
    <m/>
  </r>
  <r>
    <x v="1"/>
    <x v="1"/>
    <s v="RBB"/>
    <s v="INSPIRE ME"/>
    <s v="Digital"/>
    <n v="15964.317599999998"/>
    <n v="9502.57"/>
    <m/>
    <m/>
    <m/>
    <m/>
    <m/>
    <m/>
    <n v="9502.57"/>
    <m/>
    <m/>
    <m/>
    <m/>
    <m/>
  </r>
  <r>
    <x v="1"/>
    <x v="1"/>
    <s v="RBB"/>
    <s v="INSPIRE ME"/>
    <s v="Radio"/>
    <n v="20940.191999999999"/>
    <n v="12464.4"/>
    <m/>
    <m/>
    <m/>
    <m/>
    <m/>
    <m/>
    <n v="12464.4"/>
    <m/>
    <m/>
    <m/>
    <m/>
    <m/>
  </r>
  <r>
    <x v="1"/>
    <x v="1"/>
    <s v="RBB"/>
    <s v="BLACKSTAR MARATHON"/>
    <s v="Digital"/>
    <n v="36929.323199999999"/>
    <n v="21981.74"/>
    <m/>
    <m/>
    <m/>
    <m/>
    <m/>
    <m/>
    <n v="10990.87"/>
    <n v="10990.87"/>
    <m/>
    <m/>
    <m/>
    <m/>
  </r>
  <r>
    <x v="1"/>
    <x v="1"/>
    <s v="RBB"/>
    <s v="BLACKSTAR MARATHON"/>
    <s v="Radio"/>
    <n v="25221.335999999999"/>
    <n v="15012.7"/>
    <m/>
    <m/>
    <m/>
    <m/>
    <m/>
    <m/>
    <n v="15012.7"/>
    <m/>
    <m/>
    <m/>
    <m/>
    <m/>
  </r>
  <r>
    <x v="1"/>
    <x v="1"/>
    <s v="RBB"/>
    <s v="Agency Banking"/>
    <s v="Radio"/>
    <n v="265483.6569"/>
    <n v="158025.98625000002"/>
    <m/>
    <m/>
    <m/>
    <m/>
    <m/>
    <m/>
    <m/>
    <n v="105350.6575"/>
    <n v="52675.328750000001"/>
    <m/>
    <m/>
    <m/>
  </r>
  <r>
    <x v="1"/>
    <x v="1"/>
    <s v="RBB"/>
    <s v="SHE BUSINESS"/>
    <s v="Television"/>
    <n v="83357.500799999994"/>
    <n v="49617.56"/>
    <m/>
    <m/>
    <m/>
    <n v="40130.03"/>
    <n v="9487.5300000000007"/>
    <m/>
    <m/>
    <m/>
    <m/>
    <m/>
    <m/>
    <m/>
  </r>
  <r>
    <x v="1"/>
    <x v="1"/>
    <s v="RBB"/>
    <s v="SHE BUSINESS"/>
    <s v="Digital"/>
    <n v="52901.125199999995"/>
    <n v="31488.764999999999"/>
    <m/>
    <m/>
    <m/>
    <n v="10840.5"/>
    <n v="11222.145"/>
    <m/>
    <m/>
    <n v="9426.1200000000008"/>
    <m/>
    <m/>
    <m/>
    <m/>
  </r>
  <r>
    <x v="1"/>
    <x v="1"/>
    <s v="RBB"/>
    <s v="SHE BUSINESS"/>
    <s v="Radio"/>
    <n v="219386.69339999999"/>
    <n v="130587.3175"/>
    <m/>
    <m/>
    <m/>
    <n v="79654"/>
    <n v="50933.317499999997"/>
    <m/>
    <m/>
    <m/>
    <m/>
    <m/>
    <m/>
    <m/>
  </r>
  <r>
    <x v="1"/>
    <x v="1"/>
    <s v="RBB"/>
    <s v="SHE BUSINESS"/>
    <s v="Print"/>
    <n v="64246.324800000002"/>
    <n v="38241.86"/>
    <m/>
    <m/>
    <m/>
    <n v="25494.57"/>
    <n v="12747.29"/>
    <m/>
    <m/>
    <m/>
    <m/>
    <m/>
    <m/>
    <m/>
  </r>
  <r>
    <x v="1"/>
    <x v="1"/>
    <s v="RBB"/>
    <s v="GLOBAL FINANCE"/>
    <s v="Digital"/>
    <n v="17806.7736"/>
    <n v="10599.27"/>
    <m/>
    <m/>
    <m/>
    <n v="10599.27"/>
    <m/>
    <m/>
    <m/>
    <m/>
    <m/>
    <m/>
    <m/>
    <m/>
  </r>
  <r>
    <x v="1"/>
    <x v="1"/>
    <s v="RBB"/>
    <s v="GLOBAL FINANCE"/>
    <s v="OOH"/>
    <n v="50400"/>
    <n v="30000"/>
    <m/>
    <m/>
    <m/>
    <n v="30000"/>
    <m/>
    <m/>
    <m/>
    <m/>
    <m/>
    <m/>
    <m/>
    <m/>
  </r>
  <r>
    <x v="1"/>
    <x v="1"/>
    <s v="RBB"/>
    <s v="GLOBAL FINANCE"/>
    <s v="Print"/>
    <n v="30443.279999999999"/>
    <n v="18121"/>
    <m/>
    <m/>
    <m/>
    <n v="18121"/>
    <m/>
    <m/>
    <m/>
    <m/>
    <m/>
    <m/>
    <m/>
    <m/>
  </r>
  <r>
    <x v="1"/>
    <x v="1"/>
    <s v="RBB"/>
    <s v="Mastercard Partnership"/>
    <s v="Television"/>
    <n v="482040.86363999994"/>
    <n v="286929.08549999999"/>
    <m/>
    <m/>
    <m/>
    <m/>
    <m/>
    <n v="286929.08549999999"/>
    <m/>
    <m/>
    <m/>
    <m/>
    <m/>
    <m/>
  </r>
  <r>
    <x v="1"/>
    <x v="1"/>
    <s v="RBB"/>
    <s v="Mastercard Partnership"/>
    <s v="Digital"/>
    <n v="96540.225599999991"/>
    <n v="57464.42"/>
    <m/>
    <m/>
    <m/>
    <m/>
    <m/>
    <n v="8221.8799999999992"/>
    <n v="24621.27"/>
    <n v="24621.27"/>
    <n v="0"/>
    <n v="0"/>
    <n v="0"/>
    <n v="0"/>
  </r>
  <r>
    <x v="2"/>
    <x v="2"/>
    <s v="Brand"/>
    <s v="Absa ARO ROA Social Corner SuperSport Sponsorship"/>
    <s v="Digital"/>
    <n v="3168846"/>
    <n v="3168846"/>
    <m/>
    <m/>
    <m/>
    <m/>
    <m/>
    <m/>
    <m/>
    <n v="3168846"/>
    <m/>
    <m/>
    <m/>
    <m/>
  </r>
  <r>
    <x v="2"/>
    <x v="2"/>
    <s v="CIB"/>
    <s v="Absa ARO_CIB_Transactional Banking_AIS Custody DGT"/>
    <s v="Digital"/>
    <n v="13323.63"/>
    <n v="13323.63"/>
    <m/>
    <m/>
    <m/>
    <m/>
    <m/>
    <m/>
    <m/>
    <n v="13323.63"/>
    <m/>
    <m/>
    <m/>
    <m/>
  </r>
  <r>
    <x v="2"/>
    <x v="2"/>
    <s v="Brand"/>
    <s v="Absa ARO_MEST Sponsorship "/>
    <s v="Digital"/>
    <n v="482779.81474746129"/>
    <n v="482779.81474746129"/>
    <m/>
    <m/>
    <m/>
    <m/>
    <m/>
    <m/>
    <m/>
    <m/>
    <n v="299537.59999999998"/>
    <n v="97961.220456140261"/>
    <m/>
    <n v="85280.994291321083"/>
  </r>
  <r>
    <x v="2"/>
    <x v="2"/>
    <s v="Brand"/>
    <s v="Absa ARO_MEST Sponsorship"/>
    <s v="SOCIAL"/>
    <n v="160302.35999999999"/>
    <n v="160302.35999999999"/>
    <m/>
    <m/>
    <m/>
    <m/>
    <m/>
    <m/>
    <m/>
    <m/>
    <n v="160302.35999999999"/>
    <m/>
    <m/>
    <m/>
  </r>
  <r>
    <x v="2"/>
    <x v="2"/>
    <s v="Brand"/>
    <s v="Absa ARO_MEST Sponsorship "/>
    <s v="TECH COSTS"/>
    <n v="41733.58"/>
    <n v="41733.58"/>
    <m/>
    <m/>
    <m/>
    <m/>
    <m/>
    <m/>
    <m/>
    <m/>
    <n v="41733.58"/>
    <m/>
    <m/>
    <m/>
  </r>
  <r>
    <x v="2"/>
    <x v="2"/>
    <s v="CIB"/>
    <s v="Absa CIB Transactional GTR Africa ARO"/>
    <s v="Digital"/>
    <n v="91469.489999999991"/>
    <n v="91469.489999999991"/>
    <m/>
    <m/>
    <n v="91469.489999999991"/>
    <m/>
    <m/>
    <m/>
    <m/>
    <m/>
    <m/>
    <m/>
    <m/>
    <m/>
  </r>
  <r>
    <x v="2"/>
    <x v="2"/>
    <s v="CIB"/>
    <s v="Absa CIB Transactional GTR Africa ARO"/>
    <s v="TECH COSTS"/>
    <n v="7344.5"/>
    <n v="7344.5"/>
    <m/>
    <m/>
    <n v="7344.5"/>
    <m/>
    <m/>
    <m/>
    <m/>
    <m/>
    <m/>
    <m/>
    <m/>
    <m/>
  </r>
  <r>
    <x v="2"/>
    <x v="2"/>
    <s v="CIB"/>
    <s v="Absa CIB_Property Finance_EAPI Conference_ARO OOH"/>
    <s v="OUTDOOR"/>
    <n v="176000"/>
    <n v="176000"/>
    <m/>
    <m/>
    <m/>
    <m/>
    <n v="176000"/>
    <m/>
    <m/>
    <m/>
    <m/>
    <m/>
    <m/>
    <m/>
  </r>
  <r>
    <x v="2"/>
    <x v="2"/>
    <s v="CIB"/>
    <s v="Absa_ ARO_ DSTV_Showmax TV Schedule March 2026"/>
    <s v="Television"/>
    <n v="517634"/>
    <n v="517634"/>
    <m/>
    <n v="517634"/>
    <m/>
    <m/>
    <m/>
    <m/>
    <m/>
    <m/>
    <m/>
    <m/>
    <m/>
    <m/>
  </r>
  <r>
    <x v="3"/>
    <x v="3"/>
    <s v="RBB"/>
    <s v="PRESTIGE"/>
    <s v="Television"/>
    <n v="59409.000000000007"/>
    <n v="424350"/>
    <m/>
    <m/>
    <n v="424350"/>
    <m/>
    <m/>
    <m/>
    <m/>
    <m/>
    <m/>
    <m/>
    <m/>
    <m/>
  </r>
  <r>
    <x v="3"/>
    <x v="3"/>
    <s v="RBB"/>
    <s v="PRESTIGE"/>
    <s v="Digital"/>
    <n v="197420.41620000004"/>
    <n v="1410145.83"/>
    <m/>
    <m/>
    <n v="384066"/>
    <n v="105200.34"/>
    <n v="117489"/>
    <n v="352847.67"/>
    <m/>
    <n v="313723.06"/>
    <n v="136819.76"/>
    <m/>
    <m/>
    <m/>
  </r>
  <r>
    <x v="3"/>
    <x v="3"/>
    <s v="RBB"/>
    <s v="PRESTIGE"/>
    <s v="DOOH"/>
    <n v="126000.00000000001"/>
    <n v="900000"/>
    <m/>
    <m/>
    <n v="900000"/>
    <m/>
    <m/>
    <m/>
    <m/>
    <m/>
    <m/>
    <m/>
    <m/>
    <m/>
  </r>
  <r>
    <x v="3"/>
    <x v="3"/>
    <s v="RBB"/>
    <s v="PRESTIGE"/>
    <s v="Radio"/>
    <n v="534431.24000000011"/>
    <n v="3817366"/>
    <m/>
    <n v="1100000"/>
    <n v="2717366"/>
    <m/>
    <m/>
    <m/>
    <m/>
    <m/>
    <m/>
    <m/>
    <m/>
    <m/>
  </r>
  <r>
    <x v="3"/>
    <x v="3"/>
    <s v="RBB"/>
    <s v="PRESTIGE"/>
    <s v="OOH"/>
    <n v="590800"/>
    <n v="4220000"/>
    <m/>
    <m/>
    <n v="1450000"/>
    <n v="1450000"/>
    <n v="1210000"/>
    <n v="110000"/>
    <m/>
    <m/>
    <m/>
    <m/>
    <m/>
    <m/>
  </r>
  <r>
    <x v="3"/>
    <x v="3"/>
    <s v="Brand"/>
    <s v="BRAND"/>
    <s v="Television"/>
    <n v="178227.00000000003"/>
    <n v="1273050"/>
    <m/>
    <n v="1273050"/>
    <m/>
    <m/>
    <m/>
    <m/>
    <m/>
    <m/>
    <m/>
    <m/>
    <m/>
    <m/>
  </r>
  <r>
    <x v="3"/>
    <x v="3"/>
    <s v="RBB"/>
    <s v="INTERNATIONAL WOMEN'S DAY"/>
    <s v="Digital"/>
    <n v="37776.620000000003"/>
    <n v="269833"/>
    <m/>
    <m/>
    <n v="269833"/>
    <m/>
    <m/>
    <m/>
    <m/>
    <m/>
    <m/>
    <m/>
    <m/>
    <m/>
  </r>
  <r>
    <x v="3"/>
    <x v="3"/>
    <s v="RBB"/>
    <s v="TIMIZA"/>
    <s v="Digital"/>
    <n v="1131534.1982000002"/>
    <n v="8082387.1300000008"/>
    <n v="1366132"/>
    <n v="662096.69999999995"/>
    <m/>
    <n v="469505.96"/>
    <n v="593749"/>
    <n v="595045.99"/>
    <n v="1855262.22"/>
    <n v="1098352.57"/>
    <n v="1442242.69"/>
    <m/>
    <m/>
    <m/>
  </r>
  <r>
    <x v="3"/>
    <x v="3"/>
    <s v="RBB"/>
    <s v="TIMIZA"/>
    <s v="Radio"/>
    <n v="80360.000000000015"/>
    <n v="574000"/>
    <n v="574000"/>
    <m/>
    <m/>
    <m/>
    <m/>
    <m/>
    <m/>
    <m/>
    <m/>
    <m/>
    <m/>
    <m/>
  </r>
  <r>
    <x v="3"/>
    <x v="3"/>
    <s v="RBB"/>
    <s v="BACK TO SCHOOL"/>
    <s v="Television"/>
    <n v="144648"/>
    <n v="1033200"/>
    <n v="1033200"/>
    <m/>
    <m/>
    <m/>
    <m/>
    <m/>
    <m/>
    <m/>
    <m/>
    <m/>
    <m/>
    <m/>
  </r>
  <r>
    <x v="3"/>
    <x v="3"/>
    <s v="RBB"/>
    <s v="BACK TO SCHOOL"/>
    <s v="Digital"/>
    <n v="28350.000000000004"/>
    <n v="202500"/>
    <n v="202500"/>
    <m/>
    <m/>
    <m/>
    <m/>
    <m/>
    <m/>
    <m/>
    <m/>
    <m/>
    <m/>
    <m/>
  </r>
  <r>
    <x v="3"/>
    <x v="3"/>
    <s v="CIB"/>
    <s v="CIB"/>
    <s v="Digital"/>
    <n v="462261.8672000001"/>
    <n v="3301870.4800000004"/>
    <n v="393869"/>
    <n v="338172.3"/>
    <n v="1109246"/>
    <n v="527277.17000000004"/>
    <n v="303156"/>
    <m/>
    <n v="58887.08"/>
    <n v="223813.73"/>
    <n v="347449.2"/>
    <m/>
    <m/>
    <m/>
  </r>
  <r>
    <x v="3"/>
    <x v="3"/>
    <s v="CIB"/>
    <s v="CIB"/>
    <s v="Print"/>
    <n v="21000.000000000004"/>
    <n v="150000"/>
    <m/>
    <n v="150000"/>
    <m/>
    <m/>
    <m/>
    <m/>
    <m/>
    <m/>
    <m/>
    <m/>
    <m/>
    <m/>
  </r>
  <r>
    <x v="3"/>
    <x v="3"/>
    <s v="CIB"/>
    <s v="CIB"/>
    <s v="Television"/>
    <n v="109200.00000000001"/>
    <n v="780000"/>
    <m/>
    <m/>
    <m/>
    <m/>
    <m/>
    <m/>
    <m/>
    <m/>
    <n v="780000"/>
    <m/>
    <m/>
    <m/>
  </r>
  <r>
    <x v="3"/>
    <x v="3"/>
    <s v="Brand"/>
    <s v="FOUNDATION"/>
    <s v="Digital"/>
    <n v="124542.1296"/>
    <n v="889586.6399999999"/>
    <n v="389789"/>
    <n v="61379.1"/>
    <m/>
    <m/>
    <m/>
    <m/>
    <n v="66500"/>
    <n v="371918.54"/>
    <m/>
    <m/>
    <m/>
    <m/>
  </r>
  <r>
    <x v="3"/>
    <x v="3"/>
    <s v="Brand"/>
    <s v="NOTICES"/>
    <s v="Print"/>
    <n v="104473.74"/>
    <n v="746241"/>
    <m/>
    <n v="248747"/>
    <m/>
    <n v="248747"/>
    <m/>
    <m/>
    <n v="248747"/>
    <m/>
    <m/>
    <m/>
    <m/>
    <m/>
  </r>
  <r>
    <x v="3"/>
    <x v="3"/>
    <s v="Brand"/>
    <s v="VALENTINE"/>
    <s v="Digital"/>
    <n v="190260.00000000003"/>
    <n v="1359000"/>
    <m/>
    <n v="1359000"/>
    <m/>
    <m/>
    <m/>
    <m/>
    <m/>
    <m/>
    <m/>
    <m/>
    <m/>
    <m/>
  </r>
  <r>
    <x v="3"/>
    <x v="3"/>
    <s v="Brand"/>
    <s v="READY TO WORK"/>
    <s v="Digital"/>
    <n v="25556.58"/>
    <n v="182547"/>
    <m/>
    <m/>
    <m/>
    <m/>
    <m/>
    <m/>
    <m/>
    <m/>
    <n v="182547"/>
    <m/>
    <m/>
    <m/>
  </r>
  <r>
    <x v="3"/>
    <x v="3"/>
    <s v="Brand"/>
    <s v="MKO"/>
    <s v="Digital"/>
    <n v="221448.78000000003"/>
    <n v="1581777"/>
    <m/>
    <n v="1581777"/>
    <m/>
    <m/>
    <m/>
    <m/>
    <m/>
    <m/>
    <m/>
    <m/>
    <m/>
    <m/>
  </r>
  <r>
    <x v="3"/>
    <x v="3"/>
    <s v="RBB"/>
    <s v="FINANCIALS"/>
    <s v="Print"/>
    <n v="999828.76000000013"/>
    <n v="7141634"/>
    <m/>
    <m/>
    <n v="2253622"/>
    <n v="2253622"/>
    <m/>
    <m/>
    <m/>
    <n v="2634390"/>
    <m/>
    <m/>
    <m/>
    <m/>
  </r>
  <r>
    <x v="3"/>
    <x v="3"/>
    <s v="RBB"/>
    <s v="PERSONAL BANKING"/>
    <s v="Digital"/>
    <n v="608870.20740000007"/>
    <n v="4349072.91"/>
    <m/>
    <m/>
    <m/>
    <m/>
    <m/>
    <m/>
    <n v="1122880.43"/>
    <n v="1008081.48"/>
    <n v="2218111"/>
    <m/>
    <m/>
    <m/>
  </r>
  <r>
    <x v="3"/>
    <x v="3"/>
    <s v="RBB"/>
    <s v="PERSONAL BANKING"/>
    <s v="Radio"/>
    <n v="390320.00000000006"/>
    <n v="2788000"/>
    <m/>
    <m/>
    <m/>
    <m/>
    <m/>
    <m/>
    <m/>
    <m/>
    <n v="2788000"/>
    <m/>
    <m/>
    <m/>
  </r>
  <r>
    <x v="3"/>
    <x v="3"/>
    <s v="RBB"/>
    <s v="PERSONAL BANKING"/>
    <s v="Television"/>
    <n v="282867.20000000001"/>
    <n v="2020480"/>
    <m/>
    <m/>
    <m/>
    <m/>
    <m/>
    <m/>
    <m/>
    <m/>
    <n v="2020480"/>
    <m/>
    <m/>
    <m/>
  </r>
  <r>
    <x v="3"/>
    <x v="3"/>
    <s v="RBB"/>
    <s v="PERSONAL BANKING"/>
    <s v="OOH"/>
    <n v="343000.00000000006"/>
    <n v="2450000"/>
    <m/>
    <m/>
    <m/>
    <m/>
    <m/>
    <m/>
    <m/>
    <m/>
    <n v="2450000"/>
    <m/>
    <m/>
    <m/>
  </r>
  <r>
    <x v="3"/>
    <x v="3"/>
    <s v="RBB"/>
    <s v="BUSINESS BANKING"/>
    <s v="Digital"/>
    <n v="76112.043000000005"/>
    <n v="543657.44999999995"/>
    <m/>
    <m/>
    <m/>
    <m/>
    <m/>
    <m/>
    <n v="33135.620000000003"/>
    <n v="159794.18"/>
    <n v="350727.65"/>
    <m/>
    <m/>
    <m/>
  </r>
  <r>
    <x v="3"/>
    <x v="3"/>
    <s v="RBB"/>
    <s v="LA RIBA"/>
    <s v="Digital"/>
    <n v="77227.381000000008"/>
    <n v="551624.15"/>
    <m/>
    <m/>
    <m/>
    <m/>
    <m/>
    <m/>
    <n v="66500"/>
    <n v="238844.06"/>
    <n v="246280.09"/>
    <m/>
    <m/>
    <m/>
  </r>
  <r>
    <x v="3"/>
    <x v="3"/>
    <s v="RBB"/>
    <s v="LA RIBA"/>
    <s v="Radio"/>
    <n v="149240"/>
    <n v="1066000"/>
    <m/>
    <m/>
    <m/>
    <m/>
    <m/>
    <m/>
    <n v="574000"/>
    <n v="492000"/>
    <m/>
    <m/>
    <m/>
    <m/>
  </r>
  <r>
    <x v="3"/>
    <x v="3"/>
    <s v="RBB"/>
    <s v="AFFLUENT"/>
    <s v="OOH"/>
    <n v="30800.000000000004"/>
    <n v="220000"/>
    <m/>
    <m/>
    <m/>
    <m/>
    <m/>
    <m/>
    <n v="110000"/>
    <n v="110000"/>
    <m/>
    <m/>
    <m/>
    <m/>
  </r>
  <r>
    <x v="3"/>
    <x v="3"/>
    <s v="RBB/ CIB"/>
    <s v="ALWAYS ON SEARCH"/>
    <s v="Digital"/>
    <n v="123750.56820000001"/>
    <n v="883932.63"/>
    <m/>
    <m/>
    <m/>
    <m/>
    <m/>
    <m/>
    <n v="242916.52"/>
    <n v="308974.96000000002"/>
    <n v="332041.15000000002"/>
    <m/>
    <m/>
    <m/>
  </r>
  <r>
    <x v="3"/>
    <x v="3"/>
    <s v="RBB"/>
    <s v="MULTICURRENCY"/>
    <s v="Digital"/>
    <n v="171083.91160000002"/>
    <n v="1222027.94"/>
    <m/>
    <m/>
    <m/>
    <m/>
    <m/>
    <m/>
    <m/>
    <n v="679885.36"/>
    <n v="542142.57999999996"/>
    <m/>
    <m/>
    <m/>
  </r>
  <r>
    <x v="3"/>
    <x v="3"/>
    <s v="RBB"/>
    <s v="MULTICURRENCY"/>
    <s v="Influencers"/>
    <n v="190960.00000000003"/>
    <n v="1364000"/>
    <m/>
    <m/>
    <m/>
    <m/>
    <m/>
    <m/>
    <n v="682000"/>
    <n v="682000"/>
    <m/>
    <m/>
    <m/>
    <m/>
  </r>
  <r>
    <x v="4"/>
    <x v="4"/>
    <s v="RBB"/>
    <s v="Radio plus Sponsorship"/>
    <s v="Radio"/>
    <n v="702000"/>
    <n v="1800000"/>
    <n v="200000"/>
    <n v="200000"/>
    <n v="200000"/>
    <n v="200000"/>
    <n v="200000"/>
    <n v="200000"/>
    <n v="200000"/>
    <n v="200000"/>
    <n v="200000"/>
    <m/>
    <m/>
    <m/>
  </r>
  <r>
    <x v="4"/>
    <x v="4"/>
    <s v="CIB"/>
    <s v="CIB Campaign  "/>
    <s v="Digital"/>
    <n v="142916.67000000001"/>
    <n v="366453"/>
    <m/>
    <n v="9710"/>
    <n v="29130"/>
    <m/>
    <m/>
    <n v="327613"/>
    <m/>
    <m/>
    <m/>
    <m/>
    <m/>
    <m/>
  </r>
  <r>
    <x v="4"/>
    <x v="4"/>
    <s v="CIB"/>
    <s v="CIB Campaign  "/>
    <s v="OOH"/>
    <n v="421851.94999999995"/>
    <n v="1081671.6666666665"/>
    <n v="208000"/>
    <n v="210917"/>
    <n v="206666.66666666666"/>
    <n v="147000"/>
    <n v="66000"/>
    <n v="66000"/>
    <n v="177088"/>
    <m/>
    <m/>
    <m/>
    <m/>
    <m/>
  </r>
  <r>
    <x v="4"/>
    <x v="4"/>
    <s v="CIB"/>
    <s v="CIB Campaign  "/>
    <s v="Print"/>
    <n v="90045.598500000007"/>
    <n v="230886.15"/>
    <m/>
    <n v="51376.15"/>
    <n v="45000"/>
    <m/>
    <m/>
    <n v="134510"/>
    <m/>
    <m/>
    <m/>
    <m/>
    <m/>
    <m/>
  </r>
  <r>
    <x v="4"/>
    <x v="4"/>
    <s v="RBB"/>
    <s v="RB - EOY + Card Press communique"/>
    <s v="Digital"/>
    <n v="84835.269870000004"/>
    <n v="217526.33299999998"/>
    <m/>
    <m/>
    <n v="217526.33299999998"/>
    <m/>
    <m/>
    <m/>
    <m/>
    <m/>
    <m/>
    <m/>
    <m/>
    <m/>
  </r>
  <r>
    <x v="4"/>
    <x v="4"/>
    <s v="RBB"/>
    <s v="RB - EOY + Card Press communique"/>
    <s v="Radio"/>
    <n v="10415.301000000001"/>
    <n v="26705.9"/>
    <n v="26705.9"/>
    <m/>
    <m/>
    <m/>
    <m/>
    <m/>
    <m/>
    <m/>
    <m/>
    <m/>
    <m/>
    <m/>
  </r>
  <r>
    <x v="4"/>
    <x v="4"/>
    <s v="RBB"/>
    <s v="RB - EOY + Card Press communique"/>
    <s v="Print"/>
    <n v="37978.200000000004"/>
    <n v="97380"/>
    <n v="51120"/>
    <n v="22320"/>
    <n v="23940"/>
    <m/>
    <m/>
    <m/>
    <m/>
    <m/>
    <m/>
    <m/>
    <m/>
    <m/>
  </r>
  <r>
    <x v="4"/>
    <x v="4"/>
    <s v="RBB"/>
    <s v="Pensioners Savings "/>
    <s v="Television"/>
    <n v="271525.8"/>
    <n v="696220"/>
    <n v="316120"/>
    <n v="162960"/>
    <n v="217140"/>
    <m/>
    <m/>
    <m/>
    <m/>
    <m/>
    <m/>
    <m/>
    <m/>
    <m/>
  </r>
  <r>
    <x v="4"/>
    <x v="4"/>
    <s v="RBB"/>
    <s v="Pensioners Savings "/>
    <s v="Digital"/>
    <n v="307093.8"/>
    <n v="787420"/>
    <n v="113050"/>
    <m/>
    <n v="36000"/>
    <m/>
    <m/>
    <n v="350290"/>
    <n v="176310"/>
    <n v="111770"/>
    <m/>
    <m/>
    <m/>
    <m/>
  </r>
  <r>
    <x v="4"/>
    <x v="4"/>
    <s v="RBB"/>
    <s v="Pensioners Savings "/>
    <s v="Radio"/>
    <n v="64587.705000000002"/>
    <n v="165609.5"/>
    <n v="42644"/>
    <n v="30975"/>
    <n v="91990.5"/>
    <m/>
    <m/>
    <m/>
    <m/>
    <m/>
    <m/>
    <m/>
    <m/>
    <m/>
  </r>
  <r>
    <x v="4"/>
    <x v="4"/>
    <s v="RBB"/>
    <s v="Pensioners Savings "/>
    <s v="OOH"/>
    <n v="220947.48"/>
    <n v="566532"/>
    <n v="566532"/>
    <m/>
    <m/>
    <m/>
    <m/>
    <m/>
    <m/>
    <m/>
    <m/>
    <m/>
    <m/>
    <m/>
  </r>
  <r>
    <x v="4"/>
    <x v="4"/>
    <s v="RBB"/>
    <s v="Pensioners Savings "/>
    <s v="Print"/>
    <n v="22120.3125"/>
    <n v="56718.75"/>
    <n v="20718.75"/>
    <n v="23760"/>
    <m/>
    <m/>
    <m/>
    <m/>
    <n v="12240"/>
    <m/>
    <m/>
    <m/>
    <m/>
    <m/>
  </r>
  <r>
    <x v="4"/>
    <x v="4"/>
    <s v="RBB"/>
    <s v=" Premier League Card 2025       "/>
    <s v="Digital"/>
    <n v="135934.5"/>
    <n v="348550"/>
    <n v="348550"/>
    <m/>
    <m/>
    <m/>
    <m/>
    <m/>
    <m/>
    <m/>
    <m/>
    <m/>
    <m/>
    <m/>
  </r>
  <r>
    <x v="4"/>
    <x v="4"/>
    <s v="RBB"/>
    <s v=" Premier League Card 2025       "/>
    <s v="Radio"/>
    <n v="131298.68700000001"/>
    <n v="336663.3"/>
    <n v="140884.5"/>
    <n v="90146"/>
    <n v="105632.8"/>
    <m/>
    <m/>
    <m/>
    <m/>
    <m/>
    <m/>
    <m/>
    <m/>
    <m/>
  </r>
  <r>
    <x v="4"/>
    <x v="4"/>
    <s v="RBB"/>
    <s v=" Premier League Card 2025       "/>
    <s v="Print"/>
    <n v="34693.425000000003"/>
    <n v="88957.5"/>
    <n v="20718.75"/>
    <n v="44478.75"/>
    <n v="23760"/>
    <m/>
    <m/>
    <m/>
    <m/>
    <m/>
    <m/>
    <m/>
    <m/>
    <m/>
  </r>
  <r>
    <x v="4"/>
    <x v="4"/>
    <s v="RBB"/>
    <s v=" Premier League Card 2025       "/>
    <s v="DOOH"/>
    <n v="73710"/>
    <n v="189000"/>
    <n v="189000"/>
    <m/>
    <m/>
    <m/>
    <m/>
    <m/>
    <m/>
    <m/>
    <m/>
    <m/>
    <m/>
    <m/>
  </r>
  <r>
    <x v="4"/>
    <x v="4"/>
    <s v="RBB"/>
    <s v="le Passeport FB"/>
    <s v="Digital"/>
    <n v="30899.018864999998"/>
    <n v="79228.253499999992"/>
    <n v="24275"/>
    <n v="15000.01"/>
    <n v="9999.843499999999"/>
    <m/>
    <n v="14953.4"/>
    <m/>
    <n v="15000"/>
    <m/>
    <m/>
    <m/>
    <m/>
    <m/>
  </r>
  <r>
    <x v="4"/>
    <x v="4"/>
    <s v="Brand"/>
    <s v="Bocuse d'or    "/>
    <s v="Digital"/>
    <n v="39384.93"/>
    <n v="100987"/>
    <n v="12137.5"/>
    <m/>
    <n v="2427.5"/>
    <m/>
    <m/>
    <n v="18522"/>
    <n v="50977.5"/>
    <m/>
    <n v="16922.5"/>
    <m/>
    <m/>
    <m/>
  </r>
  <r>
    <x v="4"/>
    <x v="4"/>
    <s v="RBB"/>
    <s v="Saturday Branch opening"/>
    <s v="Digital"/>
    <n v="38434.476015"/>
    <n v="98549.938499999989"/>
    <n v="68691.938499999989"/>
    <m/>
    <m/>
    <m/>
    <m/>
    <m/>
    <n v="20148"/>
    <m/>
    <n v="9710"/>
    <m/>
    <m/>
    <m/>
  </r>
  <r>
    <x v="4"/>
    <x v="4"/>
    <s v="RBB"/>
    <s v="Saturday Branch opening"/>
    <s v="Radio"/>
    <n v="75850.671000000002"/>
    <n v="194488.9"/>
    <n v="75332.899999999994"/>
    <m/>
    <n v="49071"/>
    <m/>
    <m/>
    <m/>
    <n v="70085"/>
    <m/>
    <m/>
    <m/>
    <m/>
    <m/>
  </r>
  <r>
    <x v="4"/>
    <x v="4"/>
    <s v="Brand"/>
    <s v="Absa Social media Post"/>
    <s v="Digital"/>
    <n v="446851.54800000001"/>
    <n v="1145773.2"/>
    <m/>
    <n v="58260"/>
    <n v="116520"/>
    <n v="109382"/>
    <n v="264791.7"/>
    <n v="271687"/>
    <n v="114092.5"/>
    <n v="177055"/>
    <n v="33985"/>
    <m/>
    <m/>
    <m/>
  </r>
  <r>
    <x v="4"/>
    <x v="4"/>
    <s v="Brand"/>
    <s v="Absa - Change of PLR - Press Notice     "/>
    <s v="Print"/>
    <n v="3480.75"/>
    <n v="8925"/>
    <m/>
    <n v="8925"/>
    <m/>
    <m/>
    <m/>
    <m/>
    <m/>
    <m/>
    <m/>
    <m/>
    <m/>
    <m/>
  </r>
  <r>
    <x v="4"/>
    <x v="4"/>
    <s v="Brand"/>
    <s v="Absa -  Financial Results Advertorial"/>
    <s v="Digital"/>
    <n v="9694.23"/>
    <n v="24857"/>
    <m/>
    <m/>
    <m/>
    <n v="24857"/>
    <m/>
    <m/>
    <m/>
    <m/>
    <m/>
    <m/>
    <m/>
    <m/>
  </r>
  <r>
    <x v="4"/>
    <x v="4"/>
    <s v="Brand"/>
    <s v="Absa -  Financial Results Advertorial"/>
    <s v="Print"/>
    <n v="66183"/>
    <n v="169700"/>
    <m/>
    <m/>
    <m/>
    <n v="169700"/>
    <m/>
    <m/>
    <m/>
    <m/>
    <m/>
    <m/>
    <m/>
    <m/>
  </r>
  <r>
    <x v="4"/>
    <x v="4"/>
    <s v="Brand"/>
    <s v="Absa Metro Train Wrapping"/>
    <s v="OOH"/>
    <n v="132600"/>
    <n v="340000"/>
    <m/>
    <m/>
    <m/>
    <m/>
    <m/>
    <m/>
    <n v="340000"/>
    <m/>
    <m/>
    <m/>
    <m/>
    <m/>
  </r>
  <r>
    <x v="4"/>
    <x v="4"/>
    <s v="RBB"/>
    <s v="Absa Metro Train Wrapping"/>
    <s v="Print"/>
    <n v="499200"/>
    <n v="1280000"/>
    <m/>
    <n v="640000"/>
    <n v="640000"/>
    <n v="0"/>
    <n v="0"/>
    <m/>
    <m/>
    <m/>
    <m/>
    <m/>
    <m/>
    <m/>
  </r>
  <r>
    <x v="4"/>
    <x v="4"/>
    <s v="RBB"/>
    <s v="ABSA Mortgage Campaign "/>
    <s v="Digital"/>
    <n v="403997.59530000004"/>
    <n v="1035891.27"/>
    <m/>
    <m/>
    <n v="195553.37"/>
    <n v="272600.45"/>
    <n v="272600.45"/>
    <n v="98379"/>
    <n v="98379"/>
    <n v="98379"/>
    <m/>
    <m/>
    <m/>
    <m/>
  </r>
  <r>
    <x v="4"/>
    <x v="4"/>
    <s v="RBB"/>
    <s v="ABSA Mortgage Campaign "/>
    <s v="Radio"/>
    <n v="88441.353000000003"/>
    <n v="226772.7"/>
    <m/>
    <m/>
    <m/>
    <n v="68360"/>
    <n v="77157"/>
    <n v="33355.699999999997"/>
    <n v="30571"/>
    <n v="17329"/>
    <m/>
    <m/>
    <m/>
    <m/>
  </r>
  <r>
    <x v="4"/>
    <x v="4"/>
    <s v="RBB"/>
    <s v="ABSA Mortgage Campaign "/>
    <s v="Print"/>
    <n v="40840.020000000004"/>
    <n v="104718"/>
    <m/>
    <m/>
    <n v="60000"/>
    <n v="44718"/>
    <m/>
    <m/>
    <m/>
    <m/>
    <m/>
    <m/>
    <m/>
    <m/>
  </r>
  <r>
    <x v="4"/>
    <x v="4"/>
    <s v="Brand"/>
    <s v="ABSA Mortgage Campaign "/>
    <s v="DOOH"/>
    <n v="142545"/>
    <n v="365500"/>
    <m/>
    <m/>
    <m/>
    <n v="365500"/>
    <m/>
    <m/>
    <m/>
    <m/>
    <m/>
    <m/>
    <m/>
    <m/>
  </r>
  <r>
    <x v="4"/>
    <x v="4"/>
    <s v="Brand"/>
    <s v="ABSA Tribeca Digital screen"/>
    <s v="DOOH"/>
    <n v="778050"/>
    <n v="1995000"/>
    <m/>
    <m/>
    <n v="285000"/>
    <n v="285000"/>
    <n v="285000"/>
    <n v="285000"/>
    <n v="285000"/>
    <n v="285000"/>
    <n v="285000"/>
    <m/>
    <m/>
    <m/>
  </r>
  <r>
    <x v="4"/>
    <x v="4"/>
    <s v="Brand"/>
    <s v="ABSA Proparco event"/>
    <s v="Digital"/>
    <n v="6627.0749999999998"/>
    <n v="16992.5"/>
    <m/>
    <m/>
    <n v="16992.5"/>
    <m/>
    <m/>
    <m/>
    <m/>
    <m/>
    <m/>
    <m/>
    <m/>
    <m/>
  </r>
  <r>
    <x v="4"/>
    <x v="4"/>
    <s v="RBB"/>
    <s v="ABSA Proparco event"/>
    <s v="Print"/>
    <n v="35392.5"/>
    <n v="90750"/>
    <m/>
    <m/>
    <n v="90750"/>
    <m/>
    <m/>
    <m/>
    <m/>
    <m/>
    <m/>
    <m/>
    <m/>
    <m/>
  </r>
  <r>
    <x v="4"/>
    <x v="4"/>
    <s v="RBB"/>
    <s v="Absa Wealth"/>
    <s v="Digital"/>
    <n v="118382.69547000001"/>
    <n v="303545.37300000002"/>
    <m/>
    <m/>
    <n v="303545.37300000002"/>
    <m/>
    <m/>
    <m/>
    <m/>
    <m/>
    <m/>
    <m/>
    <m/>
    <m/>
  </r>
  <r>
    <x v="4"/>
    <x v="4"/>
    <s v="RBB"/>
    <s v="Absa Wealth"/>
    <s v="OOH"/>
    <n v="232910.66630000001"/>
    <n v="597206.83666666667"/>
    <m/>
    <m/>
    <n v="174610.83666666667"/>
    <n v="111996"/>
    <n v="310600"/>
    <m/>
    <m/>
    <m/>
    <m/>
    <m/>
    <m/>
    <m/>
  </r>
  <r>
    <x v="4"/>
    <x v="4"/>
    <s v="RBB"/>
    <s v="Absa Wealth"/>
    <s v="Print"/>
    <n v="155122.5"/>
    <n v="397750"/>
    <m/>
    <m/>
    <m/>
    <m/>
    <n v="262500"/>
    <n v="100000"/>
    <n v="35250"/>
    <m/>
    <m/>
    <m/>
    <m/>
    <m/>
  </r>
  <r>
    <x v="4"/>
    <x v="4"/>
    <s v="RBB"/>
    <s v="Absa Wealth"/>
    <s v="DOOH"/>
    <n v="444600"/>
    <n v="1140000"/>
    <m/>
    <m/>
    <m/>
    <m/>
    <m/>
    <m/>
    <n v="400000"/>
    <n v="370000"/>
    <n v="370000"/>
    <m/>
    <m/>
    <m/>
  </r>
  <r>
    <x v="4"/>
    <x v="4"/>
    <s v="RBB"/>
    <s v="Winners Annoucement "/>
    <s v="Digital"/>
    <n v="5680.35"/>
    <n v="14565"/>
    <m/>
    <m/>
    <m/>
    <m/>
    <n v="14565"/>
    <m/>
    <m/>
    <m/>
    <m/>
    <m/>
    <m/>
    <m/>
  </r>
  <r>
    <x v="4"/>
    <x v="4"/>
    <s v="RBB"/>
    <s v="Winners Annoucement "/>
    <s v="Print"/>
    <n v="8704.8000000000011"/>
    <n v="22320"/>
    <m/>
    <m/>
    <m/>
    <m/>
    <n v="22320"/>
    <m/>
    <m/>
    <m/>
    <m/>
    <m/>
    <m/>
    <m/>
  </r>
  <r>
    <x v="4"/>
    <x v="4"/>
    <s v="RBB"/>
    <s v="ABSA Access"/>
    <s v="Digital"/>
    <n v="122860.53"/>
    <n v="315027"/>
    <m/>
    <m/>
    <m/>
    <m/>
    <m/>
    <m/>
    <m/>
    <n v="51793"/>
    <n v="263234"/>
    <m/>
    <m/>
    <m/>
  </r>
  <r>
    <x v="4"/>
    <x v="4"/>
    <s v="RBB"/>
    <s v="ABSA Access"/>
    <s v="OOH"/>
    <n v="52461.630000000005"/>
    <n v="134517"/>
    <m/>
    <m/>
    <m/>
    <m/>
    <m/>
    <m/>
    <m/>
    <n v="62050"/>
    <n v="72467"/>
    <m/>
    <m/>
    <m/>
  </r>
  <r>
    <x v="4"/>
    <x v="4"/>
    <s v="RBB"/>
    <s v="ABSA Access"/>
    <s v="Print"/>
    <n v="27641.25"/>
    <n v="70875"/>
    <m/>
    <m/>
    <m/>
    <m/>
    <m/>
    <m/>
    <m/>
    <n v="23625"/>
    <n v="47250"/>
    <m/>
    <m/>
    <m/>
  </r>
  <r>
    <x v="4"/>
    <x v="4"/>
    <s v="RBB"/>
    <s v="ABSA Access"/>
    <s v="DOOH"/>
    <n v="87027.72"/>
    <n v="223148"/>
    <m/>
    <m/>
    <m/>
    <m/>
    <m/>
    <m/>
    <m/>
    <n v="111574"/>
    <n v="111574"/>
    <m/>
    <m/>
    <m/>
  </r>
  <r>
    <x v="4"/>
    <x v="4"/>
    <s v="RBB"/>
    <s v="ABSA Women Forward "/>
    <s v="Digital"/>
    <n v="7573.8"/>
    <n v="19420"/>
    <m/>
    <m/>
    <m/>
    <m/>
    <m/>
    <m/>
    <m/>
    <m/>
    <n v="19420"/>
    <m/>
    <m/>
    <m/>
  </r>
  <r>
    <x v="4"/>
    <x v="4"/>
    <s v="RBB"/>
    <s v="ABSA Women Forward "/>
    <s v="Print"/>
    <n v="39341.25"/>
    <n v="100875"/>
    <m/>
    <m/>
    <m/>
    <m/>
    <m/>
    <m/>
    <m/>
    <m/>
    <n v="100875"/>
    <m/>
    <m/>
    <m/>
  </r>
  <r>
    <x v="4"/>
    <x v="4"/>
    <s v="CIB"/>
    <s v="ABSA Video wall @ Aiport - Global Market/ CIB/Wealth"/>
    <s v="DOOH"/>
    <n v="134550"/>
    <n v="345000"/>
    <m/>
    <m/>
    <m/>
    <m/>
    <m/>
    <m/>
    <m/>
    <m/>
    <n v="345000"/>
    <m/>
    <m/>
    <m/>
  </r>
  <r>
    <x v="4"/>
    <x v="4"/>
    <s v="RBB"/>
    <s v="ABSA National Sensitization campaign "/>
    <s v="Digital"/>
    <n v="70220.67"/>
    <n v="180053"/>
    <m/>
    <m/>
    <m/>
    <m/>
    <m/>
    <m/>
    <m/>
    <m/>
    <n v="180053"/>
    <m/>
    <m/>
    <m/>
  </r>
  <r>
    <x v="4"/>
    <x v="4"/>
    <s v="RBB"/>
    <s v="ABSA National Sensitization campaign "/>
    <s v="Radio"/>
    <n v="4188.6000000000004"/>
    <n v="10740"/>
    <m/>
    <m/>
    <m/>
    <m/>
    <m/>
    <m/>
    <m/>
    <m/>
    <n v="10740"/>
    <m/>
    <m/>
    <m/>
  </r>
  <r>
    <x v="4"/>
    <x v="4"/>
    <s v="RBB"/>
    <s v="ABSA National Sensitization campaign "/>
    <s v="OOH"/>
    <n v="77307.75"/>
    <n v="198225"/>
    <m/>
    <m/>
    <m/>
    <m/>
    <m/>
    <m/>
    <m/>
    <m/>
    <n v="198225"/>
    <m/>
    <m/>
    <m/>
  </r>
  <r>
    <x v="4"/>
    <x v="4"/>
    <s v="RBB"/>
    <s v="ABSA National Sensitization campaign "/>
    <s v="Print"/>
    <n v="27699.75"/>
    <n v="71025"/>
    <m/>
    <m/>
    <m/>
    <m/>
    <m/>
    <m/>
    <m/>
    <m/>
    <n v="71025"/>
    <m/>
    <m/>
    <m/>
  </r>
  <r>
    <x v="5"/>
    <x v="5"/>
    <s v="RBB"/>
    <s v="GROUP SAVINGS ACCOUNT"/>
    <s v="Digital"/>
    <n v="45107.643000000004"/>
    <n v="6443949"/>
    <m/>
    <n v="2147983"/>
    <n v="2147983"/>
    <n v="2147983"/>
    <m/>
    <m/>
    <m/>
    <m/>
    <m/>
    <m/>
    <m/>
    <m/>
  </r>
  <r>
    <x v="5"/>
    <x v="5"/>
    <s v="RBB"/>
    <s v="GROUP SAVINGS ACCOUNT"/>
    <s v="DOOH"/>
    <n v="76072.5"/>
    <n v="10867500"/>
    <m/>
    <n v="4657500"/>
    <n v="6210000"/>
    <m/>
    <m/>
    <m/>
    <m/>
    <m/>
    <m/>
    <m/>
    <m/>
    <m/>
  </r>
  <r>
    <x v="5"/>
    <x v="5"/>
    <s v="RBB"/>
    <s v="GROUP SAVINGS ACCOUNT"/>
    <s v="Radio"/>
    <n v="343000"/>
    <n v="49000000"/>
    <m/>
    <n v="24500000"/>
    <n v="24500000"/>
    <m/>
    <m/>
    <m/>
    <m/>
    <m/>
    <m/>
    <m/>
    <m/>
    <m/>
  </r>
  <r>
    <x v="5"/>
    <x v="5"/>
    <s v="CIB"/>
    <s v="CIB ACCESS"/>
    <s v="Digital"/>
    <n v="107375.072"/>
    <n v="15339296"/>
    <m/>
    <m/>
    <n v="7669648"/>
    <n v="7669648"/>
    <m/>
    <m/>
    <m/>
    <m/>
    <m/>
    <m/>
    <m/>
    <m/>
  </r>
  <r>
    <x v="5"/>
    <x v="5"/>
    <s v="CIB"/>
    <s v="CIB ACCESS"/>
    <s v="DOOH"/>
    <n v="234622.5"/>
    <n v="33517500"/>
    <m/>
    <m/>
    <n v="21860000"/>
    <n v="11657500"/>
    <m/>
    <m/>
    <m/>
    <m/>
    <m/>
    <m/>
    <m/>
    <m/>
  </r>
  <r>
    <x v="5"/>
    <x v="5"/>
    <s v="RBB"/>
    <s v="INFINITE VISA CARD"/>
    <s v="DOOH"/>
    <n v="129710"/>
    <n v="18530000"/>
    <m/>
    <m/>
    <m/>
    <n v="8820000"/>
    <n v="6210000"/>
    <n v="3500000"/>
    <m/>
    <m/>
    <m/>
    <m/>
    <m/>
    <m/>
  </r>
  <r>
    <x v="5"/>
    <x v="5"/>
    <s v="RBB"/>
    <s v="INFINITE VISA CARD"/>
    <s v="Radio"/>
    <n v="389200"/>
    <n v="55600000"/>
    <m/>
    <m/>
    <m/>
    <n v="27800000"/>
    <n v="16000000"/>
    <n v="11800000"/>
    <m/>
    <m/>
    <m/>
    <m/>
    <m/>
    <m/>
  </r>
  <r>
    <x v="5"/>
    <x v="5"/>
    <s v="RBB"/>
    <s v="INFINITE VISA CARD"/>
    <s v="Print"/>
    <n v="92725.5"/>
    <n v="13246500"/>
    <m/>
    <m/>
    <m/>
    <n v="11606500"/>
    <n v="820000"/>
    <n v="820000"/>
    <m/>
    <m/>
    <m/>
    <m/>
    <m/>
    <m/>
  </r>
  <r>
    <x v="5"/>
    <x v="5"/>
    <s v="Brand"/>
    <s v="BRAND CHAPTERS"/>
    <s v="Digital"/>
    <n v="0"/>
    <n v="0"/>
    <m/>
    <m/>
    <m/>
    <m/>
    <m/>
    <m/>
    <m/>
    <m/>
    <m/>
    <m/>
    <m/>
    <m/>
  </r>
  <r>
    <x v="5"/>
    <x v="5"/>
    <s v="Brand"/>
    <s v="BRAND CHAPTERS"/>
    <s v="DOOH"/>
    <n v="123970"/>
    <n v="17710000"/>
    <m/>
    <m/>
    <m/>
    <m/>
    <m/>
    <m/>
    <m/>
    <m/>
    <n v="17710000"/>
    <m/>
    <m/>
    <m/>
  </r>
  <r>
    <x v="5"/>
    <x v="5"/>
    <s v="Brand"/>
    <s v="BRAND CHAPTERS"/>
    <s v="Radio"/>
    <n v="154000"/>
    <n v="22000000"/>
    <m/>
    <m/>
    <m/>
    <m/>
    <m/>
    <m/>
    <m/>
    <m/>
    <n v="22000000"/>
    <m/>
    <m/>
    <m/>
  </r>
  <r>
    <x v="5"/>
    <x v="5"/>
    <s v="Brand"/>
    <s v="BRAND CHAPTERS"/>
    <s v="Print"/>
    <n v="70700"/>
    <n v="10100000"/>
    <m/>
    <m/>
    <m/>
    <m/>
    <m/>
    <m/>
    <m/>
    <m/>
    <n v="10100000"/>
    <m/>
    <m/>
    <m/>
  </r>
  <r>
    <x v="5"/>
    <x v="5"/>
    <s v="Brand"/>
    <s v="BRAND CHAPTERS"/>
    <s v="Television"/>
    <n v="33600"/>
    <n v="4800000"/>
    <m/>
    <m/>
    <m/>
    <m/>
    <m/>
    <m/>
    <m/>
    <m/>
    <n v="4800000"/>
    <m/>
    <m/>
    <m/>
  </r>
  <r>
    <x v="5"/>
    <x v="5"/>
    <s v="Brand"/>
    <s v="BRAND CHAPTERS"/>
    <s v="Podcast"/>
    <n v="0"/>
    <n v="0"/>
    <m/>
    <m/>
    <m/>
    <m/>
    <m/>
    <m/>
    <m/>
    <m/>
    <m/>
    <m/>
    <m/>
    <m/>
  </r>
  <r>
    <x v="5"/>
    <x v="5"/>
    <s v="RBB"/>
    <s v="PLAY YOUR CARDS RIGHT"/>
    <s v="Digital"/>
    <n v="0"/>
    <n v="0"/>
    <m/>
    <m/>
    <m/>
    <m/>
    <m/>
    <m/>
    <m/>
    <m/>
    <m/>
    <m/>
    <m/>
    <m/>
  </r>
  <r>
    <x v="5"/>
    <x v="5"/>
    <s v="RBB"/>
    <s v="PLAY YOUR CARDS RIGHT"/>
    <s v="DOOH"/>
    <n v="81970"/>
    <n v="11710000"/>
    <m/>
    <m/>
    <m/>
    <m/>
    <m/>
    <m/>
    <m/>
    <m/>
    <n v="11710000"/>
    <m/>
    <m/>
    <m/>
  </r>
  <r>
    <x v="5"/>
    <x v="5"/>
    <s v="RBB"/>
    <s v="PLAY YOUR CARDS RIGHT"/>
    <s v="Radio"/>
    <n v="304500"/>
    <n v="43500000"/>
    <m/>
    <m/>
    <m/>
    <m/>
    <m/>
    <m/>
    <m/>
    <m/>
    <n v="43500000"/>
    <m/>
    <m/>
    <m/>
  </r>
  <r>
    <x v="5"/>
    <x v="5"/>
    <s v="RBB"/>
    <s v="PLAY YOUR CARDS RIGHT"/>
    <s v="Influencers"/>
    <n v="24500"/>
    <n v="3500000"/>
    <m/>
    <m/>
    <m/>
    <m/>
    <m/>
    <m/>
    <m/>
    <m/>
    <n v="3500000"/>
    <m/>
    <m/>
    <m/>
  </r>
  <r>
    <x v="6"/>
    <x v="6"/>
    <s v="RBB"/>
    <s v="Premier Banking"/>
    <s v="Digital"/>
    <n v="17480"/>
    <n v="23000"/>
    <n v="23000"/>
    <m/>
    <m/>
    <m/>
    <m/>
    <m/>
    <m/>
    <m/>
    <m/>
    <m/>
    <m/>
    <m/>
  </r>
  <r>
    <x v="6"/>
    <x v="6"/>
    <s v="RBB"/>
    <s v="Retail Unsecured Loans "/>
    <s v="Television"/>
    <n v="1197000"/>
    <n v="1575000"/>
    <n v="450000"/>
    <n v="450000"/>
    <m/>
    <m/>
    <n v="225000"/>
    <n v="450000"/>
    <m/>
    <m/>
    <m/>
    <m/>
    <m/>
    <m/>
  </r>
  <r>
    <x v="6"/>
    <x v="6"/>
    <s v="Brand"/>
    <s v="Your Story Matters "/>
    <s v="Radio"/>
    <n v="82080"/>
    <n v="108000"/>
    <n v="108000"/>
    <m/>
    <m/>
    <m/>
    <m/>
    <m/>
    <m/>
    <m/>
    <m/>
    <m/>
    <m/>
    <m/>
  </r>
  <r>
    <x v="6"/>
    <x v="6"/>
    <s v="Brand"/>
    <s v="Your Story Matters "/>
    <s v="OOH"/>
    <n v="775481.2"/>
    <n v="1020370"/>
    <n v="102037"/>
    <n v="102037"/>
    <n v="102037"/>
    <n v="102037"/>
    <n v="102037"/>
    <n v="102037"/>
    <n v="102037"/>
    <n v="102037"/>
    <n v="102037"/>
    <n v="102037"/>
    <m/>
    <m/>
  </r>
  <r>
    <x v="6"/>
    <x v="6"/>
    <s v="BB"/>
    <s v="Women in Business"/>
    <s v="Digital"/>
    <n v="154618.96"/>
    <n v="203446"/>
    <m/>
    <m/>
    <n v="143446"/>
    <m/>
    <m/>
    <m/>
    <n v="15000"/>
    <n v="15000"/>
    <n v="15000"/>
    <n v="15000"/>
    <m/>
    <m/>
  </r>
  <r>
    <x v="6"/>
    <x v="6"/>
    <s v="BB"/>
    <s v="Women in Business"/>
    <s v="DOOH"/>
    <n v="156042.44"/>
    <n v="205319"/>
    <m/>
    <m/>
    <m/>
    <n v="205319"/>
    <m/>
    <m/>
    <m/>
    <m/>
    <m/>
    <m/>
    <m/>
    <m/>
  </r>
  <r>
    <x v="6"/>
    <x v="6"/>
    <s v="BB"/>
    <s v="Women in Business"/>
    <s v="Radio"/>
    <n v="37415.56"/>
    <n v="49231"/>
    <m/>
    <m/>
    <n v="49231"/>
    <m/>
    <m/>
    <m/>
    <m/>
    <m/>
    <m/>
    <m/>
    <m/>
    <m/>
  </r>
  <r>
    <x v="6"/>
    <x v="6"/>
    <s v="BB"/>
    <s v="Women in Business"/>
    <s v="OOH"/>
    <n v="67640"/>
    <n v="89000"/>
    <m/>
    <m/>
    <n v="89000"/>
    <m/>
    <m/>
    <m/>
    <m/>
    <m/>
    <m/>
    <m/>
    <m/>
    <m/>
  </r>
  <r>
    <x v="6"/>
    <x v="6"/>
    <s v="Brand"/>
    <s v="Absa Marathon "/>
    <s v="Television"/>
    <n v="513000"/>
    <n v="675000"/>
    <m/>
    <m/>
    <m/>
    <m/>
    <m/>
    <m/>
    <n v="225000"/>
    <n v="225000"/>
    <n v="225000"/>
    <m/>
    <m/>
    <m/>
  </r>
  <r>
    <x v="6"/>
    <x v="6"/>
    <s v="Brand"/>
    <s v="Absa Marathon "/>
    <s v="Digital"/>
    <n v="69391.8"/>
    <n v="91305"/>
    <n v="1305"/>
    <m/>
    <m/>
    <m/>
    <m/>
    <m/>
    <n v="20000"/>
    <n v="35000"/>
    <n v="35000"/>
    <m/>
    <m/>
    <m/>
  </r>
  <r>
    <x v="6"/>
    <x v="6"/>
    <s v="Brand"/>
    <s v="Absa Marathon "/>
    <s v="Radio"/>
    <n v="259571.16"/>
    <n v="341541"/>
    <m/>
    <m/>
    <m/>
    <m/>
    <m/>
    <m/>
    <n v="113847"/>
    <n v="113847"/>
    <n v="113847"/>
    <m/>
    <m/>
    <m/>
  </r>
  <r>
    <x v="6"/>
    <x v="6"/>
    <s v="Brand"/>
    <s v="Absa Marathon "/>
    <s v="Print"/>
    <n v="26600"/>
    <n v="35000"/>
    <m/>
    <m/>
    <m/>
    <m/>
    <m/>
    <m/>
    <m/>
    <m/>
    <n v="35000"/>
    <m/>
    <m/>
    <m/>
  </r>
  <r>
    <x v="6"/>
    <x v="6"/>
    <s v="BB"/>
    <s v="Momo on POS"/>
    <s v="Television"/>
    <n v="255785.60000000001"/>
    <n v="336560"/>
    <m/>
    <m/>
    <m/>
    <m/>
    <m/>
    <n v="76560"/>
    <n v="130000"/>
    <n v="130000"/>
    <m/>
    <m/>
    <m/>
    <m/>
  </r>
  <r>
    <x v="6"/>
    <x v="6"/>
    <s v="BB"/>
    <s v="Momo on POS"/>
    <s v="Digital"/>
    <n v="103360"/>
    <n v="136000"/>
    <m/>
    <m/>
    <m/>
    <m/>
    <m/>
    <n v="56000"/>
    <n v="40000"/>
    <n v="40000"/>
    <m/>
    <m/>
    <m/>
    <m/>
  </r>
  <r>
    <x v="6"/>
    <x v="6"/>
    <s v="BB"/>
    <s v="Momo on POS"/>
    <s v="DOOH"/>
    <n v="313362.44"/>
    <n v="412319"/>
    <m/>
    <n v="205319"/>
    <m/>
    <m/>
    <m/>
    <n v="69000"/>
    <n v="69000"/>
    <n v="69000"/>
    <m/>
    <m/>
    <m/>
    <m/>
  </r>
  <r>
    <x v="6"/>
    <x v="6"/>
    <s v="BB"/>
    <s v="Momo on POS"/>
    <s v="Radio"/>
    <n v="650095.89839999995"/>
    <n v="855389.34"/>
    <m/>
    <n v="427694.67"/>
    <m/>
    <m/>
    <n v="427694.67"/>
    <m/>
    <m/>
    <m/>
    <m/>
    <m/>
    <m/>
    <m/>
  </r>
  <r>
    <x v="6"/>
    <x v="6"/>
    <s v="BB"/>
    <s v="Momo on POS"/>
    <s v="OOH"/>
    <n v="358229.04"/>
    <n v="471354"/>
    <m/>
    <n v="191354"/>
    <m/>
    <m/>
    <m/>
    <n v="70000"/>
    <n v="70000"/>
    <n v="70000"/>
    <n v="70000"/>
    <m/>
    <m/>
    <m/>
  </r>
  <r>
    <x v="6"/>
    <x v="6"/>
    <s v="BB"/>
    <s v="Momo on POS"/>
    <s v="Print"/>
    <n v="60800"/>
    <n v="80000"/>
    <m/>
    <n v="80000"/>
    <m/>
    <m/>
    <m/>
    <m/>
    <m/>
    <m/>
    <m/>
    <m/>
    <m/>
    <m/>
  </r>
  <r>
    <x v="6"/>
    <x v="6"/>
    <s v="RBB"/>
    <s v="Other - Financial Statements and MRP"/>
    <s v="Print"/>
    <n v="293208"/>
    <n v="385800"/>
    <m/>
    <n v="60800"/>
    <n v="67000"/>
    <n v="134000"/>
    <n v="124000"/>
    <m/>
    <m/>
    <m/>
    <m/>
    <m/>
    <m/>
    <m/>
  </r>
  <r>
    <x v="6"/>
    <x v="6"/>
    <s v="Brand"/>
    <s v="ABSA Cup "/>
    <s v="Television"/>
    <n v="855000"/>
    <n v="1125000"/>
    <m/>
    <m/>
    <n v="450000"/>
    <n v="450000"/>
    <n v="225000"/>
    <m/>
    <m/>
    <m/>
    <m/>
    <m/>
    <m/>
    <m/>
  </r>
  <r>
    <x v="6"/>
    <x v="6"/>
    <s v="Brand"/>
    <s v="ABSA Cup "/>
    <s v="Digital"/>
    <n v="166440"/>
    <n v="219000"/>
    <m/>
    <m/>
    <m/>
    <n v="210300"/>
    <n v="8700"/>
    <m/>
    <m/>
    <m/>
    <m/>
    <m/>
    <m/>
    <m/>
  </r>
  <r>
    <x v="6"/>
    <x v="6"/>
    <s v="Brand"/>
    <s v="ABSA Cup "/>
    <s v="DOOH"/>
    <n v="279162.44"/>
    <n v="367319"/>
    <m/>
    <m/>
    <n v="205319"/>
    <m/>
    <n v="162000"/>
    <m/>
    <m/>
    <m/>
    <m/>
    <m/>
    <m/>
    <m/>
  </r>
  <r>
    <x v="6"/>
    <x v="6"/>
    <s v="Brand"/>
    <s v="ABSA Cup "/>
    <s v="Radio"/>
    <n v="650095.89839999995"/>
    <n v="855389.34"/>
    <m/>
    <m/>
    <n v="427694.67"/>
    <n v="427694.67"/>
    <m/>
    <m/>
    <m/>
    <m/>
    <m/>
    <m/>
    <m/>
    <m/>
  </r>
  <r>
    <x v="6"/>
    <x v="6"/>
    <s v="Brand"/>
    <s v="ABSA Cup "/>
    <s v="OOH"/>
    <n v="142393.60000000001"/>
    <n v="187360"/>
    <m/>
    <m/>
    <n v="93680"/>
    <n v="46840"/>
    <n v="46840"/>
    <m/>
    <m/>
    <m/>
    <m/>
    <m/>
    <m/>
    <m/>
  </r>
  <r>
    <x v="6"/>
    <x v="6"/>
    <s v="RBB"/>
    <s v="Infinity Card"/>
    <s v="OOH"/>
    <n v="354540"/>
    <n v="466500"/>
    <m/>
    <m/>
    <n v="94500"/>
    <n v="62000"/>
    <n v="62000"/>
    <n v="62000"/>
    <n v="62000"/>
    <n v="62000"/>
    <n v="62000"/>
    <m/>
    <m/>
    <m/>
  </r>
  <r>
    <x v="6"/>
    <x v="6"/>
    <s v="BB"/>
    <s v="Inspire Me Conference - Women in Business"/>
    <s v="Digital"/>
    <n v="243200"/>
    <n v="320000"/>
    <m/>
    <m/>
    <m/>
    <m/>
    <m/>
    <n v="160000"/>
    <n v="160000"/>
    <m/>
    <m/>
    <m/>
    <m/>
    <m/>
  </r>
  <r>
    <x v="6"/>
    <x v="6"/>
    <s v="BB"/>
    <s v="Inspire Me Conference - Women in Business"/>
    <s v="DOOH"/>
    <n v="47120"/>
    <n v="62000"/>
    <m/>
    <m/>
    <m/>
    <m/>
    <m/>
    <n v="62000"/>
    <m/>
    <m/>
    <m/>
    <m/>
    <m/>
    <m/>
  </r>
  <r>
    <x v="6"/>
    <x v="6"/>
    <s v="BB"/>
    <s v="Inspire Me Conference - Women in Business"/>
    <s v="Radio"/>
    <n v="0"/>
    <n v="0"/>
    <m/>
    <m/>
    <m/>
    <m/>
    <m/>
    <m/>
    <m/>
    <m/>
    <m/>
    <m/>
    <m/>
    <m/>
  </r>
  <r>
    <x v="6"/>
    <x v="6"/>
    <s v="BB"/>
    <s v="Inspire Me Conference - Women in Business"/>
    <s v="OOH"/>
    <n v="62168"/>
    <n v="81800"/>
    <m/>
    <m/>
    <m/>
    <m/>
    <m/>
    <n v="40900"/>
    <n v="40900"/>
    <m/>
    <m/>
    <m/>
    <m/>
    <m/>
  </r>
  <r>
    <x v="6"/>
    <x v="6"/>
    <s v="BB"/>
    <s v="Inspire Me Conference - Women in Business"/>
    <s v="Print"/>
    <n v="60800"/>
    <n v="80000"/>
    <m/>
    <m/>
    <m/>
    <m/>
    <m/>
    <m/>
    <n v="80000"/>
    <m/>
    <m/>
    <m/>
    <m/>
    <m/>
  </r>
  <r>
    <x v="6"/>
    <x v="6"/>
    <s v="RBB"/>
    <s v="Swipe and Win "/>
    <s v="Digital"/>
    <n v="342912"/>
    <n v="451200"/>
    <m/>
    <m/>
    <m/>
    <m/>
    <m/>
    <n v="62600"/>
    <n v="62600"/>
    <n v="75600"/>
    <n v="62600"/>
    <n v="62600"/>
    <n v="62600"/>
    <n v="62600"/>
  </r>
  <r>
    <x v="6"/>
    <x v="6"/>
    <s v="RBB"/>
    <s v="Swipe and Win "/>
    <s v="DOOH"/>
    <n v="330296"/>
    <n v="434600"/>
    <m/>
    <m/>
    <m/>
    <m/>
    <m/>
    <n v="62000"/>
    <n v="62000"/>
    <n v="62000"/>
    <n v="62600"/>
    <n v="62000"/>
    <n v="62000"/>
    <n v="62000"/>
  </r>
  <r>
    <x v="6"/>
    <x v="6"/>
    <s v="RBB"/>
    <s v="Swipe and Win "/>
    <s v="Television"/>
    <n v="171000"/>
    <n v="225000"/>
    <m/>
    <m/>
    <m/>
    <m/>
    <m/>
    <m/>
    <m/>
    <n v="225000"/>
    <m/>
    <m/>
    <m/>
    <m/>
  </r>
  <r>
    <x v="6"/>
    <x v="6"/>
    <s v="RBB"/>
    <s v="Swipe and Win "/>
    <s v="Radio"/>
    <n v="977422.32000000007"/>
    <n v="1286082"/>
    <m/>
    <m/>
    <m/>
    <m/>
    <m/>
    <n v="213847"/>
    <n v="113847"/>
    <n v="103000"/>
    <n v="213847"/>
    <n v="213847"/>
    <n v="213847"/>
    <n v="213847"/>
  </r>
  <r>
    <x v="6"/>
    <x v="6"/>
    <s v="RBB"/>
    <s v="Swipe and Win "/>
    <s v="OOH"/>
    <n v="260528"/>
    <n v="342800"/>
    <m/>
    <m/>
    <m/>
    <m/>
    <m/>
    <n v="85700"/>
    <n v="85700"/>
    <n v="85700"/>
    <n v="85700"/>
    <m/>
    <m/>
    <m/>
  </r>
  <r>
    <x v="6"/>
    <x v="6"/>
    <s v="RBB"/>
    <s v="Ulitamte Plus Account "/>
    <s v="Radio"/>
    <n v="243785.58000000002"/>
    <n v="320770.5"/>
    <m/>
    <m/>
    <m/>
    <m/>
    <m/>
    <n v="213847"/>
    <n v="106923.5"/>
    <m/>
    <m/>
    <m/>
    <m/>
    <m/>
  </r>
  <r>
    <x v="6"/>
    <x v="6"/>
    <s v="RBB"/>
    <s v="Salary Advance"/>
    <s v="Radio"/>
    <n v="514461.86"/>
    <n v="676923.5"/>
    <m/>
    <m/>
    <m/>
    <m/>
    <m/>
    <m/>
    <n v="150000"/>
    <n v="106923.5"/>
    <n v="140000"/>
    <n v="140000"/>
    <n v="140000"/>
    <m/>
  </r>
  <r>
    <x v="6"/>
    <x v="6"/>
    <s v="RBB"/>
    <s v="Salary Advance"/>
    <s v="Television"/>
    <n v="513000"/>
    <n v="675000"/>
    <m/>
    <m/>
    <m/>
    <m/>
    <m/>
    <m/>
    <m/>
    <m/>
    <n v="225000"/>
    <n v="450000"/>
    <m/>
    <m/>
  </r>
  <r>
    <x v="6"/>
    <x v="6"/>
    <s v="RBB"/>
    <s v="Salary Advance"/>
    <s v="Digital"/>
    <n v="65360"/>
    <n v="86000"/>
    <m/>
    <m/>
    <m/>
    <m/>
    <m/>
    <m/>
    <m/>
    <m/>
    <n v="43000"/>
    <n v="43000"/>
    <m/>
    <m/>
  </r>
  <r>
    <x v="6"/>
    <x v="6"/>
    <s v="BB"/>
    <s v="Mobi Tap"/>
    <s v="Television"/>
    <n v="34200"/>
    <n v="45000"/>
    <m/>
    <m/>
    <m/>
    <m/>
    <m/>
    <m/>
    <m/>
    <m/>
    <n v="45000"/>
    <m/>
    <m/>
    <m/>
  </r>
  <r>
    <x v="6"/>
    <x v="6"/>
    <s v="BB"/>
    <s v="Mobi Tap"/>
    <s v="Radio"/>
    <n v="319200"/>
    <n v="420000"/>
    <m/>
    <m/>
    <m/>
    <m/>
    <m/>
    <m/>
    <m/>
    <m/>
    <n v="140000"/>
    <n v="140000"/>
    <n v="140000"/>
    <m/>
  </r>
  <r>
    <x v="6"/>
    <x v="6"/>
    <s v="BB"/>
    <s v="Mobi Tap"/>
    <s v="DOOH"/>
    <n v="47120"/>
    <n v="62000"/>
    <m/>
    <m/>
    <m/>
    <m/>
    <m/>
    <m/>
    <m/>
    <m/>
    <n v="62000"/>
    <m/>
    <m/>
    <m/>
  </r>
  <r>
    <x v="6"/>
    <x v="6"/>
    <s v="BB"/>
    <s v="Mobi Tap"/>
    <s v="Digital"/>
    <n v="39520"/>
    <n v="52000"/>
    <m/>
    <m/>
    <m/>
    <m/>
    <m/>
    <m/>
    <m/>
    <m/>
    <n v="52000"/>
    <m/>
    <m/>
    <m/>
  </r>
  <r>
    <x v="7"/>
    <x v="7"/>
    <s v="RBB"/>
    <s v="Jooga 2025 Campaign"/>
    <s v="Television"/>
    <n v="1960000"/>
    <n v="392000000"/>
    <n v="28000000"/>
    <n v="28000000"/>
    <n v="28000000"/>
    <n v="28000000"/>
    <n v="56000000"/>
    <n v="56000000"/>
    <n v="56000000"/>
    <n v="56000000"/>
    <n v="56000000"/>
    <m/>
    <m/>
    <m/>
  </r>
  <r>
    <x v="7"/>
    <x v="7"/>
    <s v="RBB"/>
    <s v="Jooga 2025 Campaign"/>
    <s v="Digital"/>
    <n v="742918.76777500007"/>
    <n v="148583753.55500001"/>
    <m/>
    <m/>
    <n v="26872160"/>
    <n v="84239909"/>
    <n v="17321188"/>
    <n v="20150496.555"/>
    <m/>
    <n v="0"/>
    <m/>
    <m/>
    <m/>
    <m/>
  </r>
  <r>
    <x v="7"/>
    <x v="7"/>
    <s v="RBB"/>
    <s v="Jooga 2025 Campaign"/>
    <s v="Radio"/>
    <n v="1563100"/>
    <n v="312620000"/>
    <n v="60199999.999999993"/>
    <n v="54720000"/>
    <n v="36500000"/>
    <n v="80950000"/>
    <n v="80250000"/>
    <m/>
    <n v="0"/>
    <n v="0"/>
    <m/>
    <m/>
    <m/>
    <m/>
  </r>
  <r>
    <x v="7"/>
    <x v="7"/>
    <s v="RBB"/>
    <s v="Jooga 2025 Campaign"/>
    <s v="OOH"/>
    <n v="163100"/>
    <n v="32620000"/>
    <n v="7000000"/>
    <n v="5600000"/>
    <n v="6020000"/>
    <n v="7000000"/>
    <n v="7000000"/>
    <m/>
    <m/>
    <n v="0"/>
    <m/>
    <m/>
    <m/>
    <m/>
  </r>
  <r>
    <x v="7"/>
    <x v="7"/>
    <s v="RBB"/>
    <s v="Jooga 2025 Campaign"/>
    <s v="Print"/>
    <n v="135295.57"/>
    <n v="27059114"/>
    <n v="6802490"/>
    <n v="6752208"/>
    <n v="6752208"/>
    <n v="6752208"/>
    <m/>
    <m/>
    <m/>
    <n v="0"/>
    <m/>
    <m/>
    <m/>
    <m/>
  </r>
  <r>
    <x v="7"/>
    <x v="7"/>
    <s v="RBB"/>
    <s v="7 Hills 2025 Campaign"/>
    <s v="Television"/>
    <n v="120000"/>
    <n v="24000000"/>
    <m/>
    <m/>
    <n v="24000000"/>
    <m/>
    <m/>
    <m/>
    <m/>
    <n v="0"/>
    <m/>
    <m/>
    <m/>
    <m/>
  </r>
  <r>
    <x v="7"/>
    <x v="7"/>
    <s v="RBB"/>
    <s v="7 Hills 2025 Campaign"/>
    <s v="Digital"/>
    <n v="828545.85499999998"/>
    <n v="165709171"/>
    <m/>
    <n v="65342554"/>
    <n v="100366617"/>
    <m/>
    <m/>
    <m/>
    <m/>
    <n v="0"/>
    <m/>
    <m/>
    <m/>
    <m/>
  </r>
  <r>
    <x v="7"/>
    <x v="7"/>
    <s v="RBB"/>
    <s v="7 Hills 2025 Campaign"/>
    <s v="Radio"/>
    <n v="351160"/>
    <n v="70232000"/>
    <m/>
    <n v="27360000"/>
    <n v="42872000"/>
    <n v="0"/>
    <n v="0"/>
    <m/>
    <n v="0"/>
    <n v="0"/>
    <m/>
    <m/>
    <m/>
    <m/>
  </r>
  <r>
    <x v="7"/>
    <x v="7"/>
    <s v="RBB"/>
    <s v="7 Hills 2025 Campaign"/>
    <s v="DOOH"/>
    <n v="24500"/>
    <n v="4900000"/>
    <m/>
    <n v="2800000"/>
    <n v="2100000"/>
    <m/>
    <m/>
    <m/>
    <m/>
    <n v="0"/>
    <m/>
    <m/>
    <m/>
    <m/>
  </r>
  <r>
    <x v="7"/>
    <x v="7"/>
    <s v="RBB"/>
    <s v="PLAY YOUR CARDS RIGHT"/>
    <s v="Digital"/>
    <n v="127578.22140000001"/>
    <n v="25515644.280000001"/>
    <m/>
    <m/>
    <m/>
    <m/>
    <m/>
    <n v="16043648.279999999"/>
    <n v="9471996"/>
    <m/>
    <m/>
    <m/>
    <m/>
    <m/>
  </r>
  <r>
    <x v="7"/>
    <x v="7"/>
    <s v="RBB"/>
    <s v="PLAY YOUR CARDS RIGHT"/>
    <s v="Radio"/>
    <n v="572500"/>
    <n v="114500000"/>
    <m/>
    <m/>
    <m/>
    <m/>
    <m/>
    <n v="52200000"/>
    <n v="31150000"/>
    <n v="31150000"/>
    <m/>
    <m/>
    <m/>
    <m/>
  </r>
  <r>
    <x v="7"/>
    <x v="7"/>
    <s v="RBB"/>
    <s v="PLAY YOUR CARDS RIGHT"/>
    <s v="DOOH"/>
    <n v="105000"/>
    <n v="21000000"/>
    <m/>
    <m/>
    <m/>
    <m/>
    <m/>
    <n v="7000000"/>
    <n v="7000000"/>
    <n v="7000000"/>
    <m/>
    <m/>
    <m/>
    <m/>
  </r>
  <r>
    <x v="7"/>
    <x v="7"/>
    <s v="RBB"/>
    <s v="PLAY YOUR CARDS RIGHT"/>
    <s v="Print"/>
    <n v="57435.154999999999"/>
    <n v="11487031"/>
    <m/>
    <m/>
    <m/>
    <m/>
    <m/>
    <n v="11487031"/>
    <m/>
    <n v="0"/>
    <m/>
    <m/>
    <m/>
    <m/>
  </r>
  <r>
    <x v="7"/>
    <x v="7"/>
    <s v="RBB"/>
    <s v="TRADE FINANCE"/>
    <s v="Television"/>
    <n v="560000"/>
    <n v="112000000"/>
    <n v="28000000"/>
    <n v="28000000"/>
    <n v="28000000"/>
    <n v="28000000"/>
    <m/>
    <m/>
    <m/>
    <m/>
    <m/>
    <m/>
    <m/>
    <m/>
  </r>
  <r>
    <x v="7"/>
    <x v="7"/>
    <s v="RBB"/>
    <s v="TRADE FINANCE"/>
    <s v="Digital"/>
    <n v="63175.755000000005"/>
    <n v="12635151"/>
    <m/>
    <m/>
    <n v="12635151"/>
    <m/>
    <m/>
    <m/>
    <m/>
    <n v="0"/>
    <m/>
    <m/>
    <m/>
    <m/>
  </r>
  <r>
    <x v="7"/>
    <x v="7"/>
    <s v="RBB"/>
    <s v="TRADE FINANCE"/>
    <s v="Radio"/>
    <n v="312000"/>
    <n v="62400000"/>
    <n v="25800000"/>
    <n v="9120000"/>
    <n v="13980000"/>
    <n v="6750000"/>
    <n v="6750000"/>
    <m/>
    <n v="0"/>
    <n v="0"/>
    <m/>
    <m/>
    <m/>
    <m/>
  </r>
  <r>
    <x v="7"/>
    <x v="7"/>
    <s v="RBB"/>
    <s v="TRADE FINANCE"/>
    <s v="DOOH"/>
    <n v="162400"/>
    <n v="32480000"/>
    <n v="7000000"/>
    <n v="5600000"/>
    <n v="5880000"/>
    <n v="7000000"/>
    <n v="7000000"/>
    <m/>
    <m/>
    <n v="0"/>
    <m/>
    <m/>
    <m/>
    <m/>
  </r>
  <r>
    <x v="7"/>
    <x v="7"/>
    <s v="RBB"/>
    <s v="TRADE FINANCE"/>
    <s v="Print"/>
    <n v="535134.16500000004"/>
    <n v="107026833"/>
    <n v="54163510"/>
    <n v="40664095"/>
    <n v="12199228"/>
    <m/>
    <m/>
    <m/>
    <m/>
    <n v="0"/>
    <m/>
    <m/>
    <m/>
    <m/>
  </r>
  <r>
    <x v="7"/>
    <x v="7"/>
    <s v="RBB"/>
    <s v="ABSA ACCESS"/>
    <s v="Digital"/>
    <n v="54703.577349999992"/>
    <n v="10940715.469999999"/>
    <m/>
    <m/>
    <m/>
    <m/>
    <m/>
    <n v="6973515.4699999997"/>
    <n v="3967200"/>
    <m/>
    <m/>
    <m/>
    <m/>
    <m/>
  </r>
  <r>
    <x v="7"/>
    <x v="7"/>
    <s v="RBB"/>
    <s v="ABSA ACCESS"/>
    <s v="DOOH"/>
    <n v="14000"/>
    <n v="2800000"/>
    <m/>
    <m/>
    <m/>
    <m/>
    <m/>
    <m/>
    <n v="1400000"/>
    <n v="1400000"/>
    <m/>
    <m/>
    <m/>
    <m/>
  </r>
  <r>
    <x v="7"/>
    <x v="7"/>
    <s v="RBB"/>
    <s v="POST BUDGET DIALOGUE"/>
    <s v="Television"/>
    <n v="200000"/>
    <n v="40000000"/>
    <m/>
    <m/>
    <m/>
    <m/>
    <m/>
    <n v="40000000"/>
    <m/>
    <n v="0"/>
    <m/>
    <m/>
    <m/>
    <m/>
  </r>
  <r>
    <x v="7"/>
    <x v="7"/>
    <s v="RBB"/>
    <s v="DIGILOAN"/>
    <s v="Digital"/>
    <n v="76411.525850000005"/>
    <n v="15282305.17"/>
    <m/>
    <m/>
    <m/>
    <m/>
    <m/>
    <n v="15282305.17"/>
    <m/>
    <m/>
    <m/>
    <m/>
    <m/>
    <m/>
  </r>
  <r>
    <x v="7"/>
    <x v="7"/>
    <s v="RBB"/>
    <s v="DIGILOAN"/>
    <s v="Radio"/>
    <n v="517500"/>
    <n v="103500000"/>
    <m/>
    <m/>
    <m/>
    <m/>
    <m/>
    <n v="34800000"/>
    <n v="13350000"/>
    <n v="13350000"/>
    <n v="42000000"/>
    <m/>
    <m/>
    <m/>
  </r>
  <r>
    <x v="7"/>
    <x v="7"/>
    <s v="RBB"/>
    <s v="DIGILOAN"/>
    <s v="DOOH"/>
    <n v="98500"/>
    <n v="19700000"/>
    <m/>
    <m/>
    <m/>
    <m/>
    <m/>
    <n v="7000000"/>
    <n v="5600000"/>
    <n v="5600000"/>
    <n v="1500000"/>
    <m/>
    <m/>
    <m/>
  </r>
  <r>
    <x v="7"/>
    <x v="7"/>
    <s v="RBB"/>
    <s v="SEO SEARCH ENGINE - MULTI CAMPAIGN"/>
    <s v="Digital"/>
    <n v="27833.940000000002"/>
    <n v="5566788"/>
    <m/>
    <m/>
    <m/>
    <m/>
    <m/>
    <m/>
    <m/>
    <n v="4846788"/>
    <n v="720000"/>
    <m/>
    <m/>
    <m/>
  </r>
  <r>
    <x v="7"/>
    <x v="7"/>
    <s v="RBB"/>
    <s v="Business Club"/>
    <s v="DOOH"/>
    <n v="42500"/>
    <n v="8500000"/>
    <m/>
    <m/>
    <m/>
    <m/>
    <m/>
    <m/>
    <m/>
    <m/>
    <n v="8500000"/>
    <m/>
    <m/>
    <m/>
  </r>
  <r>
    <x v="7"/>
    <x v="7"/>
    <s v="RBB"/>
    <s v="Business Club"/>
    <s v="Print"/>
    <n v="31864.405000000002"/>
    <n v="6372881"/>
    <m/>
    <m/>
    <m/>
    <m/>
    <m/>
    <m/>
    <m/>
    <m/>
    <n v="6372881"/>
    <m/>
    <m/>
    <m/>
  </r>
  <r>
    <x v="7"/>
    <x v="7"/>
    <s v="RBB"/>
    <s v="Cash Management"/>
    <s v="DOOH"/>
    <n v="20000"/>
    <n v="4000000"/>
    <m/>
    <m/>
    <m/>
    <m/>
    <m/>
    <m/>
    <m/>
    <m/>
    <n v="4000000"/>
    <m/>
    <m/>
    <m/>
  </r>
  <r>
    <x v="7"/>
    <x v="7"/>
    <s v="RBB"/>
    <s v="Cash Management"/>
    <s v="Print"/>
    <n v="31864.405000000002"/>
    <n v="6372881"/>
    <m/>
    <m/>
    <m/>
    <m/>
    <m/>
    <m/>
    <m/>
    <m/>
    <n v="6372881"/>
    <m/>
    <m/>
    <m/>
  </r>
  <r>
    <x v="8"/>
    <x v="8"/>
    <s v="RBB"/>
    <s v="Brand Positioning"/>
    <s v="DOOH"/>
    <n v="10896.300000000001"/>
    <n v="9000"/>
    <m/>
    <m/>
    <m/>
    <m/>
    <m/>
    <m/>
    <m/>
    <m/>
    <m/>
    <m/>
    <m/>
    <m/>
  </r>
  <r>
    <x v="8"/>
    <x v="8"/>
    <s v="RBB"/>
    <s v="Brand Positioning"/>
    <s v="OOH"/>
    <n v="149473.02200000003"/>
    <n v="123460"/>
    <m/>
    <m/>
    <m/>
    <m/>
    <m/>
    <m/>
    <m/>
    <m/>
    <m/>
    <m/>
    <m/>
    <m/>
  </r>
  <r>
    <x v="8"/>
    <x v="8"/>
    <s v="RBB"/>
    <s v="Brand Positioning"/>
    <s v="Digital"/>
    <n v="11138.44"/>
    <n v="9200"/>
    <m/>
    <m/>
    <m/>
    <m/>
    <m/>
    <m/>
    <m/>
    <m/>
    <m/>
    <m/>
    <m/>
    <m/>
  </r>
  <r>
    <x v="8"/>
    <x v="8"/>
    <s v="RBB"/>
    <s v="VAF CAR LOAN"/>
    <s v="DOOH"/>
    <n v="10896.300000000001"/>
    <n v="9000"/>
    <m/>
    <m/>
    <m/>
    <m/>
    <m/>
    <m/>
    <m/>
    <m/>
    <m/>
    <m/>
    <m/>
    <m/>
  </r>
  <r>
    <x v="8"/>
    <x v="8"/>
    <s v="RBB"/>
    <s v="VAF CAR LOAN"/>
    <s v="OOH"/>
    <n v="145909.93190000003"/>
    <n v="120517"/>
    <m/>
    <m/>
    <m/>
    <m/>
    <m/>
    <m/>
    <m/>
    <m/>
    <m/>
    <m/>
    <m/>
    <m/>
  </r>
  <r>
    <x v="8"/>
    <x v="8"/>
    <s v="RBB"/>
    <s v="MOBI TOP "/>
    <s v="Radio"/>
    <n v="71531.788100000005"/>
    <n v="59083"/>
    <m/>
    <m/>
    <m/>
    <m/>
    <m/>
    <m/>
    <m/>
    <m/>
    <m/>
    <m/>
    <m/>
    <m/>
  </r>
  <r>
    <x v="8"/>
    <x v="8"/>
    <s v="RBB"/>
    <s v="MOBI TOP "/>
    <s v="DOOH"/>
    <n v="10896.300000000001"/>
    <n v="9000"/>
    <m/>
    <m/>
    <m/>
    <m/>
    <m/>
    <m/>
    <m/>
    <m/>
    <m/>
    <m/>
    <m/>
    <m/>
  </r>
  <r>
    <x v="8"/>
    <x v="8"/>
    <s v="RBB"/>
    <s v="MOBI TOP "/>
    <s v="OOH"/>
    <n v="99176.911900000006"/>
    <n v="81917"/>
    <m/>
    <m/>
    <m/>
    <m/>
    <m/>
    <m/>
    <m/>
    <m/>
    <m/>
    <m/>
    <m/>
    <m/>
  </r>
  <r>
    <x v="8"/>
    <x v="8"/>
    <s v="RBB"/>
    <s v="PREMIER BANKING CVP"/>
    <s v="Print"/>
    <n v="6683.0640000000003"/>
    <n v="5520"/>
    <m/>
    <m/>
    <m/>
    <m/>
    <m/>
    <m/>
    <m/>
    <m/>
    <m/>
    <m/>
    <m/>
    <m/>
  </r>
  <r>
    <x v="8"/>
    <x v="8"/>
    <s v="RBB"/>
    <s v="PREMIER BANKING CVP"/>
    <s v="DOOH"/>
    <n v="19371.2"/>
    <n v="16000"/>
    <m/>
    <m/>
    <m/>
    <m/>
    <m/>
    <m/>
    <m/>
    <m/>
    <m/>
    <m/>
    <m/>
    <m/>
  </r>
  <r>
    <x v="8"/>
    <x v="8"/>
    <s v="RBB"/>
    <s v="PREMIER BANKING CVP"/>
    <s v="Digital"/>
    <n v="15860.170000000002"/>
    <n v="13100"/>
    <m/>
    <m/>
    <m/>
    <m/>
    <m/>
    <m/>
    <m/>
    <m/>
    <m/>
    <m/>
    <m/>
    <m/>
  </r>
  <r>
    <x v="8"/>
    <x v="8"/>
    <s v="RBB"/>
    <s v="FESTIVE CARD"/>
    <s v="DOOH"/>
    <n v="15739.100000000002"/>
    <n v="13000"/>
    <m/>
    <m/>
    <m/>
    <m/>
    <m/>
    <m/>
    <m/>
    <m/>
    <m/>
    <m/>
    <m/>
    <m/>
  </r>
  <r>
    <x v="8"/>
    <x v="8"/>
    <s v="RBB"/>
    <s v="FESTIVE CARD"/>
    <s v="Digital"/>
    <n v="15860.170000000002"/>
    <n v="13100"/>
    <m/>
    <m/>
    <m/>
    <m/>
    <m/>
    <m/>
    <m/>
    <m/>
    <m/>
    <m/>
    <m/>
    <m/>
  </r>
  <r>
    <x v="8"/>
    <x v="8"/>
    <s v="RBB"/>
    <s v="SIGNATURE CARD"/>
    <s v="Print"/>
    <n v="15032.051200000002"/>
    <n v="12416"/>
    <m/>
    <m/>
    <m/>
    <m/>
    <m/>
    <m/>
    <m/>
    <m/>
    <m/>
    <m/>
    <m/>
    <m/>
  </r>
  <r>
    <x v="8"/>
    <x v="8"/>
    <s v="RBB"/>
    <s v="SIGNATURE CARD"/>
    <s v="DOOH"/>
    <n v="36387.588500000005"/>
    <n v="30055"/>
    <m/>
    <m/>
    <m/>
    <m/>
    <m/>
    <m/>
    <m/>
    <m/>
    <m/>
    <m/>
    <m/>
    <m/>
  </r>
  <r>
    <x v="8"/>
    <x v="8"/>
    <s v="RBB"/>
    <s v="SIGNATURE CARD"/>
    <s v="Digital"/>
    <n v="61079.815000000002"/>
    <n v="50450"/>
    <m/>
    <m/>
    <m/>
    <m/>
    <m/>
    <m/>
    <m/>
    <m/>
    <m/>
    <m/>
    <m/>
    <m/>
  </r>
  <r>
    <x v="8"/>
    <x v="8"/>
    <s v="RBB"/>
    <s v="FIXED DEPOSIT"/>
    <s v="Television"/>
    <n v="22809.588000000003"/>
    <n v="18840"/>
    <m/>
    <m/>
    <m/>
    <m/>
    <m/>
    <m/>
    <m/>
    <m/>
    <m/>
    <m/>
    <m/>
    <m/>
  </r>
  <r>
    <x v="8"/>
    <x v="8"/>
    <s v="RBB"/>
    <s v="FIXED DEPOSIT"/>
    <s v="Radio"/>
    <n v="55625.611500000006"/>
    <n v="45945"/>
    <m/>
    <m/>
    <m/>
    <m/>
    <m/>
    <m/>
    <m/>
    <m/>
    <m/>
    <m/>
    <m/>
    <m/>
  </r>
  <r>
    <x v="8"/>
    <x v="8"/>
    <s v="RBB"/>
    <s v="FIXED DEPOSIT"/>
    <s v="Print"/>
    <n v="27337.606000000003"/>
    <n v="22580"/>
    <m/>
    <m/>
    <m/>
    <m/>
    <m/>
    <m/>
    <m/>
    <m/>
    <m/>
    <m/>
    <m/>
    <m/>
  </r>
  <r>
    <x v="8"/>
    <x v="8"/>
    <s v="RBB"/>
    <s v="FIXED DEPOSIT"/>
    <s v="DOOH"/>
    <n v="21563.777700000002"/>
    <n v="17811"/>
    <m/>
    <m/>
    <m/>
    <m/>
    <m/>
    <m/>
    <m/>
    <m/>
    <m/>
    <m/>
    <m/>
    <m/>
  </r>
  <r>
    <x v="8"/>
    <x v="8"/>
    <s v="RBB"/>
    <s v="FIXED DEPOSIT"/>
    <s v="Digital"/>
    <n v="57241.896000000008"/>
    <n v="47280"/>
    <m/>
    <m/>
    <m/>
    <m/>
    <m/>
    <m/>
    <m/>
    <m/>
    <m/>
    <m/>
    <m/>
    <m/>
  </r>
  <r>
    <x v="8"/>
    <x v="8"/>
    <s v="RBB"/>
    <s v="BUSINESS CREDIT CARD"/>
    <s v="Radio"/>
    <n v="55625.611500000006"/>
    <n v="45945"/>
    <m/>
    <m/>
    <m/>
    <m/>
    <m/>
    <m/>
    <m/>
    <m/>
    <m/>
    <m/>
    <m/>
    <m/>
  </r>
  <r>
    <x v="8"/>
    <x v="8"/>
    <s v="RBB"/>
    <s v="BUSINESS CREDIT CARD"/>
    <s v="Print"/>
    <n v="30742.094400000002"/>
    <n v="25392"/>
    <m/>
    <m/>
    <m/>
    <m/>
    <m/>
    <m/>
    <m/>
    <m/>
    <m/>
    <m/>
    <m/>
    <m/>
  </r>
  <r>
    <x v="8"/>
    <x v="8"/>
    <s v="RBB"/>
    <s v="BUSINESS CREDIT CARD"/>
    <s v="DOOH"/>
    <n v="23756.3554"/>
    <n v="19622"/>
    <m/>
    <m/>
    <m/>
    <m/>
    <m/>
    <m/>
    <m/>
    <m/>
    <m/>
    <m/>
    <m/>
    <m/>
  </r>
  <r>
    <x v="8"/>
    <x v="8"/>
    <s v="RBB"/>
    <s v="BUSINESS CREDIT CARD"/>
    <s v="Digital"/>
    <n v="21017.752"/>
    <n v="17360"/>
    <m/>
    <m/>
    <m/>
    <m/>
    <m/>
    <m/>
    <m/>
    <m/>
    <m/>
    <m/>
    <m/>
    <m/>
  </r>
  <r>
    <x v="9"/>
    <x v="9"/>
    <s v="Brand"/>
    <s v="Repositioning Campaign"/>
    <s v="Digital"/>
    <n v="1737095.7772000001"/>
    <n v="6203913.4900000002"/>
    <n v="566629.75"/>
    <n v="681175.75"/>
    <n v="681175.75"/>
    <n v="949123.75"/>
    <n v="663617"/>
    <n v="854579.52"/>
    <n v="788828.48"/>
    <n v="788828.48"/>
    <n v="229955.01"/>
    <m/>
    <m/>
    <m/>
  </r>
  <r>
    <x v="9"/>
    <x v="9"/>
    <s v="Brand"/>
    <s v="Repositioning Campaign"/>
    <s v="Radio"/>
    <n v="75735.240000000005"/>
    <n v="270483"/>
    <m/>
    <n v="44172"/>
    <n v="0"/>
    <n v="0"/>
    <n v="226311"/>
    <s v="           -  "/>
    <n v="0"/>
    <n v="0"/>
    <n v="0"/>
    <m/>
    <m/>
    <m/>
  </r>
  <r>
    <x v="9"/>
    <x v="9"/>
    <s v="Brand"/>
    <s v="Repositioning Campaign"/>
    <s v="OOH"/>
    <n v="3011100.7164000007"/>
    <n v="10753931.130000001"/>
    <n v="513000"/>
    <n v="873875"/>
    <n v="1062237"/>
    <n v="1588829"/>
    <n v="1588829"/>
    <n v="1065853.25"/>
    <n v="1559596.08"/>
    <n v="1395022"/>
    <n v="1106689.8"/>
    <m/>
    <m/>
    <m/>
  </r>
  <r>
    <x v="9"/>
    <x v="9"/>
    <s v="Brand"/>
    <s v="Repositioning Campaign"/>
    <s v="DOOH"/>
    <n v="1254906.3044"/>
    <n v="4481808.2299999995"/>
    <n v="267337.59999999998"/>
    <n v="267337.59999999998"/>
    <n v="338021"/>
    <n v="665239"/>
    <n v="327218"/>
    <n v="1007825.86"/>
    <n v="551385.92000000004"/>
    <n v="551385.92000000004"/>
    <n v="506057.33"/>
    <m/>
    <m/>
    <m/>
  </r>
  <r>
    <x v="9"/>
    <x v="9"/>
    <s v="Brand"/>
    <s v="Repositioning Campaign"/>
    <s v="Print"/>
    <n v="715863.70520000008"/>
    <n v="2556656.09"/>
    <n v="334400"/>
    <n v="150128"/>
    <n v="150128"/>
    <n v="387219.20000000001"/>
    <n v="317798.2"/>
    <n v="422114.69"/>
    <n v="0"/>
    <n v="605598"/>
    <n v="189270"/>
    <m/>
    <m/>
    <m/>
  </r>
  <r>
    <x v="9"/>
    <x v="9"/>
    <s v="Brand"/>
    <s v="Repositioning Campaign"/>
    <s v="Other"/>
    <n v="482980.4"/>
    <n v="1724930"/>
    <m/>
    <n v="862465"/>
    <n v="862465"/>
    <n v="0"/>
    <n v="0"/>
    <s v="                 -  "/>
    <n v="0"/>
    <n v="0"/>
    <n v="0"/>
    <m/>
    <m/>
    <m/>
  </r>
  <r>
    <x v="9"/>
    <x v="9"/>
    <s v="RBB"/>
    <s v="Canais Digitais"/>
    <s v="Digital"/>
    <n v="6643.8372000000008"/>
    <n v="23727.99"/>
    <m/>
    <m/>
    <m/>
    <m/>
    <m/>
    <m/>
    <m/>
    <m/>
    <n v="23727.99"/>
    <m/>
    <m/>
    <m/>
  </r>
  <r>
    <x v="9"/>
    <x v="9"/>
    <s v="RBB"/>
    <s v="Canais Digitais"/>
    <s v="Digital"/>
    <n v="25335.609600000003"/>
    <n v="90484.32"/>
    <m/>
    <m/>
    <m/>
    <m/>
    <m/>
    <m/>
    <m/>
    <m/>
    <n v="90484.32"/>
    <m/>
    <m/>
    <m/>
  </r>
  <r>
    <x v="9"/>
    <x v="9"/>
    <s v="RBB"/>
    <s v="Canais Digitais"/>
    <s v="Digital"/>
    <n v="19493.334000000003"/>
    <n v="69619.05"/>
    <m/>
    <m/>
    <m/>
    <m/>
    <m/>
    <m/>
    <m/>
    <m/>
    <n v="69619.05"/>
    <m/>
    <m/>
    <m/>
  </r>
  <r>
    <x v="9"/>
    <x v="9"/>
    <s v="RBB"/>
    <s v="Credit Consumer"/>
    <s v="Digital"/>
    <n v="154.58800000000002"/>
    <n v="552.1"/>
    <m/>
    <m/>
    <m/>
    <m/>
    <m/>
    <m/>
    <m/>
    <m/>
    <n v="552.1"/>
    <m/>
    <m/>
    <m/>
  </r>
  <r>
    <x v="9"/>
    <x v="9"/>
    <s v="RBB"/>
    <s v="Credit Consumer"/>
    <s v="Digital"/>
    <n v="662.71800000000007"/>
    <n v="2366.85"/>
    <m/>
    <m/>
    <m/>
    <m/>
    <m/>
    <m/>
    <m/>
    <m/>
    <n v="2366.85"/>
    <m/>
    <m/>
    <m/>
  </r>
  <r>
    <x v="9"/>
    <x v="9"/>
    <s v="RBB"/>
    <s v="Promoted Content"/>
    <s v="Digital"/>
    <n v="4861.4356000000007"/>
    <n v="17362.27"/>
    <m/>
    <m/>
    <m/>
    <m/>
    <m/>
    <m/>
    <m/>
    <m/>
    <n v="17362.27"/>
    <m/>
    <m/>
    <m/>
  </r>
  <r>
    <x v="9"/>
    <x v="9"/>
    <s v="RBB"/>
    <s v="Promoted Content"/>
    <s v="Digital"/>
    <n v="7235.8804000000009"/>
    <n v="25842.43"/>
    <m/>
    <m/>
    <m/>
    <m/>
    <m/>
    <m/>
    <m/>
    <m/>
    <n v="25842.43"/>
    <m/>
    <m/>
    <m/>
  </r>
  <r>
    <x v="10"/>
    <x v="10"/>
    <m/>
    <m/>
    <m/>
    <n v="68546839.150372252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CCE196-BC13-4FA9-8B8A-82D2A3347A3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4" firstHeaderRow="0" firstDataRow="1" firstDataCol="1"/>
  <pivotFields count="18">
    <pivotField axis="axisRow" showAll="0">
      <items count="11">
        <item x="0"/>
        <item x="1"/>
        <item x="2"/>
        <item x="3"/>
        <item x="4"/>
        <item x="9"/>
        <item x="8"/>
        <item x="5"/>
        <item x="7"/>
        <item x="6"/>
        <item t="default"/>
      </items>
    </pivotField>
    <pivotField showAll="0">
      <items count="6">
        <item x="4"/>
        <item x="2"/>
        <item x="0"/>
        <item x="1"/>
        <item x="3"/>
        <item t="default"/>
      </items>
    </pivotField>
    <pivotField showAll="0">
      <items count="105">
        <item x="49"/>
        <item x="85"/>
        <item x="55"/>
        <item x="54"/>
        <item x="62"/>
        <item x="25"/>
        <item x="26"/>
        <item x="77"/>
        <item x="74"/>
        <item x="56"/>
        <item x="57"/>
        <item x="65"/>
        <item x="59"/>
        <item x="53"/>
        <item x="58"/>
        <item x="64"/>
        <item x="60"/>
        <item x="63"/>
        <item x="27"/>
        <item x="16"/>
        <item x="42"/>
        <item x="21"/>
        <item x="14"/>
        <item x="43"/>
        <item x="31"/>
        <item x="20"/>
        <item x="51"/>
        <item x="4"/>
        <item x="68"/>
        <item x="92"/>
        <item x="40"/>
        <item x="7"/>
        <item x="90"/>
        <item x="99"/>
        <item x="101"/>
        <item x="2"/>
        <item x="91"/>
        <item x="32"/>
        <item x="1"/>
        <item x="46"/>
        <item x="0"/>
        <item x="102"/>
        <item x="88"/>
        <item x="13"/>
        <item x="96"/>
        <item x="38"/>
        <item x="98"/>
        <item x="33"/>
        <item x="23"/>
        <item x="8"/>
        <item x="66"/>
        <item x="67"/>
        <item x="78"/>
        <item x="19"/>
        <item x="79"/>
        <item x="29"/>
        <item x="84"/>
        <item x="17"/>
        <item x="41"/>
        <item x="50"/>
        <item x="24"/>
        <item x="37"/>
        <item x="83"/>
        <item x="94"/>
        <item x="18"/>
        <item x="75"/>
        <item x="44"/>
        <item x="34"/>
        <item x="12"/>
        <item x="76"/>
        <item x="48"/>
        <item x="39"/>
        <item x="69"/>
        <item x="87"/>
        <item x="70"/>
        <item x="95"/>
        <item x="28"/>
        <item x="11"/>
        <item x="103"/>
        <item x="9"/>
        <item x="45"/>
        <item x="47"/>
        <item x="36"/>
        <item x="15"/>
        <item x="100"/>
        <item x="71"/>
        <item x="82"/>
        <item x="52"/>
        <item x="3"/>
        <item x="89"/>
        <item x="22"/>
        <item x="97"/>
        <item x="10"/>
        <item x="80"/>
        <item x="30"/>
        <item x="86"/>
        <item x="81"/>
        <item x="93"/>
        <item x="35"/>
        <item x="6"/>
        <item x="5"/>
        <item x="61"/>
        <item x="73"/>
        <item x="72"/>
        <item t="default"/>
      </items>
    </pivotField>
    <pivotField showAll="0">
      <items count="11">
        <item x="1"/>
        <item x="2"/>
        <item x="8"/>
        <item x="6"/>
        <item x="4"/>
        <item x="7"/>
        <item x="9"/>
        <item x="5"/>
        <item x="3"/>
        <item x="0"/>
        <item t="default"/>
      </items>
    </pivotField>
    <pivotField numFmtId="166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>
      <items count="70">
        <item x="9"/>
        <item x="23"/>
        <item x="3"/>
        <item x="4"/>
        <item x="0"/>
        <item x="15"/>
        <item x="13"/>
        <item x="5"/>
        <item x="32"/>
        <item x="18"/>
        <item x="8"/>
        <item x="35"/>
        <item x="2"/>
        <item x="7"/>
        <item x="21"/>
        <item x="16"/>
        <item x="12"/>
        <item x="1"/>
        <item x="49"/>
        <item x="44"/>
        <item x="47"/>
        <item x="50"/>
        <item x="29"/>
        <item x="11"/>
        <item x="45"/>
        <item x="46"/>
        <item x="10"/>
        <item x="43"/>
        <item x="52"/>
        <item x="17"/>
        <item x="34"/>
        <item x="37"/>
        <item x="42"/>
        <item x="25"/>
        <item x="30"/>
        <item x="48"/>
        <item x="19"/>
        <item x="27"/>
        <item x="51"/>
        <item x="14"/>
        <item x="20"/>
        <item x="33"/>
        <item x="36"/>
        <item x="22"/>
        <item x="28"/>
        <item x="31"/>
        <item x="24"/>
        <item x="67"/>
        <item x="41"/>
        <item x="26"/>
        <item x="40"/>
        <item x="63"/>
        <item x="66"/>
        <item x="65"/>
        <item x="38"/>
        <item x="59"/>
        <item x="57"/>
        <item x="58"/>
        <item x="39"/>
        <item x="61"/>
        <item x="55"/>
        <item x="54"/>
        <item x="62"/>
        <item x="60"/>
        <item x="56"/>
        <item x="53"/>
        <item x="64"/>
        <item x="68"/>
        <item x="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 of Jan" fld="6" baseField="0" baseItem="0"/>
    <dataField name="Sum of Feb" fld="7" baseField="0" baseItem="0"/>
    <dataField name="Sum of Mar" fld="8" baseField="0" baseItem="0"/>
    <dataField name="Sum of Apr" fld="9" baseField="0" baseItem="0"/>
    <dataField name="Sum of May" fld="10" baseField="0" baseItem="0"/>
    <dataField name="Sum of Jun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D36181-0C2A-4E58-86FB-D9F81E65B665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3:D25" firstHeaderRow="0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h="1" x="0"/>
        <item h="1" x="1"/>
        <item h="1" x="2"/>
        <item h="1" x="3"/>
        <item h="1" x="4"/>
        <item h="1" x="9"/>
        <item x="8"/>
        <item h="1" x="5"/>
        <item h="1" x="7"/>
        <item h="1" x="6"/>
        <item h="1"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2">
    <i>
      <x v="6"/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pend_x000a_(ZAR)" fld="5" baseField="0" baseItem="0" numFmtId="166"/>
    <dataField name="Sum of Total Spend" fld="6" baseField="0" baseItem="0"/>
  </dataFields>
  <formats count="1">
    <format dxfId="0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43BEF-0B85-4A66-9A14-B20F8D643BC8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G3:J14" firstHeaderRow="0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x="0"/>
        <item x="1"/>
        <item x="2"/>
        <item x="3"/>
        <item x="4"/>
        <item x="9"/>
        <item x="8"/>
        <item x="5"/>
        <item x="7"/>
        <item x="6"/>
        <item h="1"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numFmtId="166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11">
    <i>
      <x/>
      <x v="8"/>
    </i>
    <i>
      <x v="1"/>
      <x v="9"/>
    </i>
    <i>
      <x v="2"/>
      <x v="6"/>
    </i>
    <i>
      <x v="3"/>
      <x v="2"/>
    </i>
    <i>
      <x v="4"/>
      <x v="4"/>
    </i>
    <i>
      <x v="5"/>
      <x v="3"/>
    </i>
    <i>
      <x v="6"/>
      <x v="7"/>
    </i>
    <i>
      <x v="7"/>
      <x v="1"/>
    </i>
    <i>
      <x v="8"/>
      <x/>
    </i>
    <i>
      <x v="9"/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pend_x000a_(ZAR)" fld="5" baseField="0" baseItem="0" numFmtId="166"/>
    <dataField name="Sum of Total Spend" fld="6" baseField="0" baseItem="0"/>
  </dataFields>
  <formats count="1">
    <format dxfId="6">
      <pivotArea dataOnly="0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390B2F-61D0-4078-8EB1-A2A0DF309B95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5" firstHeaderRow="1" firstDataRow="1" firstDataCol="2"/>
  <pivotFields count="19">
    <pivotField axis="axisRow" compact="0" outline="0" showAll="0" defaultSubtotal="0">
      <items count="11">
        <item x="7"/>
        <item x="5"/>
        <item x="3"/>
        <item x="9"/>
        <item x="4"/>
        <item x="6"/>
        <item x="2"/>
        <item x="8"/>
        <item x="0"/>
        <item x="1"/>
        <item x="10"/>
      </items>
    </pivotField>
    <pivotField axis="axisRow" compact="0" outline="0" showAll="0" defaultSubtotal="0">
      <items count="11">
        <item x="0"/>
        <item x="1"/>
        <item x="2"/>
        <item x="3"/>
        <item x="4"/>
        <item x="9"/>
        <item x="8"/>
        <item x="5"/>
        <item x="7"/>
        <item x="6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1"/>
    <field x="0"/>
  </rowFields>
  <rowItems count="12">
    <i>
      <x/>
      <x v="8"/>
    </i>
    <i>
      <x v="1"/>
      <x v="9"/>
    </i>
    <i>
      <x v="2"/>
      <x v="6"/>
    </i>
    <i>
      <x v="3"/>
      <x v="2"/>
    </i>
    <i>
      <x v="4"/>
      <x v="4"/>
    </i>
    <i>
      <x v="5"/>
      <x v="3"/>
    </i>
    <i>
      <x v="6"/>
      <x v="7"/>
    </i>
    <i>
      <x v="7"/>
      <x v="1"/>
    </i>
    <i>
      <x v="8"/>
      <x/>
    </i>
    <i>
      <x v="9"/>
      <x v="5"/>
    </i>
    <i>
      <x v="10"/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eme1">
  <a:themeElements>
    <a:clrScheme name="Office">
      <a:dk1>
        <a:srgbClr val="736464"/>
      </a:dk1>
      <a:lt1>
        <a:srgbClr val="FFFFFF"/>
      </a:lt1>
      <a:dk2>
        <a:srgbClr val="000000"/>
      </a:dk2>
      <a:lt2>
        <a:srgbClr val="5A4B4B"/>
      </a:lt2>
      <a:accent1>
        <a:srgbClr val="F47721"/>
      </a:accent1>
      <a:accent2>
        <a:srgbClr val="870A3C"/>
      </a:accent2>
      <a:accent3>
        <a:srgbClr val="F52D28"/>
      </a:accent3>
      <a:accent4>
        <a:srgbClr val="DC0032"/>
      </a:accent4>
      <a:accent5>
        <a:srgbClr val="BE0028"/>
      </a:accent5>
      <a:accent6>
        <a:srgbClr val="AA052D"/>
      </a:accent6>
      <a:hlink>
        <a:srgbClr val="960528"/>
      </a:hlink>
      <a:folHlink>
        <a:srgbClr val="000000"/>
      </a:folHlink>
    </a:clrScheme>
    <a:fontScheme name="Source Sans Pro">
      <a:majorFont>
        <a:latin typeface="Source Sans Pro Bold"/>
        <a:ea typeface=""/>
        <a:cs typeface=""/>
      </a:majorFont>
      <a:minorFont>
        <a:latin typeface="Source Sans Pro Ligh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3"/>
        </a:solidFill>
        <a:ln w="12700" cap="flat" cmpd="sng" algn="ctr">
          <a:noFill/>
          <a:prstDash val="solid"/>
          <a:miter lim="800000"/>
        </a:ln>
        <a:effectLst/>
      </a:spPr>
      <a:bodyPr rtlCol="0" anchor="ctr" anchorCtr="0"/>
      <a:lstStyle>
        <a:defPPr algn="ctr" defTabSz="914400">
          <a:defRPr sz="1600" b="1" kern="0" dirty="0">
            <a:solidFill>
              <a:srgbClr val="FFFFFF"/>
            </a:solidFill>
            <a:latin typeface="+mj-lt"/>
          </a:defRPr>
        </a:defPPr>
      </a:lstStyle>
    </a:spDef>
    <a:txDef>
      <a:spPr>
        <a:noFill/>
      </a:spPr>
      <a:bodyPr wrap="square" rtlCol="0">
        <a:spAutoFit/>
      </a:bodyPr>
      <a:lstStyle>
        <a:defPPr algn="l">
          <a:defRPr sz="1000" dirty="0" smtClean="0">
            <a:solidFill>
              <a:schemeClr val="tx2"/>
            </a:solidFill>
          </a:defRPr>
        </a:defPPr>
      </a:lstStyle>
    </a:txDef>
  </a:objectDefaults>
  <a:extraClrSchemeLst/>
  <a:extLst>
    <a:ext uri="{05A4C25C-085E-4340-85A3-A5531E510DB2}">
      <thm15:themeFamily xmlns:thm15="http://schemas.microsoft.com/office/thememl/2012/main" name="Theme1" id="{450DD275-6CF6-4106-92FC-DEDCE4CF1665}" vid="{D377BA43-A17E-4B17-8F3F-A0BFEB715C4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29F2-982F-4C8B-97E9-2B3B668FAAFF}">
  <dimension ref="A3:EE151"/>
  <sheetViews>
    <sheetView showGridLines="0" zoomScaleNormal="100" workbookViewId="0">
      <pane xSplit="2" topLeftCell="C1" activePane="topRight" state="frozen"/>
      <selection pane="topRight" activeCell="F5" sqref="F5"/>
    </sheetView>
  </sheetViews>
  <sheetFormatPr defaultRowHeight="14.5"/>
  <cols>
    <col min="1" max="1" width="14.1796875" customWidth="1"/>
    <col min="2" max="2" width="31.453125" style="10" customWidth="1"/>
    <col min="3" max="6" width="20.1796875" style="147" bestFit="1" customWidth="1"/>
    <col min="7" max="7" width="8.7265625" style="151" customWidth="1"/>
    <col min="8" max="8" width="20.1796875" style="222" bestFit="1" customWidth="1"/>
    <col min="9" max="9" width="8.1796875" style="151" customWidth="1"/>
    <col min="10" max="10" width="16.54296875" style="147" customWidth="1"/>
    <col min="11" max="11" width="1.1796875" customWidth="1"/>
    <col min="12" max="15" width="18.6328125" bestFit="1" customWidth="1"/>
    <col min="16" max="16" width="7.1796875" style="12" customWidth="1"/>
    <col min="17" max="17" width="24.453125" bestFit="1" customWidth="1"/>
    <col min="18" max="18" width="9.453125" style="12" customWidth="1"/>
    <col min="19" max="19" width="1.1796875" customWidth="1"/>
    <col min="20" max="22" width="17.81640625" bestFit="1" customWidth="1"/>
    <col min="23" max="23" width="17.453125" bestFit="1" customWidth="1"/>
    <col min="24" max="24" width="7.1796875" style="12" customWidth="1"/>
    <col min="25" max="25" width="17.453125" bestFit="1" customWidth="1"/>
    <col min="26" max="26" width="7.1796875" style="12" customWidth="1"/>
    <col min="27" max="27" width="1.1796875" customWidth="1"/>
    <col min="28" max="29" width="17.81640625" bestFit="1" customWidth="1"/>
    <col min="30" max="30" width="17.453125" bestFit="1" customWidth="1"/>
    <col min="31" max="31" width="17.81640625" bestFit="1" customWidth="1"/>
    <col min="32" max="32" width="7.1796875" style="12" customWidth="1"/>
    <col min="33" max="33" width="17.81640625" bestFit="1" customWidth="1"/>
    <col min="34" max="34" width="7.1796875" style="12" customWidth="1"/>
    <col min="35" max="35" width="1.1796875" customWidth="1"/>
    <col min="36" max="38" width="17.81640625" bestFit="1" customWidth="1"/>
    <col min="39" max="39" width="16.26953125" customWidth="1"/>
    <col min="40" max="40" width="7.1796875" style="12" customWidth="1"/>
    <col min="41" max="41" width="17.81640625" bestFit="1" customWidth="1"/>
    <col min="42" max="42" width="7.1796875" style="12" customWidth="1"/>
    <col min="43" max="43" width="1.1796875" customWidth="1"/>
    <col min="44" max="46" width="17.81640625" bestFit="1" customWidth="1"/>
    <col min="47" max="47" width="17.7265625" customWidth="1"/>
    <col min="48" max="48" width="7.1796875" style="12" customWidth="1"/>
    <col min="49" max="49" width="17.81640625" bestFit="1" customWidth="1"/>
    <col min="50" max="50" width="7.1796875" style="12" customWidth="1"/>
    <col min="51" max="51" width="1.1796875" customWidth="1"/>
    <col min="52" max="52" width="17.90625" bestFit="1" customWidth="1"/>
    <col min="53" max="53" width="16.26953125" bestFit="1" customWidth="1"/>
    <col min="54" max="55" width="17" bestFit="1" customWidth="1"/>
    <col min="56" max="56" width="7.1796875" style="12" customWidth="1"/>
    <col min="57" max="57" width="14.81640625" customWidth="1"/>
    <col min="58" max="58" width="7.1796875" style="12" customWidth="1"/>
    <col min="59" max="59" width="1.08984375" customWidth="1"/>
    <col min="60" max="60" width="16.6328125" bestFit="1" customWidth="1"/>
    <col min="61" max="61" width="15.6328125" customWidth="1"/>
    <col min="62" max="63" width="16.6328125" bestFit="1" customWidth="1"/>
    <col min="64" max="64" width="11.90625" style="12" bestFit="1" customWidth="1"/>
    <col min="65" max="65" width="19" customWidth="1"/>
    <col min="66" max="66" width="7.1796875" style="12" customWidth="1"/>
    <col min="67" max="67" width="16.54296875" style="147" customWidth="1"/>
    <col min="68" max="68" width="1.1796875" customWidth="1"/>
    <col min="69" max="72" width="17.1796875" customWidth="1"/>
    <col min="73" max="73" width="7.1796875" style="12" customWidth="1"/>
    <col min="74" max="74" width="17.453125" customWidth="1"/>
    <col min="75" max="75" width="7.1796875" style="12" customWidth="1"/>
    <col min="76" max="76" width="16.54296875" style="147" customWidth="1"/>
    <col min="77" max="77" width="1.1796875" customWidth="1"/>
    <col min="78" max="79" width="17.36328125" customWidth="1"/>
    <col min="80" max="81" width="17" customWidth="1"/>
    <col min="82" max="82" width="7.1796875" style="12" customWidth="1"/>
    <col min="83" max="83" width="17.1796875" customWidth="1"/>
    <col min="84" max="84" width="7.1796875" style="12" customWidth="1"/>
    <col min="85" max="85" width="16.54296875" style="147" customWidth="1"/>
    <col min="86" max="86" width="1.1796875" hidden="1" customWidth="1"/>
    <col min="87" max="90" width="13.1796875" hidden="1" customWidth="1"/>
    <col min="91" max="91" width="7.1796875" style="12" hidden="1" customWidth="1"/>
    <col min="92" max="92" width="13.1796875" hidden="1" customWidth="1"/>
    <col min="93" max="93" width="7.1796875" style="12" hidden="1" customWidth="1"/>
    <col min="94" max="94" width="1.1796875" hidden="1" customWidth="1"/>
    <col min="95" max="98" width="13.1796875" hidden="1" customWidth="1"/>
    <col min="99" max="99" width="7.1796875" style="12" hidden="1" customWidth="1"/>
    <col min="100" max="100" width="13.1796875" hidden="1" customWidth="1"/>
    <col min="101" max="101" width="7.1796875" style="12" hidden="1" customWidth="1"/>
    <col min="102" max="102" width="1.1796875" hidden="1" customWidth="1"/>
    <col min="103" max="106" width="13.1796875" hidden="1" customWidth="1"/>
    <col min="107" max="107" width="7.1796875" style="12" hidden="1" customWidth="1"/>
    <col min="108" max="108" width="13.1796875" hidden="1" customWidth="1"/>
    <col min="109" max="109" width="7.1796875" style="12" hidden="1" customWidth="1"/>
    <col min="110" max="110" width="18.453125" customWidth="1"/>
    <col min="111" max="111" width="8.81640625" style="338" customWidth="1"/>
    <col min="112" max="112" width="8.81640625" customWidth="1"/>
    <col min="113" max="113" width="14.453125" bestFit="1" customWidth="1"/>
    <col min="114" max="121" width="8.81640625" customWidth="1"/>
  </cols>
  <sheetData>
    <row r="3" spans="1:135" ht="25">
      <c r="A3" s="242" t="s">
        <v>0</v>
      </c>
      <c r="B3" s="241"/>
    </row>
    <row r="4" spans="1:135">
      <c r="F4" s="338">
        <f>(F5-F19)/F19</f>
        <v>0.14796814620818313</v>
      </c>
    </row>
    <row r="5" spans="1:135" ht="15" thickBot="1">
      <c r="C5" s="338"/>
      <c r="F5" s="381">
        <v>3833244</v>
      </c>
    </row>
    <row r="6" spans="1:135" s="2" customFormat="1" ht="20.149999999999999" customHeight="1">
      <c r="A6" s="392" t="s">
        <v>180</v>
      </c>
      <c r="B6" s="393"/>
      <c r="C6" s="393"/>
      <c r="D6" s="393"/>
      <c r="E6" s="393"/>
      <c r="F6" s="393"/>
      <c r="G6" s="393"/>
      <c r="H6" s="393"/>
      <c r="I6" s="394"/>
      <c r="J6" s="215" t="s">
        <v>1</v>
      </c>
      <c r="K6" s="109"/>
      <c r="L6" s="389">
        <v>45682</v>
      </c>
      <c r="M6" s="390"/>
      <c r="N6" s="390"/>
      <c r="O6" s="390"/>
      <c r="P6" s="390"/>
      <c r="Q6" s="390"/>
      <c r="R6" s="391"/>
      <c r="S6" s="109"/>
      <c r="T6" s="386">
        <v>45713</v>
      </c>
      <c r="U6" s="387"/>
      <c r="V6" s="387"/>
      <c r="W6" s="387"/>
      <c r="X6" s="387"/>
      <c r="Y6" s="387"/>
      <c r="Z6" s="388"/>
      <c r="AA6" s="109"/>
      <c r="AB6" s="386">
        <v>45741</v>
      </c>
      <c r="AC6" s="387"/>
      <c r="AD6" s="387"/>
      <c r="AE6" s="387"/>
      <c r="AF6" s="387"/>
      <c r="AG6" s="387"/>
      <c r="AH6" s="388"/>
      <c r="AI6" s="109"/>
      <c r="AJ6" s="386">
        <v>45772</v>
      </c>
      <c r="AK6" s="387"/>
      <c r="AL6" s="387"/>
      <c r="AM6" s="387"/>
      <c r="AN6" s="387"/>
      <c r="AO6" s="387"/>
      <c r="AP6" s="388"/>
      <c r="AQ6" s="109"/>
      <c r="AR6" s="386">
        <v>45802</v>
      </c>
      <c r="AS6" s="387"/>
      <c r="AT6" s="387"/>
      <c r="AU6" s="387"/>
      <c r="AV6" s="387"/>
      <c r="AW6" s="387"/>
      <c r="AX6" s="388"/>
      <c r="AY6" s="109"/>
      <c r="AZ6" s="386">
        <v>45833</v>
      </c>
      <c r="BA6" s="387"/>
      <c r="BB6" s="387"/>
      <c r="BC6" s="387"/>
      <c r="BD6" s="387"/>
      <c r="BE6" s="387"/>
      <c r="BF6" s="388"/>
      <c r="BG6" s="109"/>
      <c r="BH6" s="389">
        <v>45863</v>
      </c>
      <c r="BI6" s="390"/>
      <c r="BJ6" s="390"/>
      <c r="BK6" s="390"/>
      <c r="BL6" s="390"/>
      <c r="BM6" s="390"/>
      <c r="BN6" s="391"/>
      <c r="BO6" s="215" t="s">
        <v>1</v>
      </c>
      <c r="BP6" s="109"/>
      <c r="BQ6" s="389">
        <v>45894</v>
      </c>
      <c r="BR6" s="390"/>
      <c r="BS6" s="390"/>
      <c r="BT6" s="390"/>
      <c r="BU6" s="390"/>
      <c r="BV6" s="390"/>
      <c r="BW6" s="391"/>
      <c r="BX6" s="215" t="s">
        <v>1</v>
      </c>
      <c r="BY6" s="109"/>
      <c r="BZ6" s="383">
        <v>45925</v>
      </c>
      <c r="CA6" s="384"/>
      <c r="CB6" s="384"/>
      <c r="CC6" s="384"/>
      <c r="CD6" s="384"/>
      <c r="CE6" s="384"/>
      <c r="CF6" s="385"/>
      <c r="CG6" s="215" t="s">
        <v>1</v>
      </c>
      <c r="CH6" s="109"/>
      <c r="CI6" s="386">
        <v>45955</v>
      </c>
      <c r="CJ6" s="387"/>
      <c r="CK6" s="387"/>
      <c r="CL6" s="387"/>
      <c r="CM6" s="387"/>
      <c r="CN6" s="387"/>
      <c r="CO6" s="388"/>
      <c r="CP6" s="109"/>
      <c r="CQ6" s="386">
        <v>45986</v>
      </c>
      <c r="CR6" s="387"/>
      <c r="CS6" s="387"/>
      <c r="CT6" s="387"/>
      <c r="CU6" s="387"/>
      <c r="CV6" s="387"/>
      <c r="CW6" s="388"/>
      <c r="CX6" s="109"/>
      <c r="CY6" s="386">
        <v>46016</v>
      </c>
      <c r="CZ6" s="387"/>
      <c r="DA6" s="387"/>
      <c r="DB6" s="387"/>
      <c r="DC6" s="387"/>
      <c r="DD6" s="387"/>
      <c r="DE6" s="388"/>
      <c r="DF6" s="1"/>
      <c r="DG6" s="35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</row>
    <row r="7" spans="1:135" s="2" customFormat="1" ht="13" customHeight="1">
      <c r="A7" s="198"/>
      <c r="B7" s="188" t="s">
        <v>2</v>
      </c>
      <c r="C7" s="189" t="s">
        <v>3</v>
      </c>
      <c r="D7" s="189" t="s">
        <v>4</v>
      </c>
      <c r="E7" s="189" t="s">
        <v>5</v>
      </c>
      <c r="F7" s="189" t="s">
        <v>6</v>
      </c>
      <c r="G7" s="15" t="s">
        <v>7</v>
      </c>
      <c r="H7" s="223" t="s">
        <v>8</v>
      </c>
      <c r="I7" s="15" t="s">
        <v>9</v>
      </c>
      <c r="J7" s="211" t="s">
        <v>6</v>
      </c>
      <c r="K7" s="110"/>
      <c r="L7" s="82" t="s">
        <v>3</v>
      </c>
      <c r="M7" s="64" t="s">
        <v>4</v>
      </c>
      <c r="N7" s="64" t="s">
        <v>5</v>
      </c>
      <c r="O7" s="64" t="s">
        <v>6</v>
      </c>
      <c r="P7" s="15" t="s">
        <v>7</v>
      </c>
      <c r="Q7" s="65" t="s">
        <v>8</v>
      </c>
      <c r="R7" s="83" t="s">
        <v>9</v>
      </c>
      <c r="S7" s="110"/>
      <c r="T7" s="5" t="s">
        <v>3</v>
      </c>
      <c r="U7" s="3" t="s">
        <v>4</v>
      </c>
      <c r="V7" s="3" t="s">
        <v>5</v>
      </c>
      <c r="W7" s="3" t="s">
        <v>6</v>
      </c>
      <c r="X7" s="13" t="s">
        <v>7</v>
      </c>
      <c r="Y7" s="4" t="s">
        <v>8</v>
      </c>
      <c r="Z7" s="16" t="s">
        <v>9</v>
      </c>
      <c r="AA7" s="110"/>
      <c r="AB7" s="5" t="s">
        <v>3</v>
      </c>
      <c r="AC7" s="3" t="s">
        <v>4</v>
      </c>
      <c r="AD7" s="3" t="s">
        <v>5</v>
      </c>
      <c r="AE7" s="3" t="s">
        <v>6</v>
      </c>
      <c r="AF7" s="13" t="s">
        <v>7</v>
      </c>
      <c r="AG7" s="4" t="s">
        <v>8</v>
      </c>
      <c r="AH7" s="16" t="s">
        <v>9</v>
      </c>
      <c r="AI7" s="110"/>
      <c r="AJ7" s="5" t="s">
        <v>3</v>
      </c>
      <c r="AK7" s="3" t="s">
        <v>4</v>
      </c>
      <c r="AL7" s="3" t="s">
        <v>5</v>
      </c>
      <c r="AM7" s="3" t="s">
        <v>6</v>
      </c>
      <c r="AN7" s="13" t="s">
        <v>7</v>
      </c>
      <c r="AO7" s="4" t="s">
        <v>8</v>
      </c>
      <c r="AP7" s="16" t="s">
        <v>9</v>
      </c>
      <c r="AQ7" s="110"/>
      <c r="AR7" s="5" t="s">
        <v>3</v>
      </c>
      <c r="AS7" s="3" t="s">
        <v>4</v>
      </c>
      <c r="AT7" s="3" t="s">
        <v>5</v>
      </c>
      <c r="AU7" s="3" t="s">
        <v>6</v>
      </c>
      <c r="AV7" s="13" t="s">
        <v>7</v>
      </c>
      <c r="AW7" s="4" t="s">
        <v>8</v>
      </c>
      <c r="AX7" s="16" t="s">
        <v>9</v>
      </c>
      <c r="AY7" s="110"/>
      <c r="AZ7" s="5" t="s">
        <v>3</v>
      </c>
      <c r="BA7" s="3" t="s">
        <v>4</v>
      </c>
      <c r="BB7" s="3" t="s">
        <v>5</v>
      </c>
      <c r="BC7" s="3" t="s">
        <v>6</v>
      </c>
      <c r="BD7" s="13" t="s">
        <v>7</v>
      </c>
      <c r="BE7" s="4" t="s">
        <v>8</v>
      </c>
      <c r="BF7" s="16" t="s">
        <v>9</v>
      </c>
      <c r="BG7" s="110"/>
      <c r="BH7" s="5" t="s">
        <v>3</v>
      </c>
      <c r="BI7" s="3" t="s">
        <v>4</v>
      </c>
      <c r="BJ7" s="3" t="s">
        <v>5</v>
      </c>
      <c r="BK7" s="3" t="s">
        <v>10</v>
      </c>
      <c r="BL7" s="13" t="s">
        <v>7</v>
      </c>
      <c r="BM7" s="4" t="s">
        <v>8</v>
      </c>
      <c r="BN7" s="16" t="s">
        <v>9</v>
      </c>
      <c r="BO7" s="211" t="s">
        <v>6</v>
      </c>
      <c r="BP7" s="110"/>
      <c r="BQ7" s="5" t="s">
        <v>3</v>
      </c>
      <c r="BR7" s="3" t="s">
        <v>4</v>
      </c>
      <c r="BS7" s="3" t="s">
        <v>5</v>
      </c>
      <c r="BT7" s="3" t="s">
        <v>6</v>
      </c>
      <c r="BU7" s="13" t="s">
        <v>7</v>
      </c>
      <c r="BV7" s="4" t="s">
        <v>8</v>
      </c>
      <c r="BW7" s="16" t="s">
        <v>9</v>
      </c>
      <c r="BX7" s="211" t="s">
        <v>6</v>
      </c>
      <c r="BY7" s="110"/>
      <c r="BZ7" s="82" t="s">
        <v>3</v>
      </c>
      <c r="CA7" s="64" t="s">
        <v>4</v>
      </c>
      <c r="CB7" s="64" t="s">
        <v>5</v>
      </c>
      <c r="CC7" s="64" t="s">
        <v>6</v>
      </c>
      <c r="CD7" s="15" t="s">
        <v>7</v>
      </c>
      <c r="CE7" s="65" t="s">
        <v>8</v>
      </c>
      <c r="CF7" s="83" t="s">
        <v>9</v>
      </c>
      <c r="CG7" s="211" t="s">
        <v>6</v>
      </c>
      <c r="CH7" s="110"/>
      <c r="CI7" s="5" t="s">
        <v>3</v>
      </c>
      <c r="CJ7" s="3" t="s">
        <v>4</v>
      </c>
      <c r="CK7" s="3" t="s">
        <v>5</v>
      </c>
      <c r="CL7" s="3" t="s">
        <v>6</v>
      </c>
      <c r="CM7" s="13" t="s">
        <v>7</v>
      </c>
      <c r="CN7" s="4" t="s">
        <v>8</v>
      </c>
      <c r="CO7" s="16" t="s">
        <v>9</v>
      </c>
      <c r="CP7" s="110"/>
      <c r="CQ7" s="5" t="s">
        <v>3</v>
      </c>
      <c r="CR7" s="3" t="s">
        <v>4</v>
      </c>
      <c r="CS7" s="3" t="s">
        <v>5</v>
      </c>
      <c r="CT7" s="3" t="s">
        <v>6</v>
      </c>
      <c r="CU7" s="13" t="s">
        <v>7</v>
      </c>
      <c r="CV7" s="4" t="s">
        <v>8</v>
      </c>
      <c r="CW7" s="16" t="s">
        <v>9</v>
      </c>
      <c r="CX7" s="110"/>
      <c r="CY7" s="5" t="s">
        <v>3</v>
      </c>
      <c r="CZ7" s="3" t="s">
        <v>4</v>
      </c>
      <c r="DA7" s="3" t="s">
        <v>5</v>
      </c>
      <c r="DB7" s="3" t="s">
        <v>6</v>
      </c>
      <c r="DC7" s="13" t="s">
        <v>7</v>
      </c>
      <c r="DD7" s="4" t="s">
        <v>8</v>
      </c>
      <c r="DE7" s="16" t="s">
        <v>9</v>
      </c>
      <c r="DF7" s="1"/>
      <c r="DG7" s="35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</row>
    <row r="8" spans="1:135" s="7" customFormat="1" ht="13" customHeight="1">
      <c r="A8" s="395" t="s">
        <v>11</v>
      </c>
      <c r="B8" s="69" t="s">
        <v>12</v>
      </c>
      <c r="C8" s="66">
        <f t="shared" ref="C8:C15" si="0">SUM(L8,T8,AB8,AJ8,AR8,AZ8,BH8,BQ8,BZ8,CI8,CQ8,CY8)</f>
        <v>0</v>
      </c>
      <c r="D8" s="66">
        <f t="shared" ref="D8:D18" si="1">SUM(M8,U8,AC8,AK8,AS8,BA8,BI8,BR8,CA8,CJ8,CR8,CZ8)</f>
        <v>0</v>
      </c>
      <c r="E8" s="66">
        <f t="shared" ref="E8:E18" si="2">SUM(N8,V8,AD8,AL8,AT8,BB8,BJ8,BS8,CB8,CK8,CS8,DA8)</f>
        <v>0</v>
      </c>
      <c r="F8" s="66">
        <f t="shared" ref="F8:F18" si="3">SUM(O8,W8,AE8,AM8,AU8,BC8,BK8,BT8,CC8,CL8,CT8,DB8)</f>
        <v>0</v>
      </c>
      <c r="G8" s="14" t="e">
        <f t="shared" ref="G8:G18" si="4">D8/C8</f>
        <v>#DIV/0!</v>
      </c>
      <c r="H8" s="224">
        <f>SUM(Q8,Y8,AG8,AO8,AW8,BE8,BM8,BV8,CE8,CN8,CV8,DD8)</f>
        <v>0</v>
      </c>
      <c r="I8" s="14" t="e">
        <f t="shared" ref="I8:I17" si="5">H8/C8</f>
        <v>#DIV/0!</v>
      </c>
      <c r="J8" s="216">
        <f>F8*$A$20</f>
        <v>0</v>
      </c>
      <c r="K8" s="111"/>
      <c r="L8" s="72">
        <v>0</v>
      </c>
      <c r="M8" s="66">
        <v>0</v>
      </c>
      <c r="N8" s="66">
        <v>0</v>
      </c>
      <c r="O8" s="66">
        <v>0</v>
      </c>
      <c r="P8" s="73" t="e">
        <f>M8/L8</f>
        <v>#DIV/0!</v>
      </c>
      <c r="Q8" s="66">
        <v>0</v>
      </c>
      <c r="R8" s="74" t="e">
        <f>Q8/L8</f>
        <v>#DIV/0!</v>
      </c>
      <c r="S8" s="111"/>
      <c r="T8" s="154">
        <v>0</v>
      </c>
      <c r="U8" s="155">
        <v>0</v>
      </c>
      <c r="V8" s="155">
        <v>0</v>
      </c>
      <c r="W8" s="155">
        <v>0</v>
      </c>
      <c r="X8" s="87" t="e">
        <f>(T8-V8)/T8</f>
        <v>#DIV/0!</v>
      </c>
      <c r="Y8" s="155">
        <v>0</v>
      </c>
      <c r="Z8" s="88" t="e">
        <f t="shared" ref="Z8:Z32" si="6">Y8/T8</f>
        <v>#DIV/0!</v>
      </c>
      <c r="AA8" s="111"/>
      <c r="AB8" s="72">
        <v>0</v>
      </c>
      <c r="AC8" s="66">
        <v>0</v>
      </c>
      <c r="AD8" s="66">
        <v>0</v>
      </c>
      <c r="AE8" s="66">
        <v>0</v>
      </c>
      <c r="AF8" s="73" t="e">
        <f>(AB8-AD8)/AB8</f>
        <v>#DIV/0!</v>
      </c>
      <c r="AG8" s="156">
        <v>0</v>
      </c>
      <c r="AH8" s="74" t="e">
        <f>AG8/AB8</f>
        <v>#DIV/0!</v>
      </c>
      <c r="AI8" s="111"/>
      <c r="AJ8" s="154">
        <v>0</v>
      </c>
      <c r="AK8" s="155">
        <v>0</v>
      </c>
      <c r="AL8" s="155">
        <v>0</v>
      </c>
      <c r="AM8" s="155">
        <v>0</v>
      </c>
      <c r="AN8" s="87" t="e">
        <f>(AJ8-AL8)/AJ8</f>
        <v>#DIV/0!</v>
      </c>
      <c r="AO8" s="155">
        <v>0</v>
      </c>
      <c r="AP8" s="88" t="e">
        <f t="shared" ref="AP8:AP19" si="7">AO8/AJ8</f>
        <v>#DIV/0!</v>
      </c>
      <c r="AQ8" s="111"/>
      <c r="AR8" s="154">
        <v>0</v>
      </c>
      <c r="AS8" s="155">
        <v>0</v>
      </c>
      <c r="AT8" s="155">
        <v>0</v>
      </c>
      <c r="AU8" s="155">
        <v>0</v>
      </c>
      <c r="AV8" s="87" t="e">
        <f t="shared" ref="AV8:AV18" si="8">(AR8-AT8)/AR8</f>
        <v>#DIV/0!</v>
      </c>
      <c r="AW8" s="155">
        <v>0</v>
      </c>
      <c r="AX8" s="88" t="e">
        <f t="shared" ref="AX8:AX32" si="9">AW8/AR8</f>
        <v>#DIV/0!</v>
      </c>
      <c r="AY8" s="111"/>
      <c r="AZ8" s="154">
        <v>0</v>
      </c>
      <c r="BA8" s="155">
        <v>0</v>
      </c>
      <c r="BB8" s="155">
        <v>0</v>
      </c>
      <c r="BC8" s="155">
        <v>0</v>
      </c>
      <c r="BD8" s="87" t="e">
        <f t="shared" ref="BD8:BD31" si="10">(AZ8-BB8)/AZ8</f>
        <v>#DIV/0!</v>
      </c>
      <c r="BE8" s="155">
        <v>0</v>
      </c>
      <c r="BF8" s="88" t="e">
        <f t="shared" ref="BF8:BF31" si="11">BE8/AZ8</f>
        <v>#DIV/0!</v>
      </c>
      <c r="BG8" s="111"/>
      <c r="BH8" s="154">
        <v>0</v>
      </c>
      <c r="BI8" s="155">
        <v>0</v>
      </c>
      <c r="BJ8" s="155">
        <v>0</v>
      </c>
      <c r="BK8" s="155">
        <v>0</v>
      </c>
      <c r="BL8" s="87"/>
      <c r="BM8" s="155">
        <v>0</v>
      </c>
      <c r="BN8" s="88" t="e">
        <f t="shared" ref="BN8:BN19" si="12">BM8/BH8</f>
        <v>#DIV/0!</v>
      </c>
      <c r="BO8" s="216">
        <f>BK8*$A$20</f>
        <v>0</v>
      </c>
      <c r="BP8" s="111"/>
      <c r="BQ8" s="154"/>
      <c r="BR8" s="155"/>
      <c r="BS8" s="155"/>
      <c r="BT8" s="155"/>
      <c r="BU8" s="87" t="e">
        <f t="shared" ref="BU8:BU18" si="13">(BQ8-BS8)/BQ8</f>
        <v>#DIV/0!</v>
      </c>
      <c r="BV8" s="155"/>
      <c r="BW8" s="88" t="e">
        <f t="shared" ref="BW8:BW32" si="14">BV8/BQ8</f>
        <v>#DIV/0!</v>
      </c>
      <c r="BX8" s="359">
        <f>BT8*$A$20</f>
        <v>0</v>
      </c>
      <c r="BY8" s="111"/>
      <c r="BZ8" s="154"/>
      <c r="CA8" s="155"/>
      <c r="CB8" s="155"/>
      <c r="CC8" s="155"/>
      <c r="CD8" s="87" t="e">
        <f t="shared" ref="CD8:CD18" si="15">(BZ8-CB8)/BZ8</f>
        <v>#DIV/0!</v>
      </c>
      <c r="CE8" s="155"/>
      <c r="CF8" s="88" t="e">
        <f t="shared" ref="CF8:CF32" si="16">CE8/BZ8</f>
        <v>#DIV/0!</v>
      </c>
      <c r="CG8" s="359">
        <f>CC8*$A$20</f>
        <v>0</v>
      </c>
      <c r="CH8" s="111"/>
      <c r="CI8" s="157"/>
      <c r="CJ8" s="158"/>
      <c r="CK8" s="158"/>
      <c r="CL8" s="158"/>
      <c r="CM8" s="143" t="e">
        <f t="shared" ref="CM8:CM18" si="17">(CI8-CK8)/CI8</f>
        <v>#DIV/0!</v>
      </c>
      <c r="CN8" s="158"/>
      <c r="CO8" s="144" t="e">
        <f t="shared" ref="CO8:CO32" si="18">CN8/CI8</f>
        <v>#DIV/0!</v>
      </c>
      <c r="CP8" s="111"/>
      <c r="CQ8" s="157"/>
      <c r="CR8" s="158"/>
      <c r="CS8" s="158"/>
      <c r="CT8" s="158"/>
      <c r="CU8" s="143" t="e">
        <f t="shared" ref="CU8:CU18" si="19">(CQ8-CS8)/CQ8</f>
        <v>#DIV/0!</v>
      </c>
      <c r="CV8" s="158"/>
      <c r="CW8" s="144" t="e">
        <f t="shared" ref="CW8:CW31" si="20">CV8/CQ8</f>
        <v>#DIV/0!</v>
      </c>
      <c r="CX8" s="111"/>
      <c r="CY8" s="157"/>
      <c r="CZ8" s="158"/>
      <c r="DA8" s="158"/>
      <c r="DB8" s="158"/>
      <c r="DC8" s="143" t="e">
        <f t="shared" ref="DC8:DC18" si="21">(CY8-DA8)/CY8</f>
        <v>#DIV/0!</v>
      </c>
      <c r="DD8" s="158"/>
      <c r="DE8" s="144" t="e">
        <f t="shared" ref="DE8:DE32" si="22">DD8/CY8</f>
        <v>#DIV/0!</v>
      </c>
      <c r="DF8" s="6"/>
      <c r="DG8" s="353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</row>
    <row r="9" spans="1:135" s="7" customFormat="1" ht="13" customHeight="1">
      <c r="A9" s="395"/>
      <c r="B9" s="70" t="s">
        <v>13</v>
      </c>
      <c r="C9" s="66">
        <f t="shared" si="0"/>
        <v>511100</v>
      </c>
      <c r="D9" s="66">
        <f t="shared" si="1"/>
        <v>0</v>
      </c>
      <c r="E9" s="66">
        <f t="shared" si="2"/>
        <v>511100</v>
      </c>
      <c r="F9" s="66">
        <f t="shared" si="3"/>
        <v>511100</v>
      </c>
      <c r="G9" s="14">
        <f t="shared" si="4"/>
        <v>0</v>
      </c>
      <c r="H9" s="224">
        <f t="shared" ref="H9:H18" si="23">SUM(Q9,Y9,AG9,AO9,AW9,BE9,BM9,BV9,CE9,CN9,CV9,DD9)</f>
        <v>0</v>
      </c>
      <c r="I9" s="14">
        <f t="shared" si="5"/>
        <v>0</v>
      </c>
      <c r="J9" s="216">
        <f>F9*$A$20</f>
        <v>674652</v>
      </c>
      <c r="K9" s="111"/>
      <c r="L9" s="72">
        <v>25000</v>
      </c>
      <c r="M9" s="66">
        <v>0</v>
      </c>
      <c r="N9" s="66">
        <v>25000</v>
      </c>
      <c r="O9" s="66">
        <v>25000</v>
      </c>
      <c r="P9" s="73">
        <f t="shared" ref="P9:P18" si="24">M9/L9</f>
        <v>0</v>
      </c>
      <c r="Q9" s="66">
        <v>0</v>
      </c>
      <c r="R9" s="74">
        <f>Q9/L9</f>
        <v>0</v>
      </c>
      <c r="S9" s="111"/>
      <c r="T9" s="154">
        <v>25000</v>
      </c>
      <c r="U9" s="155">
        <v>0</v>
      </c>
      <c r="V9" s="155">
        <v>25000</v>
      </c>
      <c r="W9" s="155">
        <v>25000</v>
      </c>
      <c r="X9" s="87">
        <f t="shared" ref="X9:X18" si="25">(T9-V9)/T9</f>
        <v>0</v>
      </c>
      <c r="Y9" s="155">
        <v>0</v>
      </c>
      <c r="Z9" s="88">
        <f t="shared" si="6"/>
        <v>0</v>
      </c>
      <c r="AA9" s="111"/>
      <c r="AB9" s="72">
        <v>25000</v>
      </c>
      <c r="AC9" s="66">
        <v>0</v>
      </c>
      <c r="AD9" s="66">
        <v>25000</v>
      </c>
      <c r="AE9" s="66">
        <v>25000</v>
      </c>
      <c r="AF9" s="73">
        <f>(AB9-AD9)/AB9</f>
        <v>0</v>
      </c>
      <c r="AG9" s="155">
        <v>0</v>
      </c>
      <c r="AH9" s="74">
        <f>AG9/AB9</f>
        <v>0</v>
      </c>
      <c r="AI9" s="111"/>
      <c r="AJ9" s="154">
        <v>25000</v>
      </c>
      <c r="AK9" s="155">
        <v>0</v>
      </c>
      <c r="AL9" s="155">
        <v>25000</v>
      </c>
      <c r="AM9" s="155">
        <v>25000</v>
      </c>
      <c r="AN9" s="87">
        <f t="shared" ref="AN9:AN18" si="26">(AJ9-AL9)/AJ9</f>
        <v>0</v>
      </c>
      <c r="AO9" s="155">
        <v>0</v>
      </c>
      <c r="AP9" s="88">
        <f t="shared" si="7"/>
        <v>0</v>
      </c>
      <c r="AQ9" s="111"/>
      <c r="AR9" s="154">
        <v>75000</v>
      </c>
      <c r="AS9" s="155">
        <v>0</v>
      </c>
      <c r="AT9" s="155">
        <v>75000</v>
      </c>
      <c r="AU9" s="155">
        <v>75000</v>
      </c>
      <c r="AV9" s="87">
        <f t="shared" si="8"/>
        <v>0</v>
      </c>
      <c r="AW9" s="155">
        <v>0</v>
      </c>
      <c r="AX9" s="88">
        <f t="shared" si="9"/>
        <v>0</v>
      </c>
      <c r="AY9" s="111"/>
      <c r="AZ9" s="154">
        <v>110000</v>
      </c>
      <c r="BA9" s="155">
        <v>0</v>
      </c>
      <c r="BB9" s="155">
        <v>110000</v>
      </c>
      <c r="BC9" s="155">
        <v>110000</v>
      </c>
      <c r="BD9" s="87">
        <f t="shared" si="10"/>
        <v>0</v>
      </c>
      <c r="BE9" s="155">
        <v>0</v>
      </c>
      <c r="BF9" s="88">
        <f t="shared" si="11"/>
        <v>0</v>
      </c>
      <c r="BG9" s="111"/>
      <c r="BH9" s="154">
        <v>96300</v>
      </c>
      <c r="BI9" s="155">
        <v>0</v>
      </c>
      <c r="BJ9" s="155">
        <v>96300</v>
      </c>
      <c r="BK9" s="155">
        <v>96300</v>
      </c>
      <c r="BL9" s="87"/>
      <c r="BM9" s="155">
        <v>0</v>
      </c>
      <c r="BN9" s="88">
        <f t="shared" si="12"/>
        <v>0</v>
      </c>
      <c r="BO9" s="216">
        <f>BK9*$A$20</f>
        <v>127116</v>
      </c>
      <c r="BP9" s="111"/>
      <c r="BQ9" s="154">
        <v>129800</v>
      </c>
      <c r="BR9" s="155">
        <v>0</v>
      </c>
      <c r="BS9" s="155">
        <v>129800</v>
      </c>
      <c r="BT9" s="155">
        <v>129800</v>
      </c>
      <c r="BU9" s="87">
        <f t="shared" si="13"/>
        <v>0</v>
      </c>
      <c r="BV9" s="155">
        <v>0</v>
      </c>
      <c r="BW9" s="88">
        <f t="shared" si="14"/>
        <v>0</v>
      </c>
      <c r="BX9" s="359">
        <f>BT9*$A$20</f>
        <v>171336</v>
      </c>
      <c r="BY9" s="111"/>
      <c r="BZ9" s="154"/>
      <c r="CA9" s="155"/>
      <c r="CB9" s="155"/>
      <c r="CC9" s="155"/>
      <c r="CD9" s="87" t="e">
        <f t="shared" si="15"/>
        <v>#DIV/0!</v>
      </c>
      <c r="CE9" s="155"/>
      <c r="CF9" s="88" t="e">
        <f t="shared" si="16"/>
        <v>#DIV/0!</v>
      </c>
      <c r="CG9" s="359">
        <f>CC9*$A$20</f>
        <v>0</v>
      </c>
      <c r="CH9" s="111"/>
      <c r="CI9" s="157"/>
      <c r="CJ9" s="158"/>
      <c r="CK9" s="158"/>
      <c r="CL9" s="158"/>
      <c r="CM9" s="143" t="e">
        <f t="shared" si="17"/>
        <v>#DIV/0!</v>
      </c>
      <c r="CN9" s="158"/>
      <c r="CO9" s="144" t="e">
        <f t="shared" si="18"/>
        <v>#DIV/0!</v>
      </c>
      <c r="CP9" s="111"/>
      <c r="CQ9" s="157"/>
      <c r="CR9" s="158"/>
      <c r="CS9" s="158"/>
      <c r="CT9" s="158"/>
      <c r="CU9" s="143" t="e">
        <f t="shared" si="19"/>
        <v>#DIV/0!</v>
      </c>
      <c r="CV9" s="158"/>
      <c r="CW9" s="144" t="e">
        <f t="shared" si="20"/>
        <v>#DIV/0!</v>
      </c>
      <c r="CX9" s="111"/>
      <c r="CY9" s="157"/>
      <c r="CZ9" s="158"/>
      <c r="DA9" s="158"/>
      <c r="DB9" s="158"/>
      <c r="DC9" s="143" t="e">
        <f t="shared" si="21"/>
        <v>#DIV/0!</v>
      </c>
      <c r="DD9" s="158"/>
      <c r="DE9" s="144" t="e">
        <f t="shared" si="22"/>
        <v>#DIV/0!</v>
      </c>
      <c r="DF9" s="6"/>
      <c r="DG9" s="353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</row>
    <row r="10" spans="1:135" s="7" customFormat="1" ht="13" customHeight="1">
      <c r="A10" s="395"/>
      <c r="B10" s="70" t="s">
        <v>188</v>
      </c>
      <c r="C10" s="66"/>
      <c r="D10" s="66"/>
      <c r="E10" s="66"/>
      <c r="F10" s="66"/>
      <c r="G10" s="14"/>
      <c r="H10" s="224"/>
      <c r="I10" s="14"/>
      <c r="J10" s="216"/>
      <c r="K10" s="111"/>
      <c r="L10" s="72"/>
      <c r="M10" s="66"/>
      <c r="N10" s="66"/>
      <c r="O10" s="66"/>
      <c r="P10" s="73"/>
      <c r="Q10" s="66"/>
      <c r="R10" s="74"/>
      <c r="S10" s="111"/>
      <c r="T10" s="154"/>
      <c r="U10" s="155"/>
      <c r="V10" s="155"/>
      <c r="W10" s="155"/>
      <c r="X10" s="87"/>
      <c r="Y10" s="155"/>
      <c r="Z10" s="88"/>
      <c r="AA10" s="111"/>
      <c r="AB10" s="72"/>
      <c r="AC10" s="66"/>
      <c r="AD10" s="66"/>
      <c r="AE10" s="66"/>
      <c r="AF10" s="73"/>
      <c r="AG10" s="155"/>
      <c r="AH10" s="74"/>
      <c r="AI10" s="111"/>
      <c r="AJ10" s="154"/>
      <c r="AK10" s="155"/>
      <c r="AL10" s="155"/>
      <c r="AM10" s="155"/>
      <c r="AN10" s="87"/>
      <c r="AO10" s="155"/>
      <c r="AP10" s="88"/>
      <c r="AQ10" s="111"/>
      <c r="AR10" s="154"/>
      <c r="AS10" s="155"/>
      <c r="AT10" s="155"/>
      <c r="AU10" s="155"/>
      <c r="AV10" s="87"/>
      <c r="AW10" s="155"/>
      <c r="AX10" s="88"/>
      <c r="AY10" s="111"/>
      <c r="AZ10" s="154"/>
      <c r="BA10" s="155"/>
      <c r="BB10" s="155"/>
      <c r="BC10" s="155"/>
      <c r="BD10" s="87"/>
      <c r="BE10" s="155"/>
      <c r="BF10" s="88"/>
      <c r="BG10" s="111"/>
      <c r="BH10" s="154"/>
      <c r="BI10" s="155"/>
      <c r="BJ10" s="155"/>
      <c r="BK10" s="155"/>
      <c r="BL10" s="87"/>
      <c r="BM10" s="155"/>
      <c r="BN10" s="88"/>
      <c r="BO10" s="216"/>
      <c r="BP10" s="111"/>
      <c r="BQ10" s="154"/>
      <c r="BR10" s="155"/>
      <c r="BS10" s="155"/>
      <c r="BT10" s="155"/>
      <c r="BU10" s="87"/>
      <c r="BV10" s="155"/>
      <c r="BW10" s="88"/>
      <c r="BX10" s="359"/>
      <c r="BY10" s="111"/>
      <c r="BZ10" s="154"/>
      <c r="CA10" s="155"/>
      <c r="CB10" s="155"/>
      <c r="CC10" s="155"/>
      <c r="CD10" s="87"/>
      <c r="CE10" s="155"/>
      <c r="CF10" s="88"/>
      <c r="CG10" s="359"/>
      <c r="CH10" s="111"/>
      <c r="CI10" s="157"/>
      <c r="CJ10" s="158"/>
      <c r="CK10" s="158"/>
      <c r="CL10" s="158"/>
      <c r="CM10" s="143"/>
      <c r="CN10" s="158"/>
      <c r="CO10" s="144"/>
      <c r="CP10" s="111"/>
      <c r="CQ10" s="157"/>
      <c r="CR10" s="158"/>
      <c r="CS10" s="158"/>
      <c r="CT10" s="158"/>
      <c r="CU10" s="143"/>
      <c r="CV10" s="158"/>
      <c r="CW10" s="144"/>
      <c r="CX10" s="111"/>
      <c r="CY10" s="157"/>
      <c r="CZ10" s="158"/>
      <c r="DA10" s="158"/>
      <c r="DB10" s="158"/>
      <c r="DC10" s="143"/>
      <c r="DD10" s="158"/>
      <c r="DE10" s="144"/>
      <c r="DF10" s="6"/>
      <c r="DG10" s="353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</row>
    <row r="11" spans="1:135" s="7" customFormat="1" ht="13" customHeight="1">
      <c r="A11" s="395"/>
      <c r="B11" s="70" t="s">
        <v>119</v>
      </c>
      <c r="C11" s="66">
        <f t="shared" si="0"/>
        <v>0</v>
      </c>
      <c r="D11" s="66">
        <f t="shared" si="1"/>
        <v>0</v>
      </c>
      <c r="E11" s="66">
        <f t="shared" si="2"/>
        <v>0</v>
      </c>
      <c r="F11" s="66">
        <f t="shared" si="3"/>
        <v>0</v>
      </c>
      <c r="G11" s="14"/>
      <c r="H11" s="224">
        <f t="shared" si="23"/>
        <v>0</v>
      </c>
      <c r="I11" s="14" t="e">
        <f t="shared" si="5"/>
        <v>#DIV/0!</v>
      </c>
      <c r="J11" s="216">
        <f t="shared" ref="J11:J18" si="27">F11*$A$20</f>
        <v>0</v>
      </c>
      <c r="K11" s="111"/>
      <c r="L11" s="72"/>
      <c r="M11" s="66"/>
      <c r="N11" s="66"/>
      <c r="O11" s="66"/>
      <c r="P11" s="73"/>
      <c r="Q11" s="66"/>
      <c r="R11" s="74"/>
      <c r="S11" s="111"/>
      <c r="T11" s="154"/>
      <c r="U11" s="155"/>
      <c r="V11" s="155"/>
      <c r="W11" s="155"/>
      <c r="X11" s="87"/>
      <c r="Y11" s="155"/>
      <c r="Z11" s="88"/>
      <c r="AA11" s="111"/>
      <c r="AB11" s="72"/>
      <c r="AC11" s="66"/>
      <c r="AD11" s="66"/>
      <c r="AE11" s="66"/>
      <c r="AF11" s="73"/>
      <c r="AG11" s="155"/>
      <c r="AH11" s="74"/>
      <c r="AI11" s="111"/>
      <c r="AJ11" s="154"/>
      <c r="AK11" s="155"/>
      <c r="AL11" s="155"/>
      <c r="AM11" s="155"/>
      <c r="AN11" s="87"/>
      <c r="AO11" s="155"/>
      <c r="AP11" s="88"/>
      <c r="AQ11" s="111"/>
      <c r="AR11" s="154"/>
      <c r="AS11" s="155"/>
      <c r="AT11" s="155"/>
      <c r="AU11" s="155"/>
      <c r="AV11" s="87"/>
      <c r="AW11" s="155"/>
      <c r="AX11" s="88"/>
      <c r="AY11" s="111"/>
      <c r="AZ11" s="154"/>
      <c r="BA11" s="155"/>
      <c r="BB11" s="155"/>
      <c r="BC11" s="155"/>
      <c r="BD11" s="87"/>
      <c r="BE11" s="155"/>
      <c r="BF11" s="88"/>
      <c r="BG11" s="111"/>
      <c r="BH11" s="154"/>
      <c r="BI11" s="155"/>
      <c r="BJ11" s="155"/>
      <c r="BK11" s="155"/>
      <c r="BL11" s="87"/>
      <c r="BM11" s="155"/>
      <c r="BN11" s="88"/>
      <c r="BO11" s="216">
        <f t="shared" ref="BO11:BO18" si="28">BK11*$A$20</f>
        <v>0</v>
      </c>
      <c r="BP11" s="111"/>
      <c r="BQ11" s="154"/>
      <c r="BR11" s="155"/>
      <c r="BS11" s="155"/>
      <c r="BT11" s="155"/>
      <c r="BU11" s="87"/>
      <c r="BV11" s="155"/>
      <c r="BW11" s="88"/>
      <c r="BX11" s="359">
        <f t="shared" ref="BX11:BX18" si="29">BT11*$A$20</f>
        <v>0</v>
      </c>
      <c r="BY11" s="111"/>
      <c r="BZ11" s="154"/>
      <c r="CA11" s="155"/>
      <c r="CB11" s="155"/>
      <c r="CC11" s="155"/>
      <c r="CD11" s="87"/>
      <c r="CE11" s="155"/>
      <c r="CF11" s="88"/>
      <c r="CG11" s="359">
        <f t="shared" ref="CG11:CG18" si="30">CC11*$A$20</f>
        <v>0</v>
      </c>
      <c r="CH11" s="111"/>
      <c r="CI11" s="157"/>
      <c r="CJ11" s="158"/>
      <c r="CK11" s="158"/>
      <c r="CL11" s="158"/>
      <c r="CM11" s="143"/>
      <c r="CN11" s="158"/>
      <c r="CO11" s="144"/>
      <c r="CP11" s="111"/>
      <c r="CQ11" s="157"/>
      <c r="CR11" s="158"/>
      <c r="CS11" s="158"/>
      <c r="CT11" s="158"/>
      <c r="CU11" s="143"/>
      <c r="CV11" s="158"/>
      <c r="CW11" s="144"/>
      <c r="CX11" s="111"/>
      <c r="CY11" s="157"/>
      <c r="CZ11" s="158"/>
      <c r="DA11" s="158"/>
      <c r="DB11" s="158"/>
      <c r="DC11" s="143"/>
      <c r="DD11" s="158"/>
      <c r="DE11" s="144"/>
      <c r="DF11" s="6"/>
      <c r="DG11" s="353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</row>
    <row r="12" spans="1:135" s="7" customFormat="1" ht="13" customHeight="1">
      <c r="A12" s="395"/>
      <c r="B12" s="70" t="s">
        <v>120</v>
      </c>
      <c r="C12" s="66">
        <f t="shared" si="0"/>
        <v>0</v>
      </c>
      <c r="D12" s="66">
        <f t="shared" si="1"/>
        <v>0</v>
      </c>
      <c r="E12" s="66">
        <f t="shared" si="2"/>
        <v>0</v>
      </c>
      <c r="F12" s="66">
        <f t="shared" si="3"/>
        <v>0</v>
      </c>
      <c r="G12" s="14"/>
      <c r="H12" s="224">
        <f t="shared" si="23"/>
        <v>0</v>
      </c>
      <c r="I12" s="14" t="e">
        <f t="shared" si="5"/>
        <v>#DIV/0!</v>
      </c>
      <c r="J12" s="216">
        <f t="shared" si="27"/>
        <v>0</v>
      </c>
      <c r="K12" s="111"/>
      <c r="L12" s="72"/>
      <c r="M12" s="66"/>
      <c r="N12" s="66"/>
      <c r="O12" s="66"/>
      <c r="P12" s="73"/>
      <c r="Q12" s="66"/>
      <c r="R12" s="74"/>
      <c r="S12" s="111"/>
      <c r="T12" s="154"/>
      <c r="U12" s="155"/>
      <c r="V12" s="155"/>
      <c r="W12" s="155"/>
      <c r="X12" s="87"/>
      <c r="Y12" s="155"/>
      <c r="Z12" s="88"/>
      <c r="AA12" s="111"/>
      <c r="AB12" s="72"/>
      <c r="AC12" s="66"/>
      <c r="AD12" s="66"/>
      <c r="AE12" s="66"/>
      <c r="AF12" s="73"/>
      <c r="AG12" s="155"/>
      <c r="AH12" s="74"/>
      <c r="AI12" s="111"/>
      <c r="AJ12" s="154"/>
      <c r="AK12" s="155"/>
      <c r="AL12" s="155"/>
      <c r="AM12" s="155"/>
      <c r="AN12" s="87"/>
      <c r="AO12" s="155"/>
      <c r="AP12" s="88"/>
      <c r="AQ12" s="111"/>
      <c r="AR12" s="154"/>
      <c r="AS12" s="155"/>
      <c r="AT12" s="155"/>
      <c r="AU12" s="155"/>
      <c r="AV12" s="87"/>
      <c r="AW12" s="155"/>
      <c r="AX12" s="88"/>
      <c r="AY12" s="111"/>
      <c r="AZ12" s="154"/>
      <c r="BA12" s="155"/>
      <c r="BB12" s="155"/>
      <c r="BC12" s="155"/>
      <c r="BD12" s="87"/>
      <c r="BE12" s="155"/>
      <c r="BF12" s="88"/>
      <c r="BG12" s="111"/>
      <c r="BH12" s="154"/>
      <c r="BI12" s="155"/>
      <c r="BJ12" s="155"/>
      <c r="BK12" s="155"/>
      <c r="BL12" s="87"/>
      <c r="BM12" s="155"/>
      <c r="BN12" s="88"/>
      <c r="BO12" s="216">
        <f t="shared" si="28"/>
        <v>0</v>
      </c>
      <c r="BP12" s="111"/>
      <c r="BQ12" s="154"/>
      <c r="BR12" s="155"/>
      <c r="BS12" s="155"/>
      <c r="BT12" s="155"/>
      <c r="BU12" s="87"/>
      <c r="BV12" s="155"/>
      <c r="BW12" s="88"/>
      <c r="BX12" s="359">
        <f t="shared" si="29"/>
        <v>0</v>
      </c>
      <c r="BY12" s="111"/>
      <c r="BZ12" s="154"/>
      <c r="CA12" s="155"/>
      <c r="CB12" s="155"/>
      <c r="CC12" s="155"/>
      <c r="CD12" s="87"/>
      <c r="CE12" s="155"/>
      <c r="CF12" s="88"/>
      <c r="CG12" s="359">
        <f t="shared" si="30"/>
        <v>0</v>
      </c>
      <c r="CH12" s="111"/>
      <c r="CI12" s="157"/>
      <c r="CJ12" s="158"/>
      <c r="CK12" s="158"/>
      <c r="CL12" s="158"/>
      <c r="CM12" s="143"/>
      <c r="CN12" s="158"/>
      <c r="CO12" s="144"/>
      <c r="CP12" s="111"/>
      <c r="CQ12" s="157"/>
      <c r="CR12" s="158"/>
      <c r="CS12" s="158"/>
      <c r="CT12" s="158"/>
      <c r="CU12" s="143"/>
      <c r="CV12" s="158"/>
      <c r="CW12" s="144"/>
      <c r="CX12" s="111"/>
      <c r="CY12" s="157"/>
      <c r="CZ12" s="158"/>
      <c r="DA12" s="158"/>
      <c r="DB12" s="158"/>
      <c r="DC12" s="143"/>
      <c r="DD12" s="158"/>
      <c r="DE12" s="144"/>
      <c r="DF12" s="6"/>
      <c r="DG12" s="353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</row>
    <row r="13" spans="1:135" s="7" customFormat="1" ht="13" customHeight="1">
      <c r="A13" s="395"/>
      <c r="B13" s="70" t="s">
        <v>121</v>
      </c>
      <c r="C13" s="66">
        <f t="shared" si="0"/>
        <v>0</v>
      </c>
      <c r="D13" s="66">
        <f t="shared" si="1"/>
        <v>0</v>
      </c>
      <c r="E13" s="66">
        <f t="shared" si="2"/>
        <v>0</v>
      </c>
      <c r="F13" s="66">
        <f t="shared" si="3"/>
        <v>0</v>
      </c>
      <c r="G13" s="14"/>
      <c r="H13" s="224">
        <f t="shared" si="23"/>
        <v>0</v>
      </c>
      <c r="I13" s="14" t="e">
        <f t="shared" si="5"/>
        <v>#DIV/0!</v>
      </c>
      <c r="J13" s="216">
        <f t="shared" si="27"/>
        <v>0</v>
      </c>
      <c r="K13" s="111"/>
      <c r="L13" s="72"/>
      <c r="M13" s="66"/>
      <c r="N13" s="66"/>
      <c r="O13" s="66"/>
      <c r="P13" s="73"/>
      <c r="Q13" s="66"/>
      <c r="R13" s="74"/>
      <c r="S13" s="111"/>
      <c r="T13" s="154"/>
      <c r="U13" s="155"/>
      <c r="V13" s="155"/>
      <c r="W13" s="155"/>
      <c r="X13" s="87"/>
      <c r="Y13" s="155"/>
      <c r="Z13" s="88"/>
      <c r="AA13" s="111"/>
      <c r="AB13" s="72"/>
      <c r="AC13" s="66"/>
      <c r="AD13" s="66"/>
      <c r="AE13" s="66"/>
      <c r="AF13" s="73"/>
      <c r="AG13" s="155"/>
      <c r="AH13" s="74"/>
      <c r="AI13" s="111"/>
      <c r="AJ13" s="154"/>
      <c r="AK13" s="155"/>
      <c r="AL13" s="155"/>
      <c r="AM13" s="155"/>
      <c r="AN13" s="87"/>
      <c r="AO13" s="155"/>
      <c r="AP13" s="88"/>
      <c r="AQ13" s="111"/>
      <c r="AR13" s="154"/>
      <c r="AS13" s="155"/>
      <c r="AT13" s="155"/>
      <c r="AU13" s="155"/>
      <c r="AV13" s="87"/>
      <c r="AW13" s="155"/>
      <c r="AX13" s="88"/>
      <c r="AY13" s="111"/>
      <c r="AZ13" s="154"/>
      <c r="BA13" s="155"/>
      <c r="BB13" s="155"/>
      <c r="BC13" s="155"/>
      <c r="BD13" s="87"/>
      <c r="BE13" s="155"/>
      <c r="BF13" s="88"/>
      <c r="BG13" s="111"/>
      <c r="BH13" s="154"/>
      <c r="BI13" s="155"/>
      <c r="BJ13" s="155"/>
      <c r="BK13" s="155"/>
      <c r="BL13" s="87"/>
      <c r="BM13" s="155"/>
      <c r="BN13" s="88"/>
      <c r="BO13" s="216">
        <f t="shared" si="28"/>
        <v>0</v>
      </c>
      <c r="BP13" s="111"/>
      <c r="BQ13" s="154"/>
      <c r="BR13" s="155"/>
      <c r="BS13" s="155"/>
      <c r="BT13" s="155"/>
      <c r="BU13" s="87"/>
      <c r="BV13" s="155"/>
      <c r="BW13" s="88"/>
      <c r="BX13" s="359">
        <f t="shared" si="29"/>
        <v>0</v>
      </c>
      <c r="BY13" s="111"/>
      <c r="BZ13" s="154"/>
      <c r="CA13" s="155"/>
      <c r="CB13" s="155"/>
      <c r="CC13" s="155"/>
      <c r="CD13" s="87"/>
      <c r="CE13" s="155"/>
      <c r="CF13" s="88"/>
      <c r="CG13" s="359">
        <f t="shared" si="30"/>
        <v>0</v>
      </c>
      <c r="CH13" s="111"/>
      <c r="CI13" s="157"/>
      <c r="CJ13" s="158"/>
      <c r="CK13" s="158"/>
      <c r="CL13" s="158"/>
      <c r="CM13" s="143"/>
      <c r="CN13" s="158"/>
      <c r="CO13" s="144"/>
      <c r="CP13" s="111"/>
      <c r="CQ13" s="157"/>
      <c r="CR13" s="158"/>
      <c r="CS13" s="158"/>
      <c r="CT13" s="158"/>
      <c r="CU13" s="143"/>
      <c r="CV13" s="158"/>
      <c r="CW13" s="144"/>
      <c r="CX13" s="111"/>
      <c r="CY13" s="157"/>
      <c r="CZ13" s="158"/>
      <c r="DA13" s="158"/>
      <c r="DB13" s="158"/>
      <c r="DC13" s="143"/>
      <c r="DD13" s="158"/>
      <c r="DE13" s="144"/>
      <c r="DF13" s="6"/>
      <c r="DG13" s="353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</row>
    <row r="14" spans="1:135" s="7" customFormat="1" ht="13" customHeight="1">
      <c r="A14" s="395"/>
      <c r="B14" s="70" t="s">
        <v>122</v>
      </c>
      <c r="C14" s="66">
        <f t="shared" si="0"/>
        <v>0</v>
      </c>
      <c r="D14" s="66">
        <f t="shared" si="1"/>
        <v>0</v>
      </c>
      <c r="E14" s="66">
        <f t="shared" si="2"/>
        <v>0</v>
      </c>
      <c r="F14" s="66">
        <f t="shared" si="3"/>
        <v>0</v>
      </c>
      <c r="G14" s="14"/>
      <c r="H14" s="224">
        <f t="shared" si="23"/>
        <v>0</v>
      </c>
      <c r="I14" s="14" t="e">
        <f t="shared" si="5"/>
        <v>#DIV/0!</v>
      </c>
      <c r="J14" s="216">
        <f t="shared" si="27"/>
        <v>0</v>
      </c>
      <c r="K14" s="111"/>
      <c r="L14" s="72"/>
      <c r="M14" s="66"/>
      <c r="N14" s="66"/>
      <c r="O14" s="66"/>
      <c r="P14" s="73"/>
      <c r="Q14" s="66"/>
      <c r="R14" s="74"/>
      <c r="S14" s="111"/>
      <c r="T14" s="154"/>
      <c r="U14" s="155"/>
      <c r="V14" s="155"/>
      <c r="W14" s="155"/>
      <c r="X14" s="87"/>
      <c r="Y14" s="155"/>
      <c r="Z14" s="88"/>
      <c r="AA14" s="111"/>
      <c r="AB14" s="72"/>
      <c r="AC14" s="66"/>
      <c r="AD14" s="66"/>
      <c r="AE14" s="66"/>
      <c r="AF14" s="73"/>
      <c r="AG14" s="155"/>
      <c r="AH14" s="74"/>
      <c r="AI14" s="111"/>
      <c r="AJ14" s="154"/>
      <c r="AK14" s="155"/>
      <c r="AL14" s="155"/>
      <c r="AM14" s="155"/>
      <c r="AN14" s="87"/>
      <c r="AO14" s="155"/>
      <c r="AP14" s="88"/>
      <c r="AQ14" s="111"/>
      <c r="AR14" s="154"/>
      <c r="AS14" s="155"/>
      <c r="AT14" s="155"/>
      <c r="AU14" s="155"/>
      <c r="AV14" s="87"/>
      <c r="AW14" s="155"/>
      <c r="AX14" s="88"/>
      <c r="AY14" s="111"/>
      <c r="AZ14" s="154"/>
      <c r="BA14" s="155"/>
      <c r="BB14" s="155"/>
      <c r="BC14" s="155"/>
      <c r="BD14" s="87"/>
      <c r="BE14" s="155"/>
      <c r="BF14" s="88"/>
      <c r="BG14" s="111"/>
      <c r="BH14" s="154"/>
      <c r="BI14" s="155"/>
      <c r="BJ14" s="155"/>
      <c r="BK14" s="155"/>
      <c r="BL14" s="87"/>
      <c r="BM14" s="155"/>
      <c r="BN14" s="88"/>
      <c r="BO14" s="216">
        <f t="shared" si="28"/>
        <v>0</v>
      </c>
      <c r="BP14" s="111"/>
      <c r="BQ14" s="154"/>
      <c r="BR14" s="155"/>
      <c r="BS14" s="155"/>
      <c r="BT14" s="155"/>
      <c r="BU14" s="87"/>
      <c r="BV14" s="155"/>
      <c r="BW14" s="88"/>
      <c r="BX14" s="359">
        <f t="shared" si="29"/>
        <v>0</v>
      </c>
      <c r="BY14" s="111"/>
      <c r="BZ14" s="154"/>
      <c r="CA14" s="155"/>
      <c r="CB14" s="155"/>
      <c r="CC14" s="155"/>
      <c r="CD14" s="87"/>
      <c r="CE14" s="155"/>
      <c r="CF14" s="88"/>
      <c r="CG14" s="359">
        <f t="shared" si="30"/>
        <v>0</v>
      </c>
      <c r="CH14" s="111"/>
      <c r="CI14" s="157"/>
      <c r="CJ14" s="158"/>
      <c r="CK14" s="158"/>
      <c r="CL14" s="158"/>
      <c r="CM14" s="143"/>
      <c r="CN14" s="158"/>
      <c r="CO14" s="144"/>
      <c r="CP14" s="111"/>
      <c r="CQ14" s="157"/>
      <c r="CR14" s="158"/>
      <c r="CS14" s="158"/>
      <c r="CT14" s="158"/>
      <c r="CU14" s="143"/>
      <c r="CV14" s="158"/>
      <c r="CW14" s="144"/>
      <c r="CX14" s="111"/>
      <c r="CY14" s="157"/>
      <c r="CZ14" s="158"/>
      <c r="DA14" s="158"/>
      <c r="DB14" s="158"/>
      <c r="DC14" s="143"/>
      <c r="DD14" s="158"/>
      <c r="DE14" s="144"/>
      <c r="DF14" s="6"/>
      <c r="DG14" s="353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</row>
    <row r="15" spans="1:135" s="7" customFormat="1" ht="13" customHeight="1">
      <c r="A15" s="395"/>
      <c r="B15" s="70" t="s">
        <v>14</v>
      </c>
      <c r="C15" s="66">
        <f t="shared" si="0"/>
        <v>393580.27999999997</v>
      </c>
      <c r="D15" s="66">
        <f t="shared" si="1"/>
        <v>71324.2</v>
      </c>
      <c r="E15" s="66">
        <f t="shared" si="2"/>
        <v>322292.08</v>
      </c>
      <c r="F15" s="66">
        <f t="shared" si="3"/>
        <v>322292.08</v>
      </c>
      <c r="G15" s="14">
        <f>D15/C15</f>
        <v>0.18121893708699024</v>
      </c>
      <c r="H15" s="224">
        <f t="shared" si="23"/>
        <v>0</v>
      </c>
      <c r="I15" s="14">
        <f t="shared" si="5"/>
        <v>0</v>
      </c>
      <c r="J15" s="216">
        <f t="shared" si="27"/>
        <v>425425.54560000007</v>
      </c>
      <c r="K15" s="111"/>
      <c r="L15" s="72">
        <v>0</v>
      </c>
      <c r="M15" s="66">
        <v>0</v>
      </c>
      <c r="N15" s="66">
        <v>0</v>
      </c>
      <c r="O15" s="66">
        <v>0</v>
      </c>
      <c r="P15" s="73" t="e">
        <f t="shared" si="24"/>
        <v>#DIV/0!</v>
      </c>
      <c r="Q15" s="66">
        <v>0</v>
      </c>
      <c r="R15" s="74" t="e">
        <f t="shared" ref="R15" si="31">Q15/L15</f>
        <v>#DIV/0!</v>
      </c>
      <c r="S15" s="111"/>
      <c r="T15" s="154">
        <v>0</v>
      </c>
      <c r="U15" s="155">
        <v>0</v>
      </c>
      <c r="V15" s="155">
        <v>0</v>
      </c>
      <c r="W15" s="155">
        <v>0</v>
      </c>
      <c r="X15" s="87" t="e">
        <f t="shared" si="25"/>
        <v>#DIV/0!</v>
      </c>
      <c r="Y15" s="155">
        <v>0</v>
      </c>
      <c r="Z15" s="88" t="e">
        <f t="shared" si="6"/>
        <v>#DIV/0!</v>
      </c>
      <c r="AA15" s="111"/>
      <c r="AB15" s="72">
        <v>0</v>
      </c>
      <c r="AC15" s="66">
        <v>0</v>
      </c>
      <c r="AD15" s="66">
        <v>0</v>
      </c>
      <c r="AE15" s="66">
        <v>0</v>
      </c>
      <c r="AF15" s="73" t="e">
        <f t="shared" ref="AF15:AF18" si="32">(AB15-AD15)/AB15</f>
        <v>#DIV/0!</v>
      </c>
      <c r="AG15" s="155">
        <v>0</v>
      </c>
      <c r="AH15" s="74" t="e">
        <f>AG16/AB15</f>
        <v>#DIV/0!</v>
      </c>
      <c r="AI15" s="111"/>
      <c r="AJ15" s="154">
        <v>0</v>
      </c>
      <c r="AK15" s="155">
        <v>0</v>
      </c>
      <c r="AL15" s="155">
        <v>0</v>
      </c>
      <c r="AM15" s="155">
        <v>0</v>
      </c>
      <c r="AN15" s="87" t="e">
        <f t="shared" si="26"/>
        <v>#DIV/0!</v>
      </c>
      <c r="AO15" s="155">
        <v>0</v>
      </c>
      <c r="AP15" s="88" t="e">
        <f t="shared" si="7"/>
        <v>#DIV/0!</v>
      </c>
      <c r="AQ15" s="111"/>
      <c r="AR15" s="154">
        <v>0</v>
      </c>
      <c r="AS15" s="155">
        <v>0</v>
      </c>
      <c r="AT15" s="155">
        <v>0</v>
      </c>
      <c r="AU15" s="155">
        <v>0</v>
      </c>
      <c r="AV15" s="87" t="e">
        <f t="shared" si="8"/>
        <v>#DIV/0!</v>
      </c>
      <c r="AW15" s="155">
        <v>0</v>
      </c>
      <c r="AX15" s="88" t="e">
        <f t="shared" si="9"/>
        <v>#DIV/0!</v>
      </c>
      <c r="AY15" s="111"/>
      <c r="AZ15" s="154">
        <v>0</v>
      </c>
      <c r="BA15" s="155">
        <v>0</v>
      </c>
      <c r="BB15" s="155">
        <v>0</v>
      </c>
      <c r="BC15" s="155">
        <v>0</v>
      </c>
      <c r="BD15" s="87" t="e">
        <f t="shared" si="10"/>
        <v>#DIV/0!</v>
      </c>
      <c r="BE15" s="155">
        <v>0</v>
      </c>
      <c r="BF15" s="88" t="e">
        <f t="shared" si="11"/>
        <v>#DIV/0!</v>
      </c>
      <c r="BG15" s="111"/>
      <c r="BH15" s="154">
        <v>158748.54999999999</v>
      </c>
      <c r="BI15" s="155">
        <v>48331.199999999997</v>
      </c>
      <c r="BJ15" s="155">
        <v>110453.35</v>
      </c>
      <c r="BK15" s="155">
        <f>BJ15</f>
        <v>110453.35</v>
      </c>
      <c r="BL15" s="87">
        <f>(BH15-BJ15)/BH15</f>
        <v>0.30422451102702974</v>
      </c>
      <c r="BM15" s="155">
        <v>0</v>
      </c>
      <c r="BN15" s="88">
        <f t="shared" si="12"/>
        <v>0</v>
      </c>
      <c r="BO15" s="216">
        <f t="shared" si="28"/>
        <v>145798.42200000002</v>
      </c>
      <c r="BP15" s="111"/>
      <c r="BQ15" s="154">
        <v>101160.05</v>
      </c>
      <c r="BR15" s="155">
        <v>18900</v>
      </c>
      <c r="BS15" s="155">
        <v>82260.05</v>
      </c>
      <c r="BT15" s="155">
        <v>82260.05</v>
      </c>
      <c r="BU15" s="87">
        <f t="shared" si="13"/>
        <v>0.18683264786840259</v>
      </c>
      <c r="BV15" s="155"/>
      <c r="BW15" s="88">
        <f t="shared" si="14"/>
        <v>0</v>
      </c>
      <c r="BX15" s="359">
        <f t="shared" si="29"/>
        <v>108583.266</v>
      </c>
      <c r="BY15" s="111"/>
      <c r="BZ15" s="154">
        <v>133671.67999999999</v>
      </c>
      <c r="CA15" s="155">
        <v>4093</v>
      </c>
      <c r="CB15" s="155">
        <v>129578.68</v>
      </c>
      <c r="CC15" s="155">
        <v>129578.68</v>
      </c>
      <c r="CD15" s="87">
        <f>(BZ15-CB15)/BZ15</f>
        <v>3.0619799197556283E-2</v>
      </c>
      <c r="CE15" s="155"/>
      <c r="CF15" s="88">
        <f t="shared" si="16"/>
        <v>0</v>
      </c>
      <c r="CG15" s="359">
        <f t="shared" si="30"/>
        <v>171043.85759999999</v>
      </c>
      <c r="CH15" s="111"/>
      <c r="CI15" s="157"/>
      <c r="CJ15" s="158"/>
      <c r="CK15" s="158"/>
      <c r="CL15" s="158"/>
      <c r="CM15" s="143" t="e">
        <f t="shared" si="17"/>
        <v>#DIV/0!</v>
      </c>
      <c r="CN15" s="158"/>
      <c r="CO15" s="144" t="e">
        <f t="shared" si="18"/>
        <v>#DIV/0!</v>
      </c>
      <c r="CP15" s="111"/>
      <c r="CQ15" s="157"/>
      <c r="CR15" s="158"/>
      <c r="CS15" s="158"/>
      <c r="CT15" s="158"/>
      <c r="CU15" s="143" t="e">
        <f t="shared" si="19"/>
        <v>#DIV/0!</v>
      </c>
      <c r="CV15" s="158"/>
      <c r="CW15" s="144" t="e">
        <f t="shared" si="20"/>
        <v>#DIV/0!</v>
      </c>
      <c r="CX15" s="111"/>
      <c r="CY15" s="157"/>
      <c r="CZ15" s="158"/>
      <c r="DA15" s="158"/>
      <c r="DB15" s="158"/>
      <c r="DC15" s="143" t="e">
        <f t="shared" si="21"/>
        <v>#DIV/0!</v>
      </c>
      <c r="DD15" s="158"/>
      <c r="DE15" s="144" t="e">
        <f t="shared" si="22"/>
        <v>#DIV/0!</v>
      </c>
      <c r="DF15" s="6"/>
      <c r="DG15" s="353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</row>
    <row r="16" spans="1:135" s="7" customFormat="1" ht="13" customHeight="1">
      <c r="A16" s="395"/>
      <c r="B16" s="70" t="s">
        <v>15</v>
      </c>
      <c r="C16" s="66">
        <f t="shared" ref="C16:C18" si="33">SUM(L16,T16,AB16,AJ16,AR16,AZ16,BH16,BQ16,BZ16,CI16,CQ16,CY16)</f>
        <v>980819.61</v>
      </c>
      <c r="D16" s="66">
        <f t="shared" si="1"/>
        <v>137065.04999999999</v>
      </c>
      <c r="E16" s="66">
        <f t="shared" si="2"/>
        <v>843754.55999999994</v>
      </c>
      <c r="F16" s="66">
        <f t="shared" si="3"/>
        <v>744848.70000000007</v>
      </c>
      <c r="G16" s="14">
        <f t="shared" si="4"/>
        <v>0.1397454216887038</v>
      </c>
      <c r="H16" s="224">
        <f t="shared" si="23"/>
        <v>0</v>
      </c>
      <c r="I16" s="14">
        <f>H16/C16</f>
        <v>0</v>
      </c>
      <c r="J16" s="216">
        <f t="shared" si="27"/>
        <v>983200.2840000001</v>
      </c>
      <c r="K16" s="111"/>
      <c r="L16" s="72">
        <v>130246.41</v>
      </c>
      <c r="M16" s="66">
        <v>31340.55</v>
      </c>
      <c r="N16" s="66">
        <v>98905.86</v>
      </c>
      <c r="O16" s="66">
        <v>0</v>
      </c>
      <c r="P16" s="73">
        <f t="shared" si="24"/>
        <v>0.24062505830295053</v>
      </c>
      <c r="Q16" s="66">
        <v>0</v>
      </c>
      <c r="R16" s="74">
        <f>Q16/L16</f>
        <v>0</v>
      </c>
      <c r="S16" s="111"/>
      <c r="T16" s="154">
        <v>160112.99</v>
      </c>
      <c r="U16" s="155">
        <v>27797.75</v>
      </c>
      <c r="V16" s="155">
        <v>132315.24</v>
      </c>
      <c r="W16" s="155">
        <v>132315.24</v>
      </c>
      <c r="X16" s="87">
        <f t="shared" si="25"/>
        <v>0.17361333393374268</v>
      </c>
      <c r="Y16" s="155">
        <v>0</v>
      </c>
      <c r="Z16" s="88">
        <f t="shared" si="6"/>
        <v>0</v>
      </c>
      <c r="AA16" s="111"/>
      <c r="AB16" s="72">
        <v>0</v>
      </c>
      <c r="AC16" s="66">
        <v>0</v>
      </c>
      <c r="AD16" s="66">
        <v>0</v>
      </c>
      <c r="AE16" s="66">
        <v>0</v>
      </c>
      <c r="AF16" s="73" t="e">
        <f t="shared" si="32"/>
        <v>#DIV/0!</v>
      </c>
      <c r="AG16" s="155">
        <v>0</v>
      </c>
      <c r="AH16" s="74" t="e">
        <f t="shared" ref="AH16:AH18" si="34">AG17/AB16</f>
        <v>#DIV/0!</v>
      </c>
      <c r="AI16" s="111"/>
      <c r="AJ16" s="154">
        <v>95890.75</v>
      </c>
      <c r="AK16" s="155">
        <v>9081</v>
      </c>
      <c r="AL16" s="155">
        <v>86809.75</v>
      </c>
      <c r="AM16" s="155">
        <v>86809.75</v>
      </c>
      <c r="AN16" s="87">
        <f t="shared" si="26"/>
        <v>9.4701522305331853E-2</v>
      </c>
      <c r="AO16" s="155">
        <v>0</v>
      </c>
      <c r="AP16" s="88">
        <f t="shared" si="7"/>
        <v>0</v>
      </c>
      <c r="AQ16" s="111"/>
      <c r="AR16" s="154">
        <v>117693.71</v>
      </c>
      <c r="AS16" s="155">
        <v>20987</v>
      </c>
      <c r="AT16" s="155">
        <v>96706.71</v>
      </c>
      <c r="AU16" s="155">
        <v>96706.71</v>
      </c>
      <c r="AV16" s="87">
        <f t="shared" si="8"/>
        <v>0.17831879035846521</v>
      </c>
      <c r="AW16" s="155">
        <v>0</v>
      </c>
      <c r="AX16" s="88">
        <f t="shared" si="9"/>
        <v>0</v>
      </c>
      <c r="AY16" s="111"/>
      <c r="AZ16" s="154">
        <v>94589.2</v>
      </c>
      <c r="BA16" s="155">
        <v>11820</v>
      </c>
      <c r="BB16" s="155">
        <v>82769.2</v>
      </c>
      <c r="BC16" s="155">
        <v>82769.2</v>
      </c>
      <c r="BD16" s="87">
        <f t="shared" si="10"/>
        <v>0.12496141208510063</v>
      </c>
      <c r="BE16" s="155">
        <v>0</v>
      </c>
      <c r="BF16" s="88">
        <f t="shared" si="11"/>
        <v>0</v>
      </c>
      <c r="BG16" s="111"/>
      <c r="BH16" s="154">
        <v>175690.7</v>
      </c>
      <c r="BI16" s="155">
        <v>11430</v>
      </c>
      <c r="BJ16" s="155">
        <v>164260.70000000001</v>
      </c>
      <c r="BK16" s="155">
        <f t="shared" ref="BK16:BK18" si="35">BJ16</f>
        <v>164260.70000000001</v>
      </c>
      <c r="BL16" s="87">
        <f>(BH16-BJ16)/BH16</f>
        <v>6.5057513004387821E-2</v>
      </c>
      <c r="BM16" s="155">
        <v>0</v>
      </c>
      <c r="BN16" s="88">
        <f t="shared" si="12"/>
        <v>0</v>
      </c>
      <c r="BO16" s="216">
        <f t="shared" si="28"/>
        <v>216824.12400000004</v>
      </c>
      <c r="BP16" s="111"/>
      <c r="BQ16" s="154">
        <v>102480.75</v>
      </c>
      <c r="BR16" s="155">
        <v>15562.75</v>
      </c>
      <c r="BS16" s="155">
        <v>86918</v>
      </c>
      <c r="BT16" s="155">
        <v>86918</v>
      </c>
      <c r="BU16" s="87">
        <f t="shared" si="13"/>
        <v>0.15186022740856209</v>
      </c>
      <c r="BV16" s="155"/>
      <c r="BW16" s="88">
        <f t="shared" si="14"/>
        <v>0</v>
      </c>
      <c r="BX16" s="359">
        <f t="shared" si="29"/>
        <v>114731.76000000001</v>
      </c>
      <c r="BY16" s="111"/>
      <c r="BZ16" s="154">
        <v>104115.1</v>
      </c>
      <c r="CA16" s="155">
        <v>9046</v>
      </c>
      <c r="CB16" s="155">
        <v>95069.1</v>
      </c>
      <c r="CC16" s="155">
        <v>95069.1</v>
      </c>
      <c r="CD16" s="87">
        <f t="shared" si="15"/>
        <v>8.6884611358006666E-2</v>
      </c>
      <c r="CE16" s="155"/>
      <c r="CF16" s="88">
        <f t="shared" si="16"/>
        <v>0</v>
      </c>
      <c r="CG16" s="359">
        <f t="shared" si="30"/>
        <v>125491.21200000001</v>
      </c>
      <c r="CH16" s="111"/>
      <c r="CI16" s="157"/>
      <c r="CJ16" s="158"/>
      <c r="CK16" s="158"/>
      <c r="CL16" s="158"/>
      <c r="CM16" s="143" t="e">
        <f t="shared" si="17"/>
        <v>#DIV/0!</v>
      </c>
      <c r="CN16" s="158"/>
      <c r="CO16" s="144" t="e">
        <f t="shared" si="18"/>
        <v>#DIV/0!</v>
      </c>
      <c r="CP16" s="111"/>
      <c r="CQ16" s="157"/>
      <c r="CR16" s="158"/>
      <c r="CS16" s="158"/>
      <c r="CT16" s="158"/>
      <c r="CU16" s="143" t="e">
        <f t="shared" si="19"/>
        <v>#DIV/0!</v>
      </c>
      <c r="CV16" s="158"/>
      <c r="CW16" s="144" t="e">
        <f t="shared" si="20"/>
        <v>#DIV/0!</v>
      </c>
      <c r="CX16" s="111"/>
      <c r="CY16" s="157"/>
      <c r="CZ16" s="158"/>
      <c r="DA16" s="158"/>
      <c r="DB16" s="158"/>
      <c r="DC16" s="143" t="e">
        <f t="shared" si="21"/>
        <v>#DIV/0!</v>
      </c>
      <c r="DD16" s="158"/>
      <c r="DE16" s="144" t="e">
        <f t="shared" si="22"/>
        <v>#DIV/0!</v>
      </c>
      <c r="DF16" s="6"/>
      <c r="DG16" s="353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</row>
    <row r="17" spans="1:135" s="7" customFormat="1" ht="13" customHeight="1">
      <c r="A17" s="395"/>
      <c r="B17" s="70" t="s">
        <v>16</v>
      </c>
      <c r="C17" s="66">
        <f t="shared" si="33"/>
        <v>1415952.22</v>
      </c>
      <c r="D17" s="66">
        <f t="shared" si="1"/>
        <v>282685.60000000003</v>
      </c>
      <c r="E17" s="66">
        <f t="shared" si="2"/>
        <v>1133266.9099999999</v>
      </c>
      <c r="F17" s="66">
        <f t="shared" si="3"/>
        <v>1004391.4299999999</v>
      </c>
      <c r="G17" s="14">
        <f t="shared" si="4"/>
        <v>0.19964345972069597</v>
      </c>
      <c r="H17" s="224">
        <f t="shared" si="23"/>
        <v>0</v>
      </c>
      <c r="I17" s="14">
        <f t="shared" si="5"/>
        <v>0</v>
      </c>
      <c r="J17" s="216">
        <f t="shared" si="27"/>
        <v>1325796.6876000001</v>
      </c>
      <c r="K17" s="111"/>
      <c r="L17" s="72">
        <v>202464.48</v>
      </c>
      <c r="M17" s="66">
        <v>73589</v>
      </c>
      <c r="N17" s="66">
        <v>128875.48</v>
      </c>
      <c r="O17" s="66">
        <v>0</v>
      </c>
      <c r="P17" s="73">
        <f t="shared" si="24"/>
        <v>0.36346622380380006</v>
      </c>
      <c r="Q17" s="66">
        <v>0</v>
      </c>
      <c r="R17" s="74">
        <f>Q17/L17</f>
        <v>0</v>
      </c>
      <c r="S17" s="111"/>
      <c r="T17" s="154">
        <v>101890.8</v>
      </c>
      <c r="U17" s="155">
        <v>7810</v>
      </c>
      <c r="V17" s="155">
        <v>94080.8</v>
      </c>
      <c r="W17" s="155">
        <v>94080.8</v>
      </c>
      <c r="X17" s="87">
        <f t="shared" si="25"/>
        <v>7.6650688776611825E-2</v>
      </c>
      <c r="Y17" s="155">
        <v>0</v>
      </c>
      <c r="Z17" s="88">
        <f t="shared" si="6"/>
        <v>0</v>
      </c>
      <c r="AA17" s="111"/>
      <c r="AB17" s="72">
        <v>95890.8</v>
      </c>
      <c r="AC17" s="66">
        <v>11810</v>
      </c>
      <c r="AD17" s="66">
        <v>84080.8</v>
      </c>
      <c r="AE17" s="66">
        <v>84080.8</v>
      </c>
      <c r="AF17" s="73">
        <f t="shared" si="32"/>
        <v>0.12316092888994565</v>
      </c>
      <c r="AG17" s="155">
        <v>0</v>
      </c>
      <c r="AH17" s="74">
        <f t="shared" si="34"/>
        <v>0</v>
      </c>
      <c r="AI17" s="111"/>
      <c r="AJ17" s="154">
        <v>72205.63</v>
      </c>
      <c r="AK17" s="155">
        <v>11910.33</v>
      </c>
      <c r="AL17" s="155">
        <v>60295.3</v>
      </c>
      <c r="AM17" s="155">
        <v>60295.3</v>
      </c>
      <c r="AN17" s="87">
        <f t="shared" si="26"/>
        <v>0.16495015693374604</v>
      </c>
      <c r="AO17" s="155">
        <v>0</v>
      </c>
      <c r="AP17" s="88">
        <f t="shared" si="7"/>
        <v>0</v>
      </c>
      <c r="AQ17" s="111"/>
      <c r="AR17" s="154">
        <v>0</v>
      </c>
      <c r="AS17" s="155">
        <v>0</v>
      </c>
      <c r="AT17" s="155">
        <v>0</v>
      </c>
      <c r="AU17" s="155">
        <v>0</v>
      </c>
      <c r="AV17" s="87" t="e">
        <f t="shared" si="8"/>
        <v>#DIV/0!</v>
      </c>
      <c r="AW17" s="155">
        <v>0</v>
      </c>
      <c r="AX17" s="88" t="e">
        <f t="shared" si="9"/>
        <v>#DIV/0!</v>
      </c>
      <c r="AY17" s="111"/>
      <c r="AZ17" s="154">
        <v>403465</v>
      </c>
      <c r="BA17" s="155">
        <v>63281</v>
      </c>
      <c r="BB17" s="155">
        <v>340184</v>
      </c>
      <c r="BC17" s="155">
        <v>340184</v>
      </c>
      <c r="BD17" s="87">
        <f t="shared" si="10"/>
        <v>0.15684384023397321</v>
      </c>
      <c r="BE17" s="155">
        <v>0</v>
      </c>
      <c r="BF17" s="88">
        <f t="shared" si="11"/>
        <v>0</v>
      </c>
      <c r="BG17" s="111"/>
      <c r="BH17" s="154">
        <v>101701.26</v>
      </c>
      <c r="BI17" s="155">
        <v>8693.2000000000007</v>
      </c>
      <c r="BJ17" s="155">
        <v>93008.08</v>
      </c>
      <c r="BK17" s="155">
        <f t="shared" si="35"/>
        <v>93008.08</v>
      </c>
      <c r="BL17" s="87">
        <f t="shared" ref="BL17:BL18" si="36">(BH17-BJ17)/BH17</f>
        <v>8.5477603718970577E-2</v>
      </c>
      <c r="BM17" s="155">
        <v>0</v>
      </c>
      <c r="BN17" s="88">
        <f t="shared" si="12"/>
        <v>0</v>
      </c>
      <c r="BO17" s="216">
        <f t="shared" si="28"/>
        <v>122770.66560000001</v>
      </c>
      <c r="BP17" s="111"/>
      <c r="BQ17" s="154">
        <v>120688.07</v>
      </c>
      <c r="BR17" s="155">
        <v>29569.07</v>
      </c>
      <c r="BS17" s="155">
        <v>91119</v>
      </c>
      <c r="BT17" s="155">
        <v>91119</v>
      </c>
      <c r="BU17" s="87">
        <f t="shared" si="13"/>
        <v>0.24500408366792181</v>
      </c>
      <c r="BV17" s="155"/>
      <c r="BW17" s="88">
        <f t="shared" si="14"/>
        <v>0</v>
      </c>
      <c r="BX17" s="359">
        <f t="shared" si="29"/>
        <v>120277.08</v>
      </c>
      <c r="BY17" s="111"/>
      <c r="BZ17" s="154">
        <v>317646.18</v>
      </c>
      <c r="CA17" s="155">
        <v>76023</v>
      </c>
      <c r="CB17" s="155">
        <v>241623.45</v>
      </c>
      <c r="CC17" s="155">
        <v>241623.45</v>
      </c>
      <c r="CD17" s="87">
        <f t="shared" si="15"/>
        <v>0.23933147881709135</v>
      </c>
      <c r="CE17" s="155"/>
      <c r="CF17" s="88">
        <f t="shared" si="16"/>
        <v>0</v>
      </c>
      <c r="CG17" s="359">
        <f t="shared" si="30"/>
        <v>318942.95400000003</v>
      </c>
      <c r="CH17" s="111"/>
      <c r="CI17" s="157"/>
      <c r="CJ17" s="158"/>
      <c r="CK17" s="158"/>
      <c r="CL17" s="158"/>
      <c r="CM17" s="143" t="e">
        <f t="shared" si="17"/>
        <v>#DIV/0!</v>
      </c>
      <c r="CN17" s="158"/>
      <c r="CO17" s="144" t="e">
        <f t="shared" si="18"/>
        <v>#DIV/0!</v>
      </c>
      <c r="CP17" s="111"/>
      <c r="CQ17" s="157"/>
      <c r="CR17" s="158"/>
      <c r="CS17" s="158"/>
      <c r="CT17" s="158"/>
      <c r="CU17" s="143" t="e">
        <f t="shared" si="19"/>
        <v>#DIV/0!</v>
      </c>
      <c r="CV17" s="158"/>
      <c r="CW17" s="144" t="e">
        <f t="shared" si="20"/>
        <v>#DIV/0!</v>
      </c>
      <c r="CX17" s="111"/>
      <c r="CY17" s="157"/>
      <c r="CZ17" s="158"/>
      <c r="DA17" s="158"/>
      <c r="DB17" s="158"/>
      <c r="DC17" s="143" t="e">
        <f t="shared" si="21"/>
        <v>#DIV/0!</v>
      </c>
      <c r="DD17" s="158"/>
      <c r="DE17" s="144" t="e">
        <f t="shared" si="22"/>
        <v>#DIV/0!</v>
      </c>
      <c r="DF17" s="6"/>
      <c r="DG17" s="353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</row>
    <row r="18" spans="1:135" s="7" customFormat="1" ht="13" customHeight="1">
      <c r="A18" s="395"/>
      <c r="B18" s="70" t="s">
        <v>17</v>
      </c>
      <c r="C18" s="66">
        <f t="shared" si="33"/>
        <v>881432.75999999989</v>
      </c>
      <c r="D18" s="66">
        <f t="shared" si="1"/>
        <v>124909.6</v>
      </c>
      <c r="E18" s="66">
        <f t="shared" si="2"/>
        <v>756523.16</v>
      </c>
      <c r="F18" s="66">
        <f t="shared" si="3"/>
        <v>756523.16</v>
      </c>
      <c r="G18" s="14">
        <f t="shared" si="4"/>
        <v>0.14171200081104318</v>
      </c>
      <c r="H18" s="224">
        <f t="shared" si="23"/>
        <v>0</v>
      </c>
      <c r="I18" s="14">
        <f>H18/C18</f>
        <v>0</v>
      </c>
      <c r="J18" s="216">
        <f t="shared" si="27"/>
        <v>998610.57120000012</v>
      </c>
      <c r="K18" s="111"/>
      <c r="L18" s="72">
        <v>0</v>
      </c>
      <c r="M18" s="66">
        <v>0</v>
      </c>
      <c r="N18" s="66">
        <v>0</v>
      </c>
      <c r="O18" s="66">
        <v>0</v>
      </c>
      <c r="P18" s="73" t="e">
        <f t="shared" si="24"/>
        <v>#DIV/0!</v>
      </c>
      <c r="Q18" s="66">
        <v>0</v>
      </c>
      <c r="R18" s="74" t="e">
        <f>Q18/L18</f>
        <v>#DIV/0!</v>
      </c>
      <c r="S18" s="111"/>
      <c r="T18" s="154">
        <v>0</v>
      </c>
      <c r="U18" s="155">
        <v>0</v>
      </c>
      <c r="V18" s="155">
        <v>0</v>
      </c>
      <c r="W18" s="155">
        <v>0</v>
      </c>
      <c r="X18" s="87" t="e">
        <f t="shared" si="25"/>
        <v>#DIV/0!</v>
      </c>
      <c r="Y18" s="155">
        <v>0</v>
      </c>
      <c r="Z18" s="88" t="e">
        <f t="shared" si="6"/>
        <v>#DIV/0!</v>
      </c>
      <c r="AA18" s="111"/>
      <c r="AB18" s="72">
        <v>0</v>
      </c>
      <c r="AC18" s="66">
        <v>0</v>
      </c>
      <c r="AD18" s="66">
        <v>0</v>
      </c>
      <c r="AE18" s="66">
        <v>0</v>
      </c>
      <c r="AF18" s="73" t="e">
        <f t="shared" si="32"/>
        <v>#DIV/0!</v>
      </c>
      <c r="AG18" s="155">
        <v>0</v>
      </c>
      <c r="AH18" s="74" t="e">
        <f t="shared" si="34"/>
        <v>#DIV/0!</v>
      </c>
      <c r="AI18" s="111"/>
      <c r="AJ18" s="154">
        <v>71340.08</v>
      </c>
      <c r="AK18" s="155">
        <v>6000</v>
      </c>
      <c r="AL18" s="155">
        <v>65340.08</v>
      </c>
      <c r="AM18" s="155">
        <v>65340.08</v>
      </c>
      <c r="AN18" s="87">
        <f t="shared" si="26"/>
        <v>8.4104195005107921E-2</v>
      </c>
      <c r="AO18" s="155">
        <v>0</v>
      </c>
      <c r="AP18" s="88">
        <f t="shared" si="7"/>
        <v>0</v>
      </c>
      <c r="AQ18" s="111"/>
      <c r="AR18" s="154">
        <v>117020.58</v>
      </c>
      <c r="AS18" s="155">
        <v>21856.5</v>
      </c>
      <c r="AT18" s="155">
        <v>95164.08</v>
      </c>
      <c r="AU18" s="155">
        <v>95164.08</v>
      </c>
      <c r="AV18" s="87">
        <f t="shared" si="8"/>
        <v>0.1867748390924058</v>
      </c>
      <c r="AW18" s="155">
        <v>0</v>
      </c>
      <c r="AX18" s="88">
        <f t="shared" si="9"/>
        <v>0</v>
      </c>
      <c r="AY18" s="111"/>
      <c r="AZ18" s="154">
        <v>115164.08</v>
      </c>
      <c r="BA18" s="155">
        <v>10000</v>
      </c>
      <c r="BB18" s="155">
        <v>105164.08</v>
      </c>
      <c r="BC18" s="155">
        <v>105164.08</v>
      </c>
      <c r="BD18" s="87">
        <f t="shared" si="10"/>
        <v>8.6832630452134033E-2</v>
      </c>
      <c r="BE18" s="155">
        <v>0</v>
      </c>
      <c r="BF18" s="88">
        <f t="shared" si="11"/>
        <v>0</v>
      </c>
      <c r="BG18" s="111"/>
      <c r="BH18" s="154">
        <v>169871.64</v>
      </c>
      <c r="BI18" s="155">
        <v>23889</v>
      </c>
      <c r="BJ18" s="155">
        <v>145982.64000000001</v>
      </c>
      <c r="BK18" s="155">
        <f t="shared" si="35"/>
        <v>145982.64000000001</v>
      </c>
      <c r="BL18" s="87">
        <f t="shared" si="36"/>
        <v>0.14062971311750447</v>
      </c>
      <c r="BM18" s="155">
        <v>0</v>
      </c>
      <c r="BN18" s="88">
        <f t="shared" si="12"/>
        <v>0</v>
      </c>
      <c r="BO18" s="216">
        <f t="shared" si="28"/>
        <v>192697.08480000004</v>
      </c>
      <c r="BP18" s="111"/>
      <c r="BQ18" s="154">
        <v>206233.8</v>
      </c>
      <c r="BR18" s="155">
        <v>39670.800000000003</v>
      </c>
      <c r="BS18" s="155">
        <v>166563</v>
      </c>
      <c r="BT18" s="155">
        <v>166563</v>
      </c>
      <c r="BU18" s="87">
        <f t="shared" si="13"/>
        <v>0.19235838160379137</v>
      </c>
      <c r="BV18" s="155"/>
      <c r="BW18" s="88">
        <f t="shared" si="14"/>
        <v>0</v>
      </c>
      <c r="BX18" s="359">
        <f t="shared" si="29"/>
        <v>219863.16</v>
      </c>
      <c r="BY18" s="111"/>
      <c r="BZ18" s="154">
        <v>201802.58</v>
      </c>
      <c r="CA18" s="155">
        <v>23493.3</v>
      </c>
      <c r="CB18" s="155">
        <v>178309.28</v>
      </c>
      <c r="CC18" s="155">
        <v>178309.28</v>
      </c>
      <c r="CD18" s="87">
        <f t="shared" si="15"/>
        <v>0.11641724303029223</v>
      </c>
      <c r="CE18" s="155"/>
      <c r="CF18" s="88">
        <f t="shared" si="16"/>
        <v>0</v>
      </c>
      <c r="CG18" s="359">
        <f t="shared" si="30"/>
        <v>235368.24960000001</v>
      </c>
      <c r="CH18" s="111"/>
      <c r="CI18" s="157"/>
      <c r="CJ18" s="158"/>
      <c r="CK18" s="158"/>
      <c r="CL18" s="158"/>
      <c r="CM18" s="143" t="e">
        <f t="shared" si="17"/>
        <v>#DIV/0!</v>
      </c>
      <c r="CN18" s="158"/>
      <c r="CO18" s="144" t="e">
        <f t="shared" si="18"/>
        <v>#DIV/0!</v>
      </c>
      <c r="CP18" s="111"/>
      <c r="CQ18" s="157"/>
      <c r="CR18" s="158"/>
      <c r="CS18" s="158"/>
      <c r="CT18" s="158"/>
      <c r="CU18" s="143" t="e">
        <f t="shared" si="19"/>
        <v>#DIV/0!</v>
      </c>
      <c r="CV18" s="158"/>
      <c r="CW18" s="144" t="e">
        <f t="shared" si="20"/>
        <v>#DIV/0!</v>
      </c>
      <c r="CX18" s="111"/>
      <c r="CY18" s="157"/>
      <c r="CZ18" s="158"/>
      <c r="DA18" s="158"/>
      <c r="DB18" s="158"/>
      <c r="DC18" s="143" t="e">
        <f t="shared" si="21"/>
        <v>#DIV/0!</v>
      </c>
      <c r="DD18" s="158"/>
      <c r="DE18" s="144" t="e">
        <f t="shared" si="22"/>
        <v>#DIV/0!</v>
      </c>
      <c r="DF18" s="6"/>
      <c r="DG18" s="353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</row>
    <row r="19" spans="1:135" s="22" customFormat="1" ht="13" customHeight="1">
      <c r="A19" s="395"/>
      <c r="B19" s="190" t="s">
        <v>18</v>
      </c>
      <c r="C19" s="39">
        <f>SUM(C8:C18)</f>
        <v>4182884.87</v>
      </c>
      <c r="D19" s="39">
        <f>SUM(D8:D18)</f>
        <v>615984.45000000007</v>
      </c>
      <c r="E19" s="39">
        <f>SUM(E8:E18)</f>
        <v>3566936.71</v>
      </c>
      <c r="F19" s="39">
        <f>SUM(F8:F18)</f>
        <v>3339155.37</v>
      </c>
      <c r="G19" s="15">
        <f>D19/C19</f>
        <v>0.14726306583714316</v>
      </c>
      <c r="H19" s="225">
        <f>SUM(H8:H18)</f>
        <v>0</v>
      </c>
      <c r="I19" s="15">
        <f>H19/C19</f>
        <v>0</v>
      </c>
      <c r="J19" s="218" t="b">
        <f>J20=F20</f>
        <v>1</v>
      </c>
      <c r="K19" s="112"/>
      <c r="L19" s="201">
        <f>SUM(L8:L18)</f>
        <v>357710.89</v>
      </c>
      <c r="M19" s="39">
        <f>SUM(M8:M18)</f>
        <v>104929.55</v>
      </c>
      <c r="N19" s="39">
        <f>SUM(N8:N18)</f>
        <v>252781.34</v>
      </c>
      <c r="O19" s="39">
        <f>SUM(O8:O18)</f>
        <v>25000</v>
      </c>
      <c r="P19" s="15">
        <f>M19/L19</f>
        <v>0.29333619113468978</v>
      </c>
      <c r="Q19" s="39">
        <f>SUM(Q8:Q18)</f>
        <v>0</v>
      </c>
      <c r="R19" s="83" t="e">
        <f>SUM(R8:R18)</f>
        <v>#DIV/0!</v>
      </c>
      <c r="S19" s="112"/>
      <c r="T19" s="89">
        <f>SUM(T8:T18)</f>
        <v>287003.78999999998</v>
      </c>
      <c r="U19" s="90">
        <f>SUM(U8:U18)</f>
        <v>35607.75</v>
      </c>
      <c r="V19" s="90">
        <f>SUM(V8:V18)</f>
        <v>251396.03999999998</v>
      </c>
      <c r="W19" s="90">
        <f>SUM(W8:W18)</f>
        <v>251396.03999999998</v>
      </c>
      <c r="X19" s="15">
        <f>(T19-W19)/T19</f>
        <v>0.12406717695261098</v>
      </c>
      <c r="Y19" s="90">
        <f>SUM(Y8:Y18)</f>
        <v>0</v>
      </c>
      <c r="Z19" s="83">
        <f t="shared" si="6"/>
        <v>0</v>
      </c>
      <c r="AA19" s="112"/>
      <c r="AB19" s="89">
        <f>SUM(AB8:AB18)</f>
        <v>120890.8</v>
      </c>
      <c r="AC19" s="90">
        <f>SUM(AC8:AC18)</f>
        <v>11810</v>
      </c>
      <c r="AD19" s="90">
        <f>SUM(AD8:AD18)</f>
        <v>109080.8</v>
      </c>
      <c r="AE19" s="90">
        <f>SUM(AE8:AE18)</f>
        <v>109080.8</v>
      </c>
      <c r="AF19" s="15">
        <f>(AB19-AE19)/AB19</f>
        <v>9.7691470318667747E-2</v>
      </c>
      <c r="AG19" s="90">
        <f>SUM(AG8:AG18)</f>
        <v>0</v>
      </c>
      <c r="AH19" s="83">
        <f t="shared" ref="AH19" si="37">AG19/AB19</f>
        <v>0</v>
      </c>
      <c r="AI19" s="112"/>
      <c r="AJ19" s="89">
        <f>SUM(AJ8:AJ18)</f>
        <v>264436.46000000002</v>
      </c>
      <c r="AK19" s="90">
        <f>SUM(AK8:AK18)</f>
        <v>26991.33</v>
      </c>
      <c r="AL19" s="90">
        <f>SUM(AL8:AL18)</f>
        <v>237445.13</v>
      </c>
      <c r="AM19" s="90">
        <f>SUM(AM8:AM18)</f>
        <v>237445.13</v>
      </c>
      <c r="AN19" s="15">
        <f>(AJ19-AM19)/AJ19</f>
        <v>0.1020711364839781</v>
      </c>
      <c r="AO19" s="90">
        <f>SUM(AO8:AO18)</f>
        <v>0</v>
      </c>
      <c r="AP19" s="83">
        <f t="shared" si="7"/>
        <v>0</v>
      </c>
      <c r="AQ19" s="112"/>
      <c r="AR19" s="89">
        <f>SUM(AR8:AR18)</f>
        <v>309714.29000000004</v>
      </c>
      <c r="AS19" s="90">
        <f>SUM(AS8:AS18)</f>
        <v>42843.5</v>
      </c>
      <c r="AT19" s="90">
        <f>SUM(AT8:AT18)</f>
        <v>266870.79000000004</v>
      </c>
      <c r="AU19" s="90">
        <f>SUM(AU8:AU18)</f>
        <v>266870.79000000004</v>
      </c>
      <c r="AV19" s="15">
        <f>(AR19-AU19)/AR19</f>
        <v>0.13833233203414669</v>
      </c>
      <c r="AW19" s="90">
        <f>SUM(AW8:AW18)</f>
        <v>0</v>
      </c>
      <c r="AX19" s="83">
        <f t="shared" si="9"/>
        <v>0</v>
      </c>
      <c r="AY19" s="112"/>
      <c r="AZ19" s="89">
        <f>SUM(AZ8:AZ18)</f>
        <v>723218.27999999991</v>
      </c>
      <c r="BA19" s="90">
        <f>SUM(BA8:BA18)</f>
        <v>85101</v>
      </c>
      <c r="BB19" s="90">
        <f>SUM(BB8:BB18)</f>
        <v>638117.27999999991</v>
      </c>
      <c r="BC19" s="90">
        <f>SUM(BC8:BC18)</f>
        <v>638117.27999999991</v>
      </c>
      <c r="BD19" s="15">
        <f>(AZ19-BC19)/AZ19</f>
        <v>0.11766986863219223</v>
      </c>
      <c r="BE19" s="90">
        <f>SUM(BE8:BE18)</f>
        <v>0</v>
      </c>
      <c r="BF19" s="83">
        <f t="shared" si="11"/>
        <v>0</v>
      </c>
      <c r="BG19" s="112"/>
      <c r="BH19" s="89">
        <f>SUM(BH8:BH18)</f>
        <v>702312.15</v>
      </c>
      <c r="BI19" s="90">
        <f>SUM(BI8:BI18)</f>
        <v>92343.4</v>
      </c>
      <c r="BJ19" s="90">
        <f>SUM(BJ8:BJ18)</f>
        <v>610004.77</v>
      </c>
      <c r="BK19" s="90">
        <f>SUM(BK8:BK18)</f>
        <v>610004.77</v>
      </c>
      <c r="BL19" s="15">
        <f>(BH19-BK19)/BH19</f>
        <v>0.13143355130621048</v>
      </c>
      <c r="BM19" s="90">
        <f>SUM(BM8:BM18)</f>
        <v>0</v>
      </c>
      <c r="BN19" s="83">
        <f t="shared" si="12"/>
        <v>0</v>
      </c>
      <c r="BO19" s="218" t="b">
        <f>BO20=BK20</f>
        <v>1</v>
      </c>
      <c r="BP19" s="112"/>
      <c r="BQ19" s="89">
        <f>SUM(BQ8:BQ18)</f>
        <v>660362.66999999993</v>
      </c>
      <c r="BR19" s="90">
        <f>SUM(BR8:BR18)</f>
        <v>103702.62</v>
      </c>
      <c r="BS19" s="90">
        <f>SUM(BS8:BS18)</f>
        <v>556660.05000000005</v>
      </c>
      <c r="BT19" s="90">
        <f>SUM(BT8:BT18)</f>
        <v>556660.05000000005</v>
      </c>
      <c r="BU19" s="15">
        <f>(BQ19-BT19)/BQ19</f>
        <v>0.15703888894870435</v>
      </c>
      <c r="BV19" s="90">
        <f>SUM(BV8:BV18)</f>
        <v>0</v>
      </c>
      <c r="BW19" s="83">
        <f t="shared" si="14"/>
        <v>0</v>
      </c>
      <c r="BX19" s="218" t="b">
        <f>BX20=BT20</f>
        <v>1</v>
      </c>
      <c r="BY19" s="112"/>
      <c r="BZ19" s="89">
        <f>SUM(BZ8:BZ18)</f>
        <v>757235.53999999992</v>
      </c>
      <c r="CA19" s="90">
        <f>SUM(CA8:CA18)</f>
        <v>112655.3</v>
      </c>
      <c r="CB19" s="90">
        <f>SUM(CB8:CB18)</f>
        <v>644580.51</v>
      </c>
      <c r="CC19" s="90">
        <f>SUM(CC8:CC18)</f>
        <v>644580.51</v>
      </c>
      <c r="CD19" s="15">
        <f>(BZ19-CC19)/BZ19</f>
        <v>0.14877145095434893</v>
      </c>
      <c r="CE19" s="90">
        <f>SUM(CE8:CE18)</f>
        <v>0</v>
      </c>
      <c r="CF19" s="83">
        <f t="shared" si="16"/>
        <v>0</v>
      </c>
      <c r="CG19" s="218" t="b">
        <f>CG20=CC20</f>
        <v>1</v>
      </c>
      <c r="CH19" s="112"/>
      <c r="CI19" s="89">
        <f>SUM(CI8:CI18)</f>
        <v>0</v>
      </c>
      <c r="CJ19" s="90">
        <f>SUM(CJ8:CJ18)</f>
        <v>0</v>
      </c>
      <c r="CK19" s="90">
        <f>SUM(CK8:CK18)</f>
        <v>0</v>
      </c>
      <c r="CL19" s="90">
        <f>SUM(CL8:CL18)</f>
        <v>0</v>
      </c>
      <c r="CM19" s="15" t="e">
        <f>(CI19-CL19)/CI19</f>
        <v>#DIV/0!</v>
      </c>
      <c r="CN19" s="90">
        <f>SUM(CN8:CN18)</f>
        <v>0</v>
      </c>
      <c r="CO19" s="83" t="e">
        <f t="shared" si="18"/>
        <v>#DIV/0!</v>
      </c>
      <c r="CP19" s="112"/>
      <c r="CQ19" s="89">
        <f>SUM(CQ8:CQ18)</f>
        <v>0</v>
      </c>
      <c r="CR19" s="90">
        <f>SUM(CR8:CR18)</f>
        <v>0</v>
      </c>
      <c r="CS19" s="90">
        <f>SUM(CS8:CS18)</f>
        <v>0</v>
      </c>
      <c r="CT19" s="90">
        <f>SUM(CT8:CT18)</f>
        <v>0</v>
      </c>
      <c r="CU19" s="15" t="e">
        <f>(CQ19-CT19)/CQ19</f>
        <v>#DIV/0!</v>
      </c>
      <c r="CV19" s="90">
        <f>SUM(CV8:CV18)</f>
        <v>0</v>
      </c>
      <c r="CW19" s="83" t="e">
        <f t="shared" si="20"/>
        <v>#DIV/0!</v>
      </c>
      <c r="CX19" s="112"/>
      <c r="CY19" s="89">
        <f>SUM(CY8:CY18)</f>
        <v>0</v>
      </c>
      <c r="CZ19" s="90">
        <f>SUM(CZ8:CZ18)</f>
        <v>0</v>
      </c>
      <c r="DA19" s="90">
        <f>SUM(DA8:DA18)</f>
        <v>0</v>
      </c>
      <c r="DB19" s="90">
        <f>SUM(DB8:DB18)</f>
        <v>0</v>
      </c>
      <c r="DC19" s="15" t="e">
        <f>(CY19-DB19)/CY19</f>
        <v>#DIV/0!</v>
      </c>
      <c r="DD19" s="90">
        <f>SUM(DD8:DD18)</f>
        <v>0</v>
      </c>
      <c r="DE19" s="83" t="e">
        <f t="shared" si="22"/>
        <v>#DIV/0!</v>
      </c>
      <c r="DF19" s="352"/>
      <c r="DG19" s="353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</row>
    <row r="20" spans="1:135" s="22" customFormat="1" ht="13" customHeight="1">
      <c r="A20" s="214">
        <v>1.32</v>
      </c>
      <c r="B20" s="191" t="s">
        <v>19</v>
      </c>
      <c r="C20" s="213">
        <f>C19*$A$20</f>
        <v>5521408.0284000002</v>
      </c>
      <c r="D20" s="213">
        <f t="shared" ref="D20:E20" si="38">D19*$A$20</f>
        <v>813099.47400000016</v>
      </c>
      <c r="E20" s="213">
        <f t="shared" si="38"/>
        <v>4708356.4572000001</v>
      </c>
      <c r="F20" s="213">
        <f>F19*$A$20</f>
        <v>4407685.0884000007</v>
      </c>
      <c r="G20" s="243"/>
      <c r="H20" s="213">
        <f>H19*$A$20</f>
        <v>0</v>
      </c>
      <c r="I20" s="243"/>
      <c r="J20" s="217">
        <f>SUM(J8:J18)</f>
        <v>4407685.0884000007</v>
      </c>
      <c r="K20" s="244"/>
      <c r="L20" s="245">
        <f>L19*$A$20</f>
        <v>472178.37480000005</v>
      </c>
      <c r="M20" s="213">
        <f t="shared" ref="M20" si="39">M19*$A$20</f>
        <v>138507.00600000002</v>
      </c>
      <c r="N20" s="213">
        <f t="shared" ref="N20" si="40">N19*$A$20</f>
        <v>333671.3688</v>
      </c>
      <c r="O20" s="213">
        <f t="shared" ref="O20" si="41">O19*$A$20</f>
        <v>33000</v>
      </c>
      <c r="P20" s="243"/>
      <c r="Q20" s="213">
        <f>Q19*$A$20</f>
        <v>0</v>
      </c>
      <c r="R20" s="246"/>
      <c r="S20" s="244"/>
      <c r="T20" s="245">
        <f>T19*$A$20</f>
        <v>378845.00280000002</v>
      </c>
      <c r="U20" s="213">
        <f t="shared" ref="U20" si="42">U19*$A$20</f>
        <v>47002.23</v>
      </c>
      <c r="V20" s="213">
        <f t="shared" ref="V20" si="43">V19*$A$20</f>
        <v>331842.77279999998</v>
      </c>
      <c r="W20" s="213">
        <f t="shared" ref="W20" si="44">W19*$A$20</f>
        <v>331842.77279999998</v>
      </c>
      <c r="X20" s="243"/>
      <c r="Y20" s="213">
        <f>Y19*$A$20</f>
        <v>0</v>
      </c>
      <c r="Z20" s="246"/>
      <c r="AA20" s="244"/>
      <c r="AB20" s="245">
        <f>AB19*$A$20</f>
        <v>159575.856</v>
      </c>
      <c r="AC20" s="213">
        <f t="shared" ref="AC20" si="45">AC19*$A$20</f>
        <v>15589.2</v>
      </c>
      <c r="AD20" s="213">
        <f t="shared" ref="AD20" si="46">AD19*$A$20</f>
        <v>143986.65600000002</v>
      </c>
      <c r="AE20" s="213">
        <f t="shared" ref="AE20" si="47">AE19*$A$20</f>
        <v>143986.65600000002</v>
      </c>
      <c r="AF20" s="243"/>
      <c r="AG20" s="213">
        <f>AG19*$A$20</f>
        <v>0</v>
      </c>
      <c r="AH20" s="246"/>
      <c r="AI20" s="244"/>
      <c r="AJ20" s="245">
        <f>AJ19*$A$20</f>
        <v>349056.12720000005</v>
      </c>
      <c r="AK20" s="213">
        <f t="shared" ref="AK20" si="48">AK19*$A$20</f>
        <v>35628.555600000007</v>
      </c>
      <c r="AL20" s="213">
        <f t="shared" ref="AL20" si="49">AL19*$A$20</f>
        <v>313427.57160000002</v>
      </c>
      <c r="AM20" s="213">
        <f t="shared" ref="AM20" si="50">AM19*$A$20</f>
        <v>313427.57160000002</v>
      </c>
      <c r="AN20" s="243"/>
      <c r="AO20" s="213">
        <f>AO19*$A$20</f>
        <v>0</v>
      </c>
      <c r="AP20" s="246"/>
      <c r="AQ20" s="244"/>
      <c r="AR20" s="245">
        <f>AR19*$A$20</f>
        <v>408822.86280000006</v>
      </c>
      <c r="AS20" s="213">
        <f t="shared" ref="AS20" si="51">AS19*$A$20</f>
        <v>56553.420000000006</v>
      </c>
      <c r="AT20" s="213">
        <f t="shared" ref="AT20" si="52">AT19*$A$20</f>
        <v>352269.44280000008</v>
      </c>
      <c r="AU20" s="213">
        <f t="shared" ref="AU20" si="53">AU19*$A$20</f>
        <v>352269.44280000008</v>
      </c>
      <c r="AV20" s="243"/>
      <c r="AW20" s="213">
        <f>AW19*$A$20</f>
        <v>0</v>
      </c>
      <c r="AX20" s="246"/>
      <c r="AY20" s="244"/>
      <c r="AZ20" s="245">
        <f>AZ19*$A$20</f>
        <v>954648.12959999999</v>
      </c>
      <c r="BA20" s="213">
        <f t="shared" ref="BA20" si="54">BA19*$A$20</f>
        <v>112333.32</v>
      </c>
      <c r="BB20" s="213">
        <f t="shared" ref="BB20" si="55">BB19*$A$20</f>
        <v>842314.80959999992</v>
      </c>
      <c r="BC20" s="213">
        <f t="shared" ref="BC20" si="56">BC19*$A$20</f>
        <v>842314.80959999992</v>
      </c>
      <c r="BD20" s="243"/>
      <c r="BE20" s="213">
        <f>BE19*$A$20</f>
        <v>0</v>
      </c>
      <c r="BF20" s="246"/>
      <c r="BG20" s="244"/>
      <c r="BH20" s="245">
        <f>BH19*$A$20</f>
        <v>927052.03800000006</v>
      </c>
      <c r="BI20" s="213">
        <f t="shared" ref="BI20" si="57">BI19*$A$20</f>
        <v>121893.288</v>
      </c>
      <c r="BJ20" s="213">
        <f t="shared" ref="BJ20" si="58">BJ19*$A$20</f>
        <v>805206.29640000011</v>
      </c>
      <c r="BK20" s="213">
        <f t="shared" ref="BK20" si="59">BK19*$A$20</f>
        <v>805206.29640000011</v>
      </c>
      <c r="BL20" s="243"/>
      <c r="BM20" s="213">
        <f>BM19*$A$20</f>
        <v>0</v>
      </c>
      <c r="BN20" s="246"/>
      <c r="BO20" s="217">
        <f>SUM(BO8:BO18)</f>
        <v>805206.29640000011</v>
      </c>
      <c r="BP20" s="244"/>
      <c r="BQ20" s="245">
        <f>BQ19*$A$20</f>
        <v>871678.72439999995</v>
      </c>
      <c r="BR20" s="213">
        <f t="shared" ref="BR20" si="60">BR19*$A$20</f>
        <v>136887.4584</v>
      </c>
      <c r="BS20" s="213">
        <f t="shared" ref="BS20" si="61">BS19*$A$20</f>
        <v>734791.26600000006</v>
      </c>
      <c r="BT20" s="213">
        <f t="shared" ref="BT20" si="62">BT19*$A$20</f>
        <v>734791.26600000006</v>
      </c>
      <c r="BU20" s="243"/>
      <c r="BV20" s="213">
        <f>BV19*$A$20</f>
        <v>0</v>
      </c>
      <c r="BW20" s="246"/>
      <c r="BX20" s="217">
        <f>SUM(BX8:BX18)</f>
        <v>734791.26600000006</v>
      </c>
      <c r="BY20" s="244"/>
      <c r="BZ20" s="245">
        <f>BZ19*$A$20</f>
        <v>999550.91279999993</v>
      </c>
      <c r="CA20" s="213">
        <f t="shared" ref="CA20" si="63">CA19*$A$20</f>
        <v>148704.99600000001</v>
      </c>
      <c r="CB20" s="213">
        <f>CB19*$A$20</f>
        <v>850846.27320000005</v>
      </c>
      <c r="CC20" s="213">
        <f>CC19*$A$20</f>
        <v>850846.27320000005</v>
      </c>
      <c r="CD20" s="243"/>
      <c r="CE20" s="213">
        <f>CE19*$A$20</f>
        <v>0</v>
      </c>
      <c r="CF20" s="246"/>
      <c r="CG20" s="217">
        <f>SUM(CG8:CG18)</f>
        <v>850846.27319999994</v>
      </c>
      <c r="CH20" s="244"/>
      <c r="CI20" s="245">
        <f>CI19*$A$20</f>
        <v>0</v>
      </c>
      <c r="CJ20" s="213">
        <f t="shared" ref="CJ20" si="64">CJ19*$A$20</f>
        <v>0</v>
      </c>
      <c r="CK20" s="213">
        <f t="shared" ref="CK20" si="65">CK19*$A$20</f>
        <v>0</v>
      </c>
      <c r="CL20" s="213">
        <f t="shared" ref="CL20" si="66">CL19*$A$20</f>
        <v>0</v>
      </c>
      <c r="CM20" s="243"/>
      <c r="CN20" s="213">
        <f>CN19*$A$20</f>
        <v>0</v>
      </c>
      <c r="CO20" s="246"/>
      <c r="CP20" s="244"/>
      <c r="CQ20" s="245">
        <f>CQ19*$A$20</f>
        <v>0</v>
      </c>
      <c r="CR20" s="213">
        <f t="shared" ref="CR20" si="67">CR19*$A$20</f>
        <v>0</v>
      </c>
      <c r="CS20" s="213">
        <f t="shared" ref="CS20" si="68">CS19*$A$20</f>
        <v>0</v>
      </c>
      <c r="CT20" s="213">
        <f t="shared" ref="CT20" si="69">CT19*$A$20</f>
        <v>0</v>
      </c>
      <c r="CU20" s="243"/>
      <c r="CV20" s="213">
        <f>CV19*$A$20</f>
        <v>0</v>
      </c>
      <c r="CW20" s="246"/>
      <c r="CX20" s="244"/>
      <c r="CY20" s="245">
        <f>CY19*$A$20</f>
        <v>0</v>
      </c>
      <c r="CZ20" s="213">
        <f t="shared" ref="CZ20" si="70">CZ19*$A$20</f>
        <v>0</v>
      </c>
      <c r="DA20" s="213">
        <f t="shared" ref="DA20" si="71">DA19*$A$20</f>
        <v>0</v>
      </c>
      <c r="DB20" s="213">
        <f t="shared" ref="DB20" si="72">DB19*$A$20</f>
        <v>0</v>
      </c>
      <c r="DC20" s="243"/>
      <c r="DD20" s="213">
        <f>DD19*$A$20</f>
        <v>0</v>
      </c>
      <c r="DE20" s="246"/>
      <c r="DF20" s="8"/>
      <c r="DG20" s="351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</row>
    <row r="21" spans="1:135" s="7" customFormat="1" ht="13" customHeight="1">
      <c r="A21" s="395" t="s">
        <v>20</v>
      </c>
      <c r="B21" s="69" t="s">
        <v>12</v>
      </c>
      <c r="C21" s="67">
        <f>SUM(L21,T21,AB21,AJ21,AR21,AZ21,BH21,BQ21,BZ21,CI21,CQ21,CY21)</f>
        <v>1228341.25</v>
      </c>
      <c r="D21" s="67">
        <f t="shared" ref="D21:D30" si="73">SUM(M21,U21,AC21,AK21,AS21,BA21,BI21,BR21,CA21,CJ21,CR21,CZ21)</f>
        <v>437436.60450000002</v>
      </c>
      <c r="E21" s="67">
        <f t="shared" ref="E21:E30" si="74">SUM(N21,V21,AD21,AL21,AT21,BB21,BJ21,BS21,CB21,CK21,CS21,DA21)</f>
        <v>790904.65549999999</v>
      </c>
      <c r="F21" s="67">
        <f t="shared" ref="F21:F30" si="75">SUM(O21,W21,AE21,AM21,AU21,BC21,BK21,BT21,CC21,CL21,CT21,DB21)</f>
        <v>790904.65549999999</v>
      </c>
      <c r="G21" s="152">
        <f>D21/C21</f>
        <v>0.35611977086986213</v>
      </c>
      <c r="H21" s="224">
        <f>SUM(Q21,Y21,AG21,AO21,AW21,BE21,BM21,BV21,CE21,CN21,CV21,DD21)</f>
        <v>0</v>
      </c>
      <c r="I21" s="14">
        <f>H21/C21</f>
        <v>0</v>
      </c>
      <c r="J21" s="216">
        <f>F21*$A$33</f>
        <v>1328719.82124</v>
      </c>
      <c r="K21" s="113"/>
      <c r="L21" s="75">
        <v>0</v>
      </c>
      <c r="M21" s="67">
        <v>0</v>
      </c>
      <c r="N21" s="67">
        <v>0</v>
      </c>
      <c r="O21" s="67">
        <v>0</v>
      </c>
      <c r="P21" s="73" t="e">
        <v>#DIV/0!</v>
      </c>
      <c r="Q21" s="76">
        <v>0</v>
      </c>
      <c r="R21" s="74" t="e">
        <v>#DIV/0!</v>
      </c>
      <c r="S21" s="113"/>
      <c r="T21" s="161">
        <v>2500</v>
      </c>
      <c r="U21" s="76">
        <v>1225</v>
      </c>
      <c r="V21" s="76">
        <v>1275</v>
      </c>
      <c r="W21" s="76">
        <v>1275</v>
      </c>
      <c r="X21" s="87">
        <f>(T21-V21)/T21</f>
        <v>0.49</v>
      </c>
      <c r="Y21" s="76">
        <v>0</v>
      </c>
      <c r="Z21" s="88">
        <f t="shared" si="6"/>
        <v>0</v>
      </c>
      <c r="AA21" s="113"/>
      <c r="AB21" s="161">
        <v>0</v>
      </c>
      <c r="AC21" s="76">
        <v>0</v>
      </c>
      <c r="AD21" s="76">
        <v>0</v>
      </c>
      <c r="AE21" s="76">
        <v>0</v>
      </c>
      <c r="AF21" s="87" t="e">
        <f>(AB21-AD21)/AB21</f>
        <v>#DIV/0!</v>
      </c>
      <c r="AG21" s="76">
        <v>0</v>
      </c>
      <c r="AH21" s="88" t="e">
        <f>AG21/AB21</f>
        <v>#DIV/0!</v>
      </c>
      <c r="AI21" s="113"/>
      <c r="AJ21" s="75">
        <v>87344</v>
      </c>
      <c r="AK21" s="67">
        <v>47213.97</v>
      </c>
      <c r="AL21" s="67">
        <v>40130.03</v>
      </c>
      <c r="AM21" s="67">
        <v>40130.03</v>
      </c>
      <c r="AN21" s="73">
        <f>(AJ21-AL21)/AJ21</f>
        <v>0.54055195548635282</v>
      </c>
      <c r="AO21" s="76">
        <v>0</v>
      </c>
      <c r="AP21" s="74">
        <f t="shared" ref="AP21:AP31" si="76">AO21/AJ21</f>
        <v>0</v>
      </c>
      <c r="AQ21" s="113"/>
      <c r="AR21" s="161">
        <v>37758</v>
      </c>
      <c r="AS21" s="76">
        <v>26740.47</v>
      </c>
      <c r="AT21" s="76">
        <v>11017.53</v>
      </c>
      <c r="AU21" s="76">
        <v>11017.53</v>
      </c>
      <c r="AV21" s="87">
        <f>(AR21-AT21)/AR21</f>
        <v>0.70820673764500242</v>
      </c>
      <c r="AW21" s="76">
        <v>0</v>
      </c>
      <c r="AX21" s="88">
        <f t="shared" si="9"/>
        <v>0</v>
      </c>
      <c r="AY21" s="113"/>
      <c r="AZ21" s="161">
        <v>382860.75</v>
      </c>
      <c r="BA21" s="76">
        <v>95931.664500000014</v>
      </c>
      <c r="BB21" s="76">
        <v>286929.08549999999</v>
      </c>
      <c r="BC21" s="76">
        <v>286929.08549999999</v>
      </c>
      <c r="BD21" s="87">
        <f t="shared" si="10"/>
        <v>0.25056541967281842</v>
      </c>
      <c r="BE21" s="76">
        <v>0</v>
      </c>
      <c r="BF21" s="88">
        <f t="shared" si="11"/>
        <v>0</v>
      </c>
      <c r="BG21" s="113"/>
      <c r="BH21" s="292">
        <v>511709</v>
      </c>
      <c r="BI21" s="293">
        <v>188925.11</v>
      </c>
      <c r="BJ21" s="293">
        <v>322783.90000000002</v>
      </c>
      <c r="BK21" s="293">
        <v>322783.90000000002</v>
      </c>
      <c r="BL21" s="87">
        <f>(BH21-BJ21)/BH21</f>
        <v>0.3692041765925555</v>
      </c>
      <c r="BM21" s="293">
        <v>0</v>
      </c>
      <c r="BN21" s="88">
        <f t="shared" ref="BN21:BN32" si="77">BM21/BH21</f>
        <v>0</v>
      </c>
      <c r="BO21" s="216">
        <f>BK21*$A$33</f>
        <v>542276.95200000005</v>
      </c>
      <c r="BP21" s="113"/>
      <c r="BQ21" s="161">
        <v>206169.5</v>
      </c>
      <c r="BR21" s="76">
        <v>77400.39</v>
      </c>
      <c r="BS21" s="76">
        <v>128769.11</v>
      </c>
      <c r="BT21" s="76">
        <v>128769.11</v>
      </c>
      <c r="BU21" s="87">
        <f>(BQ21-BS21)/BQ21</f>
        <v>0.37542114619281708</v>
      </c>
      <c r="BV21" s="76">
        <v>0</v>
      </c>
      <c r="BW21" s="88">
        <f t="shared" si="14"/>
        <v>0</v>
      </c>
      <c r="BX21" s="359">
        <f>BT21*$A$33</f>
        <v>216332.1048</v>
      </c>
      <c r="BY21" s="113"/>
      <c r="BZ21" s="161">
        <v>0</v>
      </c>
      <c r="CA21" s="76">
        <v>0</v>
      </c>
      <c r="CB21" s="76">
        <v>0</v>
      </c>
      <c r="CC21" s="76">
        <v>0</v>
      </c>
      <c r="CD21" s="87" t="e">
        <f>(BZ21-CB21)/BZ21</f>
        <v>#DIV/0!</v>
      </c>
      <c r="CE21" s="76">
        <v>0</v>
      </c>
      <c r="CF21" s="88" t="e">
        <f t="shared" si="16"/>
        <v>#DIV/0!</v>
      </c>
      <c r="CG21" s="359">
        <f>CC21*$A$33</f>
        <v>0</v>
      </c>
      <c r="CH21" s="113"/>
      <c r="CI21" s="159">
        <v>0</v>
      </c>
      <c r="CJ21" s="160">
        <v>0</v>
      </c>
      <c r="CK21" s="160">
        <v>0</v>
      </c>
      <c r="CL21" s="160">
        <v>0</v>
      </c>
      <c r="CM21" s="143" t="e">
        <f>(CI21-CK21)/CI21</f>
        <v>#DIV/0!</v>
      </c>
      <c r="CN21" s="160"/>
      <c r="CO21" s="144" t="e">
        <f t="shared" si="18"/>
        <v>#DIV/0!</v>
      </c>
      <c r="CP21" s="113"/>
      <c r="CQ21" s="159">
        <v>0</v>
      </c>
      <c r="CR21" s="160">
        <v>0</v>
      </c>
      <c r="CS21" s="160">
        <v>0</v>
      </c>
      <c r="CT21" s="160">
        <v>0</v>
      </c>
      <c r="CU21" s="143" t="e">
        <f>(CQ21-CS21)/CQ21</f>
        <v>#DIV/0!</v>
      </c>
      <c r="CV21" s="160"/>
      <c r="CW21" s="144" t="e">
        <f t="shared" si="20"/>
        <v>#DIV/0!</v>
      </c>
      <c r="CX21" s="113"/>
      <c r="CY21" s="159">
        <v>0</v>
      </c>
      <c r="CZ21" s="160">
        <v>0</v>
      </c>
      <c r="DA21" s="160">
        <v>0</v>
      </c>
      <c r="DB21" s="160">
        <v>0</v>
      </c>
      <c r="DC21" s="143" t="e">
        <f>(CY21-DA21)/CY21</f>
        <v>#DIV/0!</v>
      </c>
      <c r="DD21" s="160"/>
      <c r="DE21" s="144" t="e">
        <f t="shared" si="22"/>
        <v>#DIV/0!</v>
      </c>
      <c r="DF21" s="6"/>
      <c r="DG21" s="353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</row>
    <row r="22" spans="1:135" s="7" customFormat="1" ht="13" customHeight="1">
      <c r="A22" s="396"/>
      <c r="B22" s="70" t="s">
        <v>13</v>
      </c>
      <c r="C22" s="67">
        <f t="shared" ref="C22:C30" si="78">SUM(L22,T22,AB22,AJ22,AR22,AZ22,BH22,BQ22,BZ22,CI22,CQ22,CY22)</f>
        <v>739667.47487346944</v>
      </c>
      <c r="D22" s="67">
        <f t="shared" si="73"/>
        <v>40952.090462040826</v>
      </c>
      <c r="E22" s="67">
        <f t="shared" si="74"/>
        <v>698715.44441142841</v>
      </c>
      <c r="F22" s="67">
        <f t="shared" si="75"/>
        <v>698715.44441142841</v>
      </c>
      <c r="G22" s="152">
        <f t="shared" ref="G22:G30" si="79">D22/C22</f>
        <v>5.5365541751104114E-2</v>
      </c>
      <c r="H22" s="224">
        <f t="shared" ref="H22:H30" si="80">SUM(Q22,Y22,AG22,AO22,AW22,BE22,BM22,BV22,CE22,CN22,CV22,DD22)</f>
        <v>0</v>
      </c>
      <c r="I22" s="14">
        <f t="shared" ref="I22" si="81">H22/C22</f>
        <v>0</v>
      </c>
      <c r="J22" s="216">
        <f>F22*$A$33</f>
        <v>1173841.9466111998</v>
      </c>
      <c r="K22" s="113"/>
      <c r="L22" s="75">
        <v>29421.200000000001</v>
      </c>
      <c r="M22" s="67">
        <v>11802.05</v>
      </c>
      <c r="N22" s="67">
        <v>17619.150000000001</v>
      </c>
      <c r="O22" s="67">
        <v>17619.150000000001</v>
      </c>
      <c r="P22" s="73">
        <v>0.40114101396272073</v>
      </c>
      <c r="Q22" s="76">
        <v>0</v>
      </c>
      <c r="R22" s="74">
        <v>1</v>
      </c>
      <c r="S22" s="113"/>
      <c r="T22" s="161">
        <v>61523.384873469389</v>
      </c>
      <c r="U22" s="76">
        <v>12319.980462040818</v>
      </c>
      <c r="V22" s="76">
        <v>49203.404411428572</v>
      </c>
      <c r="W22" s="76">
        <v>49203.404411428572</v>
      </c>
      <c r="X22" s="87">
        <f t="shared" ref="X22:X29" si="82">(T22-V22)/T22</f>
        <v>0.20024874261028411</v>
      </c>
      <c r="Y22" s="76">
        <v>0</v>
      </c>
      <c r="Z22" s="88">
        <f t="shared" si="6"/>
        <v>0</v>
      </c>
      <c r="AA22" s="113"/>
      <c r="AB22" s="161">
        <v>126226.26999999999</v>
      </c>
      <c r="AC22" s="76">
        <v>43593.75</v>
      </c>
      <c r="AD22" s="76">
        <v>82632.51999999999</v>
      </c>
      <c r="AE22" s="76">
        <v>82632.51999999999</v>
      </c>
      <c r="AF22" s="87">
        <f>(AB22-AD22)/AB22</f>
        <v>0.34536194407075488</v>
      </c>
      <c r="AG22" s="76">
        <v>0</v>
      </c>
      <c r="AH22" s="88">
        <f>AG22/AB22</f>
        <v>0</v>
      </c>
      <c r="AI22" s="113"/>
      <c r="AJ22" s="75">
        <v>85310.650000000009</v>
      </c>
      <c r="AK22" s="67">
        <v>0</v>
      </c>
      <c r="AL22" s="67">
        <v>85310.650000000009</v>
      </c>
      <c r="AM22" s="67">
        <v>85310.650000000009</v>
      </c>
      <c r="AN22" s="73">
        <f>(AJ22-AL22)/AJ22</f>
        <v>0</v>
      </c>
      <c r="AO22" s="76">
        <v>0</v>
      </c>
      <c r="AP22" s="74">
        <f t="shared" si="76"/>
        <v>0</v>
      </c>
      <c r="AQ22" s="113"/>
      <c r="AR22" s="161">
        <v>35843.175000000003</v>
      </c>
      <c r="AS22" s="76">
        <v>0</v>
      </c>
      <c r="AT22" s="76">
        <v>35843.175000000003</v>
      </c>
      <c r="AU22" s="76">
        <v>35843.175000000003</v>
      </c>
      <c r="AV22" s="87">
        <f t="shared" ref="AV22:AV31" si="83">(AR22-AT22)/AR22</f>
        <v>0</v>
      </c>
      <c r="AW22" s="76">
        <v>0</v>
      </c>
      <c r="AX22" s="88">
        <f t="shared" si="9"/>
        <v>0</v>
      </c>
      <c r="AY22" s="113"/>
      <c r="AZ22" s="161">
        <v>76988.165000000008</v>
      </c>
      <c r="BA22" s="76">
        <v>0</v>
      </c>
      <c r="BB22" s="76">
        <v>76988.165000000008</v>
      </c>
      <c r="BC22" s="76">
        <v>76988.165000000008</v>
      </c>
      <c r="BD22" s="87">
        <f t="shared" si="10"/>
        <v>0</v>
      </c>
      <c r="BE22" s="76">
        <v>0</v>
      </c>
      <c r="BF22" s="88">
        <f t="shared" si="11"/>
        <v>0</v>
      </c>
      <c r="BG22" s="113"/>
      <c r="BH22" s="292">
        <v>134398</v>
      </c>
      <c r="BI22" s="293" t="s">
        <v>123</v>
      </c>
      <c r="BJ22" s="293">
        <v>134398.06</v>
      </c>
      <c r="BK22" s="293">
        <v>134398.06</v>
      </c>
      <c r="BL22" s="73">
        <f>(BH22-BJ22)/BH22</f>
        <v>-4.464352147924202E-7</v>
      </c>
      <c r="BM22" s="293">
        <v>0</v>
      </c>
      <c r="BN22" s="88">
        <f t="shared" si="77"/>
        <v>0</v>
      </c>
      <c r="BO22" s="216">
        <f>BK22*$A$33</f>
        <v>225788.7408</v>
      </c>
      <c r="BP22" s="113"/>
      <c r="BQ22" s="161">
        <v>107634.06999999999</v>
      </c>
      <c r="BR22" s="76">
        <v>-26763.689999999988</v>
      </c>
      <c r="BS22" s="76">
        <v>134397.75999999998</v>
      </c>
      <c r="BT22" s="76">
        <v>134397.75999999998</v>
      </c>
      <c r="BU22" s="87">
        <f>(BQ22-BS22)/BQ22</f>
        <v>-0.24865444556728172</v>
      </c>
      <c r="BV22" s="76">
        <v>0</v>
      </c>
      <c r="BW22" s="88">
        <f t="shared" si="14"/>
        <v>0</v>
      </c>
      <c r="BX22" s="359">
        <f>BT22*$A$33</f>
        <v>225788.23679999996</v>
      </c>
      <c r="BY22" s="113"/>
      <c r="BZ22" s="161">
        <v>82322.559999999998</v>
      </c>
      <c r="CA22" s="76">
        <v>0</v>
      </c>
      <c r="CB22" s="76">
        <v>82322.559999999998</v>
      </c>
      <c r="CC22" s="76">
        <v>82322.559999999998</v>
      </c>
      <c r="CD22" s="87">
        <f t="shared" ref="CD22:CD31" si="84">(BZ22-CB22)/BZ22</f>
        <v>0</v>
      </c>
      <c r="CE22" s="76">
        <v>0</v>
      </c>
      <c r="CF22" s="88">
        <f t="shared" si="16"/>
        <v>0</v>
      </c>
      <c r="CG22" s="359">
        <f>CC22*$A$33</f>
        <v>138301.9008</v>
      </c>
      <c r="CH22" s="113"/>
      <c r="CI22" s="159">
        <v>0</v>
      </c>
      <c r="CJ22" s="160">
        <v>0</v>
      </c>
      <c r="CK22" s="160">
        <v>0</v>
      </c>
      <c r="CL22" s="160">
        <v>0</v>
      </c>
      <c r="CM22" s="143" t="e">
        <f t="shared" ref="CM22:CM31" si="85">(CI22-CK22)/CI22</f>
        <v>#DIV/0!</v>
      </c>
      <c r="CN22" s="160"/>
      <c r="CO22" s="144" t="e">
        <f t="shared" si="18"/>
        <v>#DIV/0!</v>
      </c>
      <c r="CP22" s="113"/>
      <c r="CQ22" s="159">
        <v>0</v>
      </c>
      <c r="CR22" s="160">
        <v>0</v>
      </c>
      <c r="CS22" s="160">
        <v>0</v>
      </c>
      <c r="CT22" s="160">
        <v>0</v>
      </c>
      <c r="CU22" s="143" t="e">
        <f t="shared" ref="CU22:CU31" si="86">(CQ22-CS22)/CQ22</f>
        <v>#DIV/0!</v>
      </c>
      <c r="CV22" s="160"/>
      <c r="CW22" s="144" t="e">
        <f t="shared" si="20"/>
        <v>#DIV/0!</v>
      </c>
      <c r="CX22" s="113"/>
      <c r="CY22" s="159">
        <v>0</v>
      </c>
      <c r="CZ22" s="160">
        <v>0</v>
      </c>
      <c r="DA22" s="160">
        <v>0</v>
      </c>
      <c r="DB22" s="160">
        <v>0</v>
      </c>
      <c r="DC22" s="143" t="e">
        <f t="shared" ref="DC22:DC31" si="87">(CY22-DA22)/CY22</f>
        <v>#DIV/0!</v>
      </c>
      <c r="DD22" s="160"/>
      <c r="DE22" s="144" t="e">
        <f t="shared" si="22"/>
        <v>#DIV/0!</v>
      </c>
      <c r="DF22" s="6"/>
      <c r="DG22" s="353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</row>
    <row r="23" spans="1:135" s="7" customFormat="1" ht="13" customHeight="1">
      <c r="A23" s="396"/>
      <c r="B23" s="70" t="s">
        <v>188</v>
      </c>
      <c r="C23" s="67"/>
      <c r="D23" s="67"/>
      <c r="E23" s="67"/>
      <c r="F23" s="67"/>
      <c r="G23" s="152"/>
      <c r="H23" s="224"/>
      <c r="I23" s="14"/>
      <c r="J23" s="216"/>
      <c r="K23" s="113"/>
      <c r="L23" s="75"/>
      <c r="M23" s="67"/>
      <c r="N23" s="67"/>
      <c r="O23" s="67"/>
      <c r="P23" s="73"/>
      <c r="Q23" s="76"/>
      <c r="R23" s="74"/>
      <c r="S23" s="113"/>
      <c r="T23" s="161"/>
      <c r="U23" s="76"/>
      <c r="V23" s="76"/>
      <c r="W23" s="76"/>
      <c r="X23" s="87"/>
      <c r="Y23" s="76"/>
      <c r="Z23" s="88"/>
      <c r="AA23" s="113"/>
      <c r="AB23" s="161"/>
      <c r="AC23" s="76"/>
      <c r="AD23" s="76"/>
      <c r="AE23" s="76"/>
      <c r="AF23" s="87"/>
      <c r="AG23" s="76"/>
      <c r="AH23" s="88"/>
      <c r="AI23" s="113"/>
      <c r="AJ23" s="75"/>
      <c r="AK23" s="67"/>
      <c r="AL23" s="67"/>
      <c r="AM23" s="67"/>
      <c r="AN23" s="73"/>
      <c r="AO23" s="76"/>
      <c r="AP23" s="74"/>
      <c r="AQ23" s="113"/>
      <c r="AR23" s="161"/>
      <c r="AS23" s="76"/>
      <c r="AT23" s="76"/>
      <c r="AU23" s="76"/>
      <c r="AV23" s="87"/>
      <c r="AW23" s="76"/>
      <c r="AX23" s="88"/>
      <c r="AY23" s="113"/>
      <c r="AZ23" s="161"/>
      <c r="BA23" s="76"/>
      <c r="BB23" s="76"/>
      <c r="BC23" s="76"/>
      <c r="BD23" s="87"/>
      <c r="BE23" s="76"/>
      <c r="BF23" s="88"/>
      <c r="BG23" s="113"/>
      <c r="BH23" s="292"/>
      <c r="BI23" s="293"/>
      <c r="BJ23" s="293"/>
      <c r="BK23" s="293"/>
      <c r="BL23" s="73"/>
      <c r="BM23" s="293"/>
      <c r="BN23" s="88"/>
      <c r="BO23" s="216"/>
      <c r="BP23" s="113"/>
      <c r="BQ23" s="161"/>
      <c r="BR23" s="76"/>
      <c r="BS23" s="76"/>
      <c r="BT23" s="76"/>
      <c r="BU23" s="87"/>
      <c r="BV23" s="76"/>
      <c r="BW23" s="88"/>
      <c r="BX23" s="359"/>
      <c r="BY23" s="113"/>
      <c r="BZ23" s="161"/>
      <c r="CA23" s="76"/>
      <c r="CB23" s="76"/>
      <c r="CC23" s="76"/>
      <c r="CD23" s="87"/>
      <c r="CE23" s="76"/>
      <c r="CF23" s="88"/>
      <c r="CG23" s="359"/>
      <c r="CH23" s="113"/>
      <c r="CI23" s="159"/>
      <c r="CJ23" s="160"/>
      <c r="CK23" s="160"/>
      <c r="CL23" s="160"/>
      <c r="CM23" s="143"/>
      <c r="CN23" s="160"/>
      <c r="CO23" s="144"/>
      <c r="CP23" s="113"/>
      <c r="CQ23" s="159"/>
      <c r="CR23" s="160"/>
      <c r="CS23" s="160"/>
      <c r="CT23" s="160"/>
      <c r="CU23" s="143"/>
      <c r="CV23" s="160"/>
      <c r="CW23" s="144"/>
      <c r="CX23" s="113"/>
      <c r="CY23" s="159"/>
      <c r="CZ23" s="160"/>
      <c r="DA23" s="160"/>
      <c r="DB23" s="160"/>
      <c r="DC23" s="143"/>
      <c r="DD23" s="160"/>
      <c r="DE23" s="144"/>
      <c r="DF23" s="6"/>
      <c r="DG23" s="353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</row>
    <row r="24" spans="1:135" s="7" customFormat="1" ht="13" customHeight="1">
      <c r="A24" s="396"/>
      <c r="B24" s="70" t="s">
        <v>119</v>
      </c>
      <c r="C24" s="66"/>
      <c r="D24" s="66"/>
      <c r="E24" s="66"/>
      <c r="F24" s="66"/>
      <c r="G24" s="14"/>
      <c r="H24" s="224"/>
      <c r="I24" s="14"/>
      <c r="J24" s="216"/>
      <c r="K24" s="111"/>
      <c r="L24" s="72"/>
      <c r="M24" s="66"/>
      <c r="N24" s="66"/>
      <c r="O24" s="66"/>
      <c r="P24" s="73"/>
      <c r="Q24" s="66"/>
      <c r="R24" s="74"/>
      <c r="S24" s="111"/>
      <c r="T24" s="154"/>
      <c r="U24" s="155"/>
      <c r="V24" s="155"/>
      <c r="W24" s="155"/>
      <c r="X24" s="87"/>
      <c r="Y24" s="155"/>
      <c r="Z24" s="88"/>
      <c r="AA24" s="111"/>
      <c r="AB24" s="72"/>
      <c r="AC24" s="66"/>
      <c r="AD24" s="66"/>
      <c r="AE24" s="66"/>
      <c r="AF24" s="73"/>
      <c r="AG24" s="155"/>
      <c r="AH24" s="74"/>
      <c r="AI24" s="111"/>
      <c r="AJ24" s="154"/>
      <c r="AK24" s="155"/>
      <c r="AL24" s="155"/>
      <c r="AM24" s="155"/>
      <c r="AN24" s="87"/>
      <c r="AO24" s="155"/>
      <c r="AP24" s="88"/>
      <c r="AQ24" s="111"/>
      <c r="AR24" s="154"/>
      <c r="AS24" s="155"/>
      <c r="AT24" s="155"/>
      <c r="AU24" s="155"/>
      <c r="AV24" s="87"/>
      <c r="AW24" s="155"/>
      <c r="AX24" s="88"/>
      <c r="AY24" s="111"/>
      <c r="AZ24" s="154"/>
      <c r="BA24" s="155"/>
      <c r="BB24" s="155"/>
      <c r="BC24" s="155"/>
      <c r="BD24" s="87"/>
      <c r="BE24" s="155"/>
      <c r="BF24" s="88"/>
      <c r="BG24" s="111"/>
      <c r="BH24" s="292"/>
      <c r="BI24" s="293"/>
      <c r="BJ24" s="293"/>
      <c r="BK24" s="293"/>
      <c r="BL24" s="87"/>
      <c r="BM24" s="293"/>
      <c r="BN24" s="88"/>
      <c r="BO24" s="216"/>
      <c r="BP24" s="111"/>
      <c r="BQ24" s="154"/>
      <c r="BR24" s="155"/>
      <c r="BS24" s="155"/>
      <c r="BT24" s="155"/>
      <c r="BU24" s="87"/>
      <c r="BV24" s="155"/>
      <c r="BW24" s="88"/>
      <c r="BX24" s="359"/>
      <c r="BY24" s="111"/>
      <c r="BZ24" s="154"/>
      <c r="CA24" s="155"/>
      <c r="CB24" s="155"/>
      <c r="CC24" s="155"/>
      <c r="CD24" s="87"/>
      <c r="CE24" s="155"/>
      <c r="CF24" s="88"/>
      <c r="CG24" s="359"/>
      <c r="CH24" s="111"/>
      <c r="CI24" s="157"/>
      <c r="CJ24" s="158"/>
      <c r="CK24" s="158"/>
      <c r="CL24" s="158"/>
      <c r="CM24" s="143"/>
      <c r="CN24" s="158"/>
      <c r="CO24" s="144"/>
      <c r="CP24" s="111"/>
      <c r="CQ24" s="157"/>
      <c r="CR24" s="158"/>
      <c r="CS24" s="158"/>
      <c r="CT24" s="158"/>
      <c r="CU24" s="143"/>
      <c r="CV24" s="158"/>
      <c r="CW24" s="144"/>
      <c r="CX24" s="111"/>
      <c r="CY24" s="157"/>
      <c r="CZ24" s="158"/>
      <c r="DA24" s="158"/>
      <c r="DB24" s="158"/>
      <c r="DC24" s="143"/>
      <c r="DD24" s="158"/>
      <c r="DE24" s="144"/>
      <c r="DF24" s="6"/>
      <c r="DG24" s="353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</row>
    <row r="25" spans="1:135" s="7" customFormat="1" ht="13" customHeight="1">
      <c r="A25" s="396"/>
      <c r="B25" s="70" t="s">
        <v>120</v>
      </c>
      <c r="C25" s="66"/>
      <c r="D25" s="66"/>
      <c r="E25" s="66"/>
      <c r="F25" s="66"/>
      <c r="G25" s="14"/>
      <c r="H25" s="224">
        <f>F32*9%</f>
        <v>616485.74342538242</v>
      </c>
      <c r="I25" s="14"/>
      <c r="J25" s="216"/>
      <c r="K25" s="111"/>
      <c r="L25" s="72"/>
      <c r="M25" s="66"/>
      <c r="N25" s="66"/>
      <c r="O25" s="66"/>
      <c r="P25" s="73"/>
      <c r="Q25" s="66"/>
      <c r="R25" s="74"/>
      <c r="S25" s="111"/>
      <c r="T25" s="154"/>
      <c r="U25" s="155"/>
      <c r="V25" s="155"/>
      <c r="W25" s="155"/>
      <c r="X25" s="87"/>
      <c r="Y25" s="155"/>
      <c r="Z25" s="88"/>
      <c r="AA25" s="111"/>
      <c r="AB25" s="72"/>
      <c r="AC25" s="66"/>
      <c r="AD25" s="66"/>
      <c r="AE25" s="66"/>
      <c r="AF25" s="73"/>
      <c r="AG25" s="155"/>
      <c r="AH25" s="74"/>
      <c r="AI25" s="111"/>
      <c r="AJ25" s="154"/>
      <c r="AK25" s="155"/>
      <c r="AL25" s="155"/>
      <c r="AM25" s="155"/>
      <c r="AN25" s="87"/>
      <c r="AO25" s="155"/>
      <c r="AP25" s="88"/>
      <c r="AQ25" s="111"/>
      <c r="AR25" s="154"/>
      <c r="AS25" s="155"/>
      <c r="AT25" s="155"/>
      <c r="AU25" s="155"/>
      <c r="AV25" s="87"/>
      <c r="AW25" s="155"/>
      <c r="AX25" s="88"/>
      <c r="AY25" s="111"/>
      <c r="AZ25" s="154"/>
      <c r="BA25" s="155"/>
      <c r="BB25" s="155"/>
      <c r="BC25" s="155"/>
      <c r="BD25" s="87"/>
      <c r="BE25" s="155"/>
      <c r="BF25" s="88"/>
      <c r="BG25" s="111"/>
      <c r="BH25" s="292"/>
      <c r="BI25" s="293"/>
      <c r="BJ25" s="293"/>
      <c r="BK25" s="293"/>
      <c r="BL25" s="87"/>
      <c r="BM25" s="293"/>
      <c r="BN25" s="88"/>
      <c r="BO25" s="216"/>
      <c r="BP25" s="111"/>
      <c r="BQ25" s="154"/>
      <c r="BR25" s="155"/>
      <c r="BS25" s="155"/>
      <c r="BT25" s="155"/>
      <c r="BU25" s="87"/>
      <c r="BV25" s="155"/>
      <c r="BW25" s="88"/>
      <c r="BX25" s="359"/>
      <c r="BY25" s="111"/>
      <c r="BZ25" s="154"/>
      <c r="CA25" s="155"/>
      <c r="CB25" s="155"/>
      <c r="CC25" s="155"/>
      <c r="CD25" s="87"/>
      <c r="CE25" s="155"/>
      <c r="CF25" s="88"/>
      <c r="CG25" s="359"/>
      <c r="CH25" s="111"/>
      <c r="CI25" s="157"/>
      <c r="CJ25" s="158"/>
      <c r="CK25" s="158"/>
      <c r="CL25" s="158"/>
      <c r="CM25" s="143"/>
      <c r="CN25" s="158"/>
      <c r="CO25" s="144"/>
      <c r="CP25" s="111"/>
      <c r="CQ25" s="157"/>
      <c r="CR25" s="158"/>
      <c r="CS25" s="158"/>
      <c r="CT25" s="158"/>
      <c r="CU25" s="143"/>
      <c r="CV25" s="158"/>
      <c r="CW25" s="144"/>
      <c r="CX25" s="111"/>
      <c r="CY25" s="157"/>
      <c r="CZ25" s="158"/>
      <c r="DA25" s="158"/>
      <c r="DB25" s="158"/>
      <c r="DC25" s="143"/>
      <c r="DD25" s="158"/>
      <c r="DE25" s="144"/>
      <c r="DF25" s="6"/>
      <c r="DG25" s="353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</row>
    <row r="26" spans="1:135" s="7" customFormat="1" ht="13" customHeight="1">
      <c r="A26" s="396"/>
      <c r="B26" s="70" t="s">
        <v>121</v>
      </c>
      <c r="C26" s="66"/>
      <c r="D26" s="66"/>
      <c r="E26" s="66"/>
      <c r="F26" s="66"/>
      <c r="G26" s="14"/>
      <c r="H26" s="224">
        <f>H25+F32</f>
        <v>7466327.3370407429</v>
      </c>
      <c r="I26" s="14"/>
      <c r="J26" s="216">
        <f>(J27-F32)/F32</f>
        <v>0.12270000000000002</v>
      </c>
      <c r="K26" s="111"/>
      <c r="L26" s="72"/>
      <c r="M26" s="66"/>
      <c r="N26" s="66"/>
      <c r="O26" s="66"/>
      <c r="P26" s="73"/>
      <c r="Q26" s="66"/>
      <c r="R26" s="74"/>
      <c r="S26" s="111"/>
      <c r="T26" s="154"/>
      <c r="U26" s="155"/>
      <c r="V26" s="155"/>
      <c r="W26" s="155"/>
      <c r="X26" s="87"/>
      <c r="Y26" s="155"/>
      <c r="Z26" s="88"/>
      <c r="AA26" s="111"/>
      <c r="AB26" s="72"/>
      <c r="AC26" s="66"/>
      <c r="AD26" s="66"/>
      <c r="AE26" s="66"/>
      <c r="AF26" s="73"/>
      <c r="AG26" s="155"/>
      <c r="AH26" s="74"/>
      <c r="AI26" s="111"/>
      <c r="AJ26" s="154"/>
      <c r="AK26" s="155"/>
      <c r="AL26" s="155"/>
      <c r="AM26" s="155"/>
      <c r="AN26" s="87"/>
      <c r="AO26" s="155"/>
      <c r="AP26" s="88"/>
      <c r="AQ26" s="111"/>
      <c r="AR26" s="154"/>
      <c r="AS26" s="155"/>
      <c r="AT26" s="155"/>
      <c r="AU26" s="155"/>
      <c r="AV26" s="87"/>
      <c r="AW26" s="155"/>
      <c r="AX26" s="88"/>
      <c r="AY26" s="111"/>
      <c r="AZ26" s="154"/>
      <c r="BA26" s="155"/>
      <c r="BB26" s="155"/>
      <c r="BC26" s="155"/>
      <c r="BD26" s="87"/>
      <c r="BE26" s="155"/>
      <c r="BF26" s="88"/>
      <c r="BG26" s="111"/>
      <c r="BH26" s="292"/>
      <c r="BI26" s="293"/>
      <c r="BJ26" s="293"/>
      <c r="BK26" s="293"/>
      <c r="BL26" s="87"/>
      <c r="BM26" s="293"/>
      <c r="BN26" s="88"/>
      <c r="BO26" s="216"/>
      <c r="BP26" s="111"/>
      <c r="BQ26" s="154"/>
      <c r="BR26" s="155"/>
      <c r="BS26" s="155"/>
      <c r="BT26" s="155"/>
      <c r="BU26" s="87"/>
      <c r="BV26" s="155"/>
      <c r="BW26" s="88"/>
      <c r="BX26" s="359"/>
      <c r="BY26" s="111"/>
      <c r="BZ26" s="154"/>
      <c r="CA26" s="155"/>
      <c r="CB26" s="155"/>
      <c r="CC26" s="155"/>
      <c r="CD26" s="87"/>
      <c r="CE26" s="155"/>
      <c r="CF26" s="88"/>
      <c r="CG26" s="359"/>
      <c r="CH26" s="111"/>
      <c r="CI26" s="157"/>
      <c r="CJ26" s="158"/>
      <c r="CK26" s="158"/>
      <c r="CL26" s="158"/>
      <c r="CM26" s="143"/>
      <c r="CN26" s="158"/>
      <c r="CO26" s="144"/>
      <c r="CP26" s="111"/>
      <c r="CQ26" s="157"/>
      <c r="CR26" s="158"/>
      <c r="CS26" s="158"/>
      <c r="CT26" s="158"/>
      <c r="CU26" s="143"/>
      <c r="CV26" s="158"/>
      <c r="CW26" s="144"/>
      <c r="CX26" s="111"/>
      <c r="CY26" s="157"/>
      <c r="CZ26" s="158"/>
      <c r="DA26" s="158"/>
      <c r="DB26" s="158"/>
      <c r="DC26" s="143"/>
      <c r="DD26" s="158"/>
      <c r="DE26" s="144"/>
      <c r="DF26" s="6"/>
      <c r="DG26" s="353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</row>
    <row r="27" spans="1:135" s="7" customFormat="1" ht="13" customHeight="1">
      <c r="A27" s="396"/>
      <c r="B27" s="70" t="s">
        <v>122</v>
      </c>
      <c r="C27" s="66"/>
      <c r="D27" s="66"/>
      <c r="E27" s="66"/>
      <c r="F27" s="66"/>
      <c r="G27" s="14"/>
      <c r="H27" s="224">
        <f>H26*3%</f>
        <v>223989.82011122227</v>
      </c>
      <c r="I27" s="14"/>
      <c r="J27" s="380">
        <f>H26+H27</f>
        <v>7690317.1571519654</v>
      </c>
      <c r="K27" s="111"/>
      <c r="L27" s="72"/>
      <c r="M27" s="66"/>
      <c r="N27" s="66"/>
      <c r="O27" s="66"/>
      <c r="P27" s="73"/>
      <c r="Q27" s="66"/>
      <c r="R27" s="74"/>
      <c r="S27" s="111"/>
      <c r="T27" s="154"/>
      <c r="U27" s="155"/>
      <c r="V27" s="155"/>
      <c r="W27" s="155"/>
      <c r="X27" s="87"/>
      <c r="Y27" s="155"/>
      <c r="Z27" s="88"/>
      <c r="AA27" s="111"/>
      <c r="AB27" s="72"/>
      <c r="AC27" s="66"/>
      <c r="AD27" s="66"/>
      <c r="AE27" s="66"/>
      <c r="AF27" s="73"/>
      <c r="AG27" s="155"/>
      <c r="AH27" s="74"/>
      <c r="AI27" s="111"/>
      <c r="AJ27" s="154"/>
      <c r="AK27" s="155"/>
      <c r="AL27" s="155"/>
      <c r="AM27" s="155"/>
      <c r="AN27" s="87"/>
      <c r="AO27" s="155"/>
      <c r="AP27" s="88"/>
      <c r="AQ27" s="111"/>
      <c r="AR27" s="154"/>
      <c r="AS27" s="155"/>
      <c r="AT27" s="155"/>
      <c r="AU27" s="155"/>
      <c r="AV27" s="87"/>
      <c r="AW27" s="155"/>
      <c r="AX27" s="88"/>
      <c r="AY27" s="111"/>
      <c r="AZ27" s="154"/>
      <c r="BA27" s="155"/>
      <c r="BB27" s="155"/>
      <c r="BC27" s="155"/>
      <c r="BD27" s="87"/>
      <c r="BE27" s="155"/>
      <c r="BF27" s="88"/>
      <c r="BG27" s="111"/>
      <c r="BH27" s="292"/>
      <c r="BI27" s="293"/>
      <c r="BJ27" s="293"/>
      <c r="BK27" s="293"/>
      <c r="BL27" s="87"/>
      <c r="BM27" s="293"/>
      <c r="BN27" s="88"/>
      <c r="BO27" s="216"/>
      <c r="BP27" s="111"/>
      <c r="BQ27" s="154"/>
      <c r="BR27" s="155"/>
      <c r="BS27" s="155"/>
      <c r="BT27" s="155"/>
      <c r="BU27" s="87"/>
      <c r="BV27" s="155"/>
      <c r="BW27" s="88"/>
      <c r="BX27" s="359"/>
      <c r="BY27" s="111"/>
      <c r="BZ27" s="154"/>
      <c r="CA27" s="155"/>
      <c r="CB27" s="155"/>
      <c r="CC27" s="155"/>
      <c r="CD27" s="87"/>
      <c r="CE27" s="155"/>
      <c r="CF27" s="88"/>
      <c r="CG27" s="359"/>
      <c r="CH27" s="111"/>
      <c r="CI27" s="157"/>
      <c r="CJ27" s="158"/>
      <c r="CK27" s="158"/>
      <c r="CL27" s="158"/>
      <c r="CM27" s="143"/>
      <c r="CN27" s="158"/>
      <c r="CO27" s="144"/>
      <c r="CP27" s="111"/>
      <c r="CQ27" s="157"/>
      <c r="CR27" s="158"/>
      <c r="CS27" s="158"/>
      <c r="CT27" s="158"/>
      <c r="CU27" s="143"/>
      <c r="CV27" s="158"/>
      <c r="CW27" s="144"/>
      <c r="CX27" s="111"/>
      <c r="CY27" s="157"/>
      <c r="CZ27" s="158"/>
      <c r="DA27" s="158"/>
      <c r="DB27" s="158"/>
      <c r="DC27" s="143"/>
      <c r="DD27" s="158"/>
      <c r="DE27" s="144"/>
      <c r="DF27" s="6"/>
      <c r="DG27" s="353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</row>
    <row r="28" spans="1:135" s="7" customFormat="1" ht="13" customHeight="1">
      <c r="A28" s="396"/>
      <c r="B28" s="70" t="s">
        <v>14</v>
      </c>
      <c r="C28" s="67">
        <f t="shared" si="78"/>
        <v>6832025.8400000008</v>
      </c>
      <c r="D28" s="67">
        <f t="shared" si="73"/>
        <v>4531787.169396068</v>
      </c>
      <c r="E28" s="67">
        <f t="shared" si="74"/>
        <v>2300238.6706039328</v>
      </c>
      <c r="F28" s="67">
        <f t="shared" si="75"/>
        <v>2300238.6706039328</v>
      </c>
      <c r="G28" s="152">
        <f t="shared" si="79"/>
        <v>0.66331528532334527</v>
      </c>
      <c r="H28" s="224">
        <f t="shared" si="80"/>
        <v>30000</v>
      </c>
      <c r="I28" s="14">
        <f>H28/C28</f>
        <v>4.3910840946116796E-3</v>
      </c>
      <c r="J28" s="216">
        <f>F28*$A$33</f>
        <v>3864400.9666146068</v>
      </c>
      <c r="K28" s="113"/>
      <c r="L28" s="75">
        <v>602354</v>
      </c>
      <c r="M28" s="67">
        <v>420796.6531460674</v>
      </c>
      <c r="N28" s="67">
        <v>181557.3468539326</v>
      </c>
      <c r="O28" s="67">
        <v>181557.3468539326</v>
      </c>
      <c r="P28" s="73">
        <v>0.69858696571462531</v>
      </c>
      <c r="Q28" s="76">
        <v>0</v>
      </c>
      <c r="R28" s="74">
        <v>1</v>
      </c>
      <c r="S28" s="113"/>
      <c r="T28" s="161">
        <v>626354</v>
      </c>
      <c r="U28" s="76">
        <v>412700.41499999998</v>
      </c>
      <c r="V28" s="76">
        <v>213653.58500000002</v>
      </c>
      <c r="W28" s="76">
        <v>213653.58500000002</v>
      </c>
      <c r="X28" s="87">
        <f t="shared" si="82"/>
        <v>0.65889323768986863</v>
      </c>
      <c r="Y28" s="76">
        <v>0</v>
      </c>
      <c r="Z28" s="88">
        <f t="shared" si="6"/>
        <v>0</v>
      </c>
      <c r="AA28" s="113"/>
      <c r="AB28" s="161">
        <v>836986.12</v>
      </c>
      <c r="AC28" s="76">
        <v>549524.42749999999</v>
      </c>
      <c r="AD28" s="76">
        <v>287461.6925</v>
      </c>
      <c r="AE28" s="76">
        <v>287461.6925</v>
      </c>
      <c r="AF28" s="87">
        <f t="shared" ref="AF28:AF31" si="88">(AB28-AD28)/AB28</f>
        <v>0.65655142226253405</v>
      </c>
      <c r="AG28" s="76">
        <v>0</v>
      </c>
      <c r="AH28" s="88">
        <f>AG29/AB28</f>
        <v>0</v>
      </c>
      <c r="AI28" s="113"/>
      <c r="AJ28" s="75">
        <v>962895.62</v>
      </c>
      <c r="AK28" s="67">
        <v>596247.25750000007</v>
      </c>
      <c r="AL28" s="67">
        <v>366648.36249999999</v>
      </c>
      <c r="AM28" s="67">
        <v>366648.36249999999</v>
      </c>
      <c r="AN28" s="73">
        <f t="shared" ref="AN28:AN31" si="89">(AJ28-AL28)/AJ28</f>
        <v>0.61922314850700022</v>
      </c>
      <c r="AO28" s="76">
        <v>0</v>
      </c>
      <c r="AP28" s="74">
        <f t="shared" si="76"/>
        <v>0</v>
      </c>
      <c r="AQ28" s="113"/>
      <c r="AR28" s="161">
        <v>824427.12</v>
      </c>
      <c r="AS28" s="76">
        <v>557293.17249999999</v>
      </c>
      <c r="AT28" s="76">
        <v>267133.94750000001</v>
      </c>
      <c r="AU28" s="76">
        <v>267133.94750000001</v>
      </c>
      <c r="AV28" s="87">
        <f t="shared" si="83"/>
        <v>0.67597627368202051</v>
      </c>
      <c r="AW28" s="76">
        <v>0</v>
      </c>
      <c r="AX28" s="88">
        <f t="shared" si="9"/>
        <v>0</v>
      </c>
      <c r="AY28" s="113"/>
      <c r="AZ28" s="161">
        <v>674183.12</v>
      </c>
      <c r="BA28" s="76">
        <v>494430.57999999996</v>
      </c>
      <c r="BB28" s="76">
        <v>179752.54</v>
      </c>
      <c r="BC28" s="76">
        <v>179752.54</v>
      </c>
      <c r="BD28" s="87">
        <f t="shared" si="10"/>
        <v>0.733377275895012</v>
      </c>
      <c r="BE28" s="76">
        <v>30000</v>
      </c>
      <c r="BF28" s="88">
        <f t="shared" si="11"/>
        <v>4.4498295952589265E-2</v>
      </c>
      <c r="BG28" s="113"/>
      <c r="BH28" s="292">
        <v>846329.62</v>
      </c>
      <c r="BI28" s="293">
        <v>559829.49</v>
      </c>
      <c r="BJ28" s="293">
        <v>286500.13</v>
      </c>
      <c r="BK28" s="293">
        <v>286500.13</v>
      </c>
      <c r="BL28" s="87">
        <f>(BH28-BJ28)/BH28</f>
        <v>0.66147925910947081</v>
      </c>
      <c r="BM28" s="293"/>
      <c r="BN28" s="88">
        <f t="shared" si="77"/>
        <v>0</v>
      </c>
      <c r="BO28" s="216">
        <f>BK28*$A$33</f>
        <v>481320.21840000001</v>
      </c>
      <c r="BP28" s="113"/>
      <c r="BQ28" s="161">
        <v>674183.12</v>
      </c>
      <c r="BR28" s="76">
        <v>389079.92249999999</v>
      </c>
      <c r="BS28" s="76">
        <v>285103.19750000001</v>
      </c>
      <c r="BT28" s="76">
        <v>285103.19750000001</v>
      </c>
      <c r="BU28" s="87">
        <f t="shared" ref="BU28:BU30" si="90">(BQ28-BS28)/BQ28</f>
        <v>0.57711311802051646</v>
      </c>
      <c r="BV28" s="76">
        <v>0</v>
      </c>
      <c r="BW28" s="88">
        <f t="shared" si="14"/>
        <v>0</v>
      </c>
      <c r="BX28" s="359">
        <f>BT28*$A$33</f>
        <v>478973.37180000002</v>
      </c>
      <c r="BY28" s="113"/>
      <c r="BZ28" s="161">
        <v>784313.12</v>
      </c>
      <c r="CA28" s="76">
        <v>551885.25124999997</v>
      </c>
      <c r="CB28" s="76">
        <v>232427.86875000002</v>
      </c>
      <c r="CC28" s="76">
        <v>232427.86875000002</v>
      </c>
      <c r="CD28" s="87">
        <f t="shared" si="84"/>
        <v>0.70365423856482212</v>
      </c>
      <c r="CE28" s="76">
        <v>0</v>
      </c>
      <c r="CF28" s="88">
        <f t="shared" si="16"/>
        <v>0</v>
      </c>
      <c r="CG28" s="359">
        <f>CC28*$A$33</f>
        <v>390478.81950000004</v>
      </c>
      <c r="CH28" s="113"/>
      <c r="CI28" s="159">
        <v>0</v>
      </c>
      <c r="CJ28" s="160">
        <v>0</v>
      </c>
      <c r="CK28" s="160">
        <v>0</v>
      </c>
      <c r="CL28" s="160">
        <v>0</v>
      </c>
      <c r="CM28" s="143" t="e">
        <f t="shared" si="85"/>
        <v>#DIV/0!</v>
      </c>
      <c r="CN28" s="160"/>
      <c r="CO28" s="144" t="e">
        <f t="shared" si="18"/>
        <v>#DIV/0!</v>
      </c>
      <c r="CP28" s="113"/>
      <c r="CQ28" s="159">
        <v>0</v>
      </c>
      <c r="CR28" s="160">
        <v>0</v>
      </c>
      <c r="CS28" s="160">
        <v>0</v>
      </c>
      <c r="CT28" s="160">
        <v>0</v>
      </c>
      <c r="CU28" s="143" t="e">
        <f t="shared" si="86"/>
        <v>#DIV/0!</v>
      </c>
      <c r="CV28" s="160"/>
      <c r="CW28" s="144" t="e">
        <f t="shared" si="20"/>
        <v>#DIV/0!</v>
      </c>
      <c r="CX28" s="113"/>
      <c r="CY28" s="159">
        <v>0</v>
      </c>
      <c r="CZ28" s="160">
        <v>0</v>
      </c>
      <c r="DA28" s="160">
        <v>0</v>
      </c>
      <c r="DB28" s="160">
        <v>0</v>
      </c>
      <c r="DC28" s="143" t="e">
        <f t="shared" si="87"/>
        <v>#DIV/0!</v>
      </c>
      <c r="DD28" s="160"/>
      <c r="DE28" s="144" t="e">
        <f t="shared" si="22"/>
        <v>#DIV/0!</v>
      </c>
      <c r="DF28" s="6"/>
      <c r="DG28" s="353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</row>
    <row r="29" spans="1:135" s="7" customFormat="1" ht="13" customHeight="1">
      <c r="A29" s="396"/>
      <c r="B29" s="70" t="s">
        <v>15</v>
      </c>
      <c r="C29" s="67">
        <f t="shared" si="78"/>
        <v>984614.12999999989</v>
      </c>
      <c r="D29" s="67">
        <f t="shared" si="73"/>
        <v>331498.08689999999</v>
      </c>
      <c r="E29" s="67">
        <f t="shared" si="74"/>
        <v>653116.04310000001</v>
      </c>
      <c r="F29" s="67">
        <f t="shared" si="75"/>
        <v>653116.04310000001</v>
      </c>
      <c r="G29" s="152">
        <f t="shared" si="79"/>
        <v>0.33667817350945395</v>
      </c>
      <c r="H29" s="224">
        <f t="shared" si="80"/>
        <v>0</v>
      </c>
      <c r="I29" s="14">
        <f>H29/C29</f>
        <v>0</v>
      </c>
      <c r="J29" s="216">
        <f>F29*$A$33</f>
        <v>1097234.9524079999</v>
      </c>
      <c r="K29" s="113"/>
      <c r="L29" s="75">
        <v>15148.3</v>
      </c>
      <c r="M29" s="67">
        <v>3559.8499999999985</v>
      </c>
      <c r="N29" s="67">
        <v>11588.45</v>
      </c>
      <c r="O29" s="67">
        <v>11588.45</v>
      </c>
      <c r="P29" s="73">
        <v>0.23499996699299583</v>
      </c>
      <c r="Q29" s="76">
        <v>0</v>
      </c>
      <c r="R29" s="74">
        <v>1</v>
      </c>
      <c r="S29" s="113"/>
      <c r="T29" s="161">
        <v>15148.3</v>
      </c>
      <c r="U29" s="76">
        <v>3559.8499999999985</v>
      </c>
      <c r="V29" s="76">
        <v>11588.45</v>
      </c>
      <c r="W29" s="76">
        <v>11588.45</v>
      </c>
      <c r="X29" s="87">
        <f t="shared" si="82"/>
        <v>0.23499996699299583</v>
      </c>
      <c r="Y29" s="76">
        <v>0</v>
      </c>
      <c r="Z29" s="88">
        <f t="shared" si="6"/>
        <v>0</v>
      </c>
      <c r="AA29" s="113"/>
      <c r="AB29" s="161">
        <v>173253.04</v>
      </c>
      <c r="AC29" s="76">
        <v>40714.880000000005</v>
      </c>
      <c r="AD29" s="76">
        <v>132538.16</v>
      </c>
      <c r="AE29" s="76">
        <v>132538.16</v>
      </c>
      <c r="AF29" s="87">
        <f t="shared" si="88"/>
        <v>0.23500239880350729</v>
      </c>
      <c r="AG29" s="76">
        <v>0</v>
      </c>
      <c r="AH29" s="88">
        <f t="shared" ref="AH29:AH31" si="91">AG30/AB29</f>
        <v>0</v>
      </c>
      <c r="AI29" s="113"/>
      <c r="AJ29" s="75">
        <v>142134.52999999997</v>
      </c>
      <c r="AK29" s="67">
        <v>33401.849999999977</v>
      </c>
      <c r="AL29" s="67">
        <v>108732.68</v>
      </c>
      <c r="AM29" s="67">
        <v>108732.68</v>
      </c>
      <c r="AN29" s="73">
        <f t="shared" si="89"/>
        <v>0.23500165652920499</v>
      </c>
      <c r="AO29" s="76">
        <v>0</v>
      </c>
      <c r="AP29" s="74">
        <f t="shared" si="76"/>
        <v>0</v>
      </c>
      <c r="AQ29" s="113"/>
      <c r="AR29" s="161">
        <v>96309.219999999987</v>
      </c>
      <c r="AS29" s="76">
        <v>22071.226799999989</v>
      </c>
      <c r="AT29" s="76">
        <v>74237.993199999997</v>
      </c>
      <c r="AU29" s="76">
        <v>74237.993199999997</v>
      </c>
      <c r="AV29" s="87">
        <f t="shared" si="83"/>
        <v>0.22917044494805369</v>
      </c>
      <c r="AW29" s="76">
        <v>0</v>
      </c>
      <c r="AX29" s="88">
        <f t="shared" si="9"/>
        <v>0</v>
      </c>
      <c r="AY29" s="113"/>
      <c r="AZ29" s="161">
        <v>63716.880000000005</v>
      </c>
      <c r="BA29" s="76">
        <v>14412.030100000004</v>
      </c>
      <c r="BB29" s="76">
        <v>49304.849900000001</v>
      </c>
      <c r="BC29" s="76">
        <v>49304.849900000001</v>
      </c>
      <c r="BD29" s="87">
        <f t="shared" si="10"/>
        <v>0.22618857200792009</v>
      </c>
      <c r="BE29" s="76">
        <v>0</v>
      </c>
      <c r="BF29" s="88">
        <f t="shared" si="11"/>
        <v>0</v>
      </c>
      <c r="BG29" s="113"/>
      <c r="BH29" s="292">
        <v>97333.26</v>
      </c>
      <c r="BI29" s="293">
        <v>21942.45</v>
      </c>
      <c r="BJ29" s="293">
        <v>75390.81</v>
      </c>
      <c r="BK29" s="293">
        <v>75390.81</v>
      </c>
      <c r="BL29" s="87">
        <f>(BH29-BJ29)/BH29</f>
        <v>0.22543629998625339</v>
      </c>
      <c r="BM29" s="293"/>
      <c r="BN29" s="88">
        <f t="shared" si="77"/>
        <v>0</v>
      </c>
      <c r="BO29" s="216">
        <f>BK29*$A$33</f>
        <v>126656.56079999999</v>
      </c>
      <c r="BP29" s="113"/>
      <c r="BQ29" s="161">
        <v>0</v>
      </c>
      <c r="BR29" s="76">
        <v>0</v>
      </c>
      <c r="BS29" s="76">
        <v>0</v>
      </c>
      <c r="BT29" s="76">
        <v>0</v>
      </c>
      <c r="BU29" s="87">
        <v>0</v>
      </c>
      <c r="BV29" s="76">
        <v>0</v>
      </c>
      <c r="BW29" s="88" t="e">
        <f t="shared" si="14"/>
        <v>#DIV/0!</v>
      </c>
      <c r="BX29" s="359">
        <f>BT29*$A$33</f>
        <v>0</v>
      </c>
      <c r="BY29" s="113"/>
      <c r="BZ29" s="161">
        <v>381570.6</v>
      </c>
      <c r="CA29" s="76">
        <v>191835.94999999998</v>
      </c>
      <c r="CB29" s="76">
        <v>189734.65</v>
      </c>
      <c r="CC29" s="76">
        <v>189734.65</v>
      </c>
      <c r="CD29" s="87">
        <f t="shared" si="84"/>
        <v>0.50275348782112661</v>
      </c>
      <c r="CE29" s="76">
        <v>0</v>
      </c>
      <c r="CF29" s="88">
        <f t="shared" si="16"/>
        <v>0</v>
      </c>
      <c r="CG29" s="359">
        <f>CC29*$A$33</f>
        <v>318754.212</v>
      </c>
      <c r="CH29" s="113"/>
      <c r="CI29" s="159">
        <v>0</v>
      </c>
      <c r="CJ29" s="160">
        <v>0</v>
      </c>
      <c r="CK29" s="160">
        <v>0</v>
      </c>
      <c r="CL29" s="160">
        <v>0</v>
      </c>
      <c r="CM29" s="143" t="e">
        <f t="shared" si="85"/>
        <v>#DIV/0!</v>
      </c>
      <c r="CN29" s="160"/>
      <c r="CO29" s="144" t="e">
        <f t="shared" si="18"/>
        <v>#DIV/0!</v>
      </c>
      <c r="CP29" s="113"/>
      <c r="CQ29" s="159">
        <v>0</v>
      </c>
      <c r="CR29" s="160">
        <v>0</v>
      </c>
      <c r="CS29" s="160">
        <v>0</v>
      </c>
      <c r="CT29" s="160">
        <v>0</v>
      </c>
      <c r="CU29" s="143" t="e">
        <f t="shared" si="86"/>
        <v>#DIV/0!</v>
      </c>
      <c r="CV29" s="160"/>
      <c r="CW29" s="144" t="e">
        <f t="shared" si="20"/>
        <v>#DIV/0!</v>
      </c>
      <c r="CX29" s="113"/>
      <c r="CY29" s="159">
        <v>0</v>
      </c>
      <c r="CZ29" s="160">
        <v>0</v>
      </c>
      <c r="DA29" s="160">
        <v>0</v>
      </c>
      <c r="DB29" s="160">
        <v>0</v>
      </c>
      <c r="DC29" s="143" t="e">
        <f t="shared" si="87"/>
        <v>#DIV/0!</v>
      </c>
      <c r="DD29" s="160"/>
      <c r="DE29" s="144" t="e">
        <f t="shared" si="22"/>
        <v>#DIV/0!</v>
      </c>
      <c r="DF29" s="6"/>
      <c r="DG29" s="353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</row>
    <row r="30" spans="1:135" s="7" customFormat="1" ht="13" customHeight="1">
      <c r="A30" s="396"/>
      <c r="B30" s="70" t="s">
        <v>16</v>
      </c>
      <c r="C30" s="67">
        <f t="shared" si="78"/>
        <v>3765635.969698525</v>
      </c>
      <c r="D30" s="67">
        <f t="shared" si="73"/>
        <v>1358769.1896985252</v>
      </c>
      <c r="E30" s="67">
        <f t="shared" si="74"/>
        <v>2406866.7799999998</v>
      </c>
      <c r="F30" s="67">
        <f t="shared" si="75"/>
        <v>2406866.7799999998</v>
      </c>
      <c r="G30" s="152">
        <f t="shared" si="79"/>
        <v>0.36083392038750567</v>
      </c>
      <c r="H30" s="224">
        <f t="shared" si="80"/>
        <v>20000</v>
      </c>
      <c r="I30" s="14">
        <f t="shared" ref="I30" si="92">H30/C30</f>
        <v>5.311187847401296E-3</v>
      </c>
      <c r="J30" s="216">
        <f>F30*$A$33</f>
        <v>4043536.1903999997</v>
      </c>
      <c r="K30" s="113"/>
      <c r="L30" s="75">
        <v>70255.179999999993</v>
      </c>
      <c r="M30" s="67">
        <v>11118.019999999997</v>
      </c>
      <c r="N30" s="67">
        <v>59137.159999999996</v>
      </c>
      <c r="O30" s="67">
        <v>59137.159999999996</v>
      </c>
      <c r="P30" s="73">
        <v>0.15825196092302374</v>
      </c>
      <c r="Q30" s="76">
        <v>0</v>
      </c>
      <c r="R30" s="74">
        <v>1</v>
      </c>
      <c r="S30" s="113"/>
      <c r="T30" s="161">
        <v>170205.97303185836</v>
      </c>
      <c r="U30" s="76">
        <v>21517.48303185837</v>
      </c>
      <c r="V30" s="76">
        <v>148688.49</v>
      </c>
      <c r="W30" s="76">
        <v>148688.49</v>
      </c>
      <c r="X30" s="87">
        <f>(T30-V30)/T30</f>
        <v>0.12642025804717691</v>
      </c>
      <c r="Y30" s="76">
        <v>0</v>
      </c>
      <c r="Z30" s="88">
        <f t="shared" si="6"/>
        <v>0</v>
      </c>
      <c r="AA30" s="113"/>
      <c r="AB30" s="161">
        <v>648378.66666666663</v>
      </c>
      <c r="AC30" s="76">
        <v>274914.01666666666</v>
      </c>
      <c r="AD30" s="76">
        <v>373464.64999999997</v>
      </c>
      <c r="AE30" s="76">
        <v>373464.64999999997</v>
      </c>
      <c r="AF30" s="87">
        <f t="shared" si="88"/>
        <v>0.4240022548551875</v>
      </c>
      <c r="AG30" s="76">
        <v>0</v>
      </c>
      <c r="AH30" s="88">
        <f t="shared" si="91"/>
        <v>0</v>
      </c>
      <c r="AI30" s="113"/>
      <c r="AJ30" s="75">
        <v>684372</v>
      </c>
      <c r="AK30" s="67">
        <v>294167.35000000003</v>
      </c>
      <c r="AL30" s="67">
        <v>390204.64999999997</v>
      </c>
      <c r="AM30" s="67">
        <v>390204.64999999997</v>
      </c>
      <c r="AN30" s="73">
        <f t="shared" si="89"/>
        <v>0.42983545498646941</v>
      </c>
      <c r="AO30" s="76">
        <v>0</v>
      </c>
      <c r="AP30" s="74">
        <f t="shared" si="76"/>
        <v>0</v>
      </c>
      <c r="AQ30" s="113"/>
      <c r="AR30" s="161">
        <v>634372</v>
      </c>
      <c r="AS30" s="76">
        <v>274167.35000000003</v>
      </c>
      <c r="AT30" s="76">
        <v>360204.64999999997</v>
      </c>
      <c r="AU30" s="76">
        <v>360204.64999999997</v>
      </c>
      <c r="AV30" s="87">
        <f t="shared" si="83"/>
        <v>0.43218702906181239</v>
      </c>
      <c r="AW30" s="76">
        <v>0</v>
      </c>
      <c r="AX30" s="88">
        <f t="shared" si="9"/>
        <v>0</v>
      </c>
      <c r="AY30" s="113"/>
      <c r="AZ30" s="161">
        <v>380881.98</v>
      </c>
      <c r="BA30" s="76">
        <v>20677.330000000016</v>
      </c>
      <c r="BB30" s="76">
        <v>360204.64999999997</v>
      </c>
      <c r="BC30" s="76">
        <v>360204.64999999997</v>
      </c>
      <c r="BD30" s="87">
        <f t="shared" si="10"/>
        <v>5.428802381252066E-2</v>
      </c>
      <c r="BE30" s="76">
        <v>20000</v>
      </c>
      <c r="BF30" s="88">
        <f t="shared" si="11"/>
        <v>5.2509703924559524E-2</v>
      </c>
      <c r="BG30" s="113"/>
      <c r="BH30" s="292">
        <v>642572</v>
      </c>
      <c r="BI30" s="293">
        <v>274167.34999999998</v>
      </c>
      <c r="BJ30" s="293">
        <v>368404.65</v>
      </c>
      <c r="BK30" s="293">
        <v>368404.65</v>
      </c>
      <c r="BL30" s="87">
        <f>(BH30-BJ30)/BH30</f>
        <v>0.42667179709044273</v>
      </c>
      <c r="BM30" s="293"/>
      <c r="BN30" s="88">
        <f t="shared" si="77"/>
        <v>0</v>
      </c>
      <c r="BO30" s="216">
        <f>BK30*$A$33</f>
        <v>618919.81200000003</v>
      </c>
      <c r="BP30" s="113"/>
      <c r="BQ30" s="161">
        <v>509372</v>
      </c>
      <c r="BR30" s="76">
        <v>184200.34999999998</v>
      </c>
      <c r="BS30" s="76">
        <v>325171.65000000002</v>
      </c>
      <c r="BT30" s="76">
        <v>325171.65000000002</v>
      </c>
      <c r="BU30" s="87">
        <f t="shared" si="90"/>
        <v>0.36162244881933042</v>
      </c>
      <c r="BV30" s="76">
        <v>0</v>
      </c>
      <c r="BW30" s="88">
        <f t="shared" si="14"/>
        <v>0</v>
      </c>
      <c r="BX30" s="359">
        <f>BT30*$A$33</f>
        <v>546288.37199999997</v>
      </c>
      <c r="BY30" s="113"/>
      <c r="BZ30" s="161">
        <v>25226.17</v>
      </c>
      <c r="CA30" s="76">
        <v>3839.9399999999987</v>
      </c>
      <c r="CB30" s="76">
        <v>21386.23</v>
      </c>
      <c r="CC30" s="76">
        <v>21386.23</v>
      </c>
      <c r="CD30" s="87">
        <f t="shared" si="84"/>
        <v>0.15222049165608567</v>
      </c>
      <c r="CE30" s="76">
        <v>0</v>
      </c>
      <c r="CF30" s="88">
        <f t="shared" si="16"/>
        <v>0</v>
      </c>
      <c r="CG30" s="359">
        <f>CC30*$A$33</f>
        <v>35928.866399999999</v>
      </c>
      <c r="CH30" s="113"/>
      <c r="CI30" s="159">
        <v>0</v>
      </c>
      <c r="CJ30" s="160">
        <v>0</v>
      </c>
      <c r="CK30" s="160">
        <v>0</v>
      </c>
      <c r="CL30" s="160">
        <v>0</v>
      </c>
      <c r="CM30" s="143" t="e">
        <f t="shared" si="85"/>
        <v>#DIV/0!</v>
      </c>
      <c r="CN30" s="160"/>
      <c r="CO30" s="144" t="e">
        <f t="shared" si="18"/>
        <v>#DIV/0!</v>
      </c>
      <c r="CP30" s="113"/>
      <c r="CQ30" s="159">
        <v>0</v>
      </c>
      <c r="CR30" s="160">
        <v>0</v>
      </c>
      <c r="CS30" s="160">
        <v>0</v>
      </c>
      <c r="CT30" s="160">
        <v>0</v>
      </c>
      <c r="CU30" s="143" t="e">
        <f t="shared" si="86"/>
        <v>#DIV/0!</v>
      </c>
      <c r="CV30" s="160"/>
      <c r="CW30" s="144" t="e">
        <f t="shared" si="20"/>
        <v>#DIV/0!</v>
      </c>
      <c r="CX30" s="113"/>
      <c r="CY30" s="159">
        <v>0</v>
      </c>
      <c r="CZ30" s="160">
        <v>0</v>
      </c>
      <c r="DA30" s="160">
        <v>0</v>
      </c>
      <c r="DB30" s="160">
        <v>0</v>
      </c>
      <c r="DC30" s="143" t="e">
        <f t="shared" si="87"/>
        <v>#DIV/0!</v>
      </c>
      <c r="DD30" s="160"/>
      <c r="DE30" s="144" t="e">
        <f t="shared" si="22"/>
        <v>#DIV/0!</v>
      </c>
      <c r="DF30" s="6"/>
      <c r="DG30" s="353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</row>
    <row r="31" spans="1:135" s="7" customFormat="1" ht="13" customHeight="1">
      <c r="A31" s="396"/>
      <c r="B31" s="70" t="s">
        <v>17</v>
      </c>
      <c r="C31" s="67">
        <f t="shared" ref="C31" si="93">SUM(L31,T31,AB31,AJ31,AR31,AZ31,BH31,BQ31,BZ31,CI31,CQ31,CY31)</f>
        <v>30300</v>
      </c>
      <c r="D31" s="67">
        <f t="shared" ref="D31" si="94">SUM(M31,U31,AC31,AK31,AS31,BA31,BI31,BR31,CA31,CJ31,CR31,CZ31)</f>
        <v>0</v>
      </c>
      <c r="E31" s="67">
        <f t="shared" ref="E31" si="95">SUM(N31,V31,AD31,AL31,AT31,BB31,BJ31,BS31,CB31,CK31,CS31,DA31)</f>
        <v>30300</v>
      </c>
      <c r="F31" s="67">
        <f t="shared" ref="F31" si="96">SUM(O31,W31,AE31,AM31,AU31,BC31,BK31,BT31,CC31,CL31,CT31,DB31)</f>
        <v>0</v>
      </c>
      <c r="G31" s="152">
        <f t="shared" ref="G31" si="97">D31/C31</f>
        <v>0</v>
      </c>
      <c r="H31" s="224">
        <f t="shared" ref="H31" si="98">SUM(Q31,Y31,AG31,AO31,AW31,BE31,BM31,BV31,CE31,CN31,CV31,DD31)</f>
        <v>0</v>
      </c>
      <c r="I31" s="14">
        <f t="shared" ref="I31" si="99">H31/C31</f>
        <v>0</v>
      </c>
      <c r="J31" s="216">
        <f>F31*$A$33</f>
        <v>0</v>
      </c>
      <c r="K31" s="113"/>
      <c r="L31" s="75">
        <v>0</v>
      </c>
      <c r="M31" s="67">
        <v>0</v>
      </c>
      <c r="N31" s="67">
        <v>0</v>
      </c>
      <c r="O31" s="67">
        <v>0</v>
      </c>
      <c r="P31" s="73" t="e">
        <v>#DIV/0!</v>
      </c>
      <c r="Q31" s="76">
        <v>0</v>
      </c>
      <c r="R31" s="74" t="e">
        <v>#DIV/0!</v>
      </c>
      <c r="S31" s="113"/>
      <c r="T31" s="161">
        <v>0</v>
      </c>
      <c r="U31" s="76">
        <v>0</v>
      </c>
      <c r="V31" s="76">
        <v>0</v>
      </c>
      <c r="W31" s="76">
        <v>0</v>
      </c>
      <c r="X31" s="87" t="e">
        <f>(T31-V31)/T31</f>
        <v>#DIV/0!</v>
      </c>
      <c r="Y31" s="76">
        <v>0</v>
      </c>
      <c r="Z31" s="88" t="e">
        <f t="shared" si="6"/>
        <v>#DIV/0!</v>
      </c>
      <c r="AA31" s="113"/>
      <c r="AB31" s="161">
        <v>0</v>
      </c>
      <c r="AC31" s="76">
        <v>0</v>
      </c>
      <c r="AD31" s="76">
        <v>0</v>
      </c>
      <c r="AE31" s="76">
        <v>0</v>
      </c>
      <c r="AF31" s="87" t="e">
        <f t="shared" si="88"/>
        <v>#DIV/0!</v>
      </c>
      <c r="AG31" s="76">
        <v>0</v>
      </c>
      <c r="AH31" s="88" t="e">
        <f t="shared" si="91"/>
        <v>#DIV/0!</v>
      </c>
      <c r="AI31" s="113"/>
      <c r="AJ31" s="75">
        <v>0</v>
      </c>
      <c r="AK31" s="67">
        <v>0</v>
      </c>
      <c r="AL31" s="67">
        <v>0</v>
      </c>
      <c r="AM31" s="67">
        <v>0</v>
      </c>
      <c r="AN31" s="73" t="e">
        <f t="shared" si="89"/>
        <v>#DIV/0!</v>
      </c>
      <c r="AO31" s="76">
        <v>0</v>
      </c>
      <c r="AP31" s="74" t="e">
        <f t="shared" si="76"/>
        <v>#DIV/0!</v>
      </c>
      <c r="AQ31" s="113"/>
      <c r="AR31" s="161">
        <v>0</v>
      </c>
      <c r="AS31" s="76">
        <v>0</v>
      </c>
      <c r="AT31" s="76">
        <v>0</v>
      </c>
      <c r="AU31" s="76">
        <v>0</v>
      </c>
      <c r="AV31" s="87" t="e">
        <f t="shared" si="83"/>
        <v>#DIV/0!</v>
      </c>
      <c r="AW31" s="76">
        <v>0</v>
      </c>
      <c r="AX31" s="88" t="e">
        <f t="shared" si="9"/>
        <v>#DIV/0!</v>
      </c>
      <c r="AY31" s="113"/>
      <c r="AZ31" s="161">
        <v>0</v>
      </c>
      <c r="BA31" s="76">
        <v>0</v>
      </c>
      <c r="BB31" s="76">
        <v>0</v>
      </c>
      <c r="BC31" s="76">
        <v>0</v>
      </c>
      <c r="BD31" s="87" t="e">
        <f t="shared" si="10"/>
        <v>#DIV/0!</v>
      </c>
      <c r="BE31" s="76">
        <v>0</v>
      </c>
      <c r="BF31" s="88" t="e">
        <f t="shared" si="11"/>
        <v>#DIV/0!</v>
      </c>
      <c r="BG31" s="113"/>
      <c r="BH31" s="292">
        <v>30300</v>
      </c>
      <c r="BI31" s="293">
        <v>0</v>
      </c>
      <c r="BJ31" s="293">
        <v>30300</v>
      </c>
      <c r="BK31" s="293">
        <v>0</v>
      </c>
      <c r="BL31" s="87">
        <f>(BH31-BJ31)/BH31</f>
        <v>0</v>
      </c>
      <c r="BM31" s="293"/>
      <c r="BN31" s="88">
        <f t="shared" si="77"/>
        <v>0</v>
      </c>
      <c r="BO31" s="216">
        <f>BK31*$A$33</f>
        <v>0</v>
      </c>
      <c r="BP31" s="113"/>
      <c r="BQ31" s="161">
        <v>0</v>
      </c>
      <c r="BR31" s="76">
        <v>0</v>
      </c>
      <c r="BS31" s="76">
        <v>0</v>
      </c>
      <c r="BT31" s="76">
        <v>0</v>
      </c>
      <c r="BU31" s="87">
        <v>0</v>
      </c>
      <c r="BV31" s="76">
        <v>0</v>
      </c>
      <c r="BW31" s="88" t="e">
        <f t="shared" si="14"/>
        <v>#DIV/0!</v>
      </c>
      <c r="BX31" s="359">
        <f>BT31*$A$33</f>
        <v>0</v>
      </c>
      <c r="BY31" s="113"/>
      <c r="BZ31" s="161">
        <v>0</v>
      </c>
      <c r="CA31" s="76">
        <v>0</v>
      </c>
      <c r="CB31" s="76">
        <v>0</v>
      </c>
      <c r="CC31" s="76">
        <v>0</v>
      </c>
      <c r="CD31" s="87" t="e">
        <f t="shared" si="84"/>
        <v>#DIV/0!</v>
      </c>
      <c r="CE31" s="76">
        <v>0</v>
      </c>
      <c r="CF31" s="88" t="e">
        <f t="shared" si="16"/>
        <v>#DIV/0!</v>
      </c>
      <c r="CG31" s="359">
        <f>CC31*$A$33</f>
        <v>0</v>
      </c>
      <c r="CH31" s="113"/>
      <c r="CI31" s="159">
        <v>0</v>
      </c>
      <c r="CJ31" s="160">
        <v>0</v>
      </c>
      <c r="CK31" s="160">
        <v>0</v>
      </c>
      <c r="CL31" s="160">
        <v>0</v>
      </c>
      <c r="CM31" s="143" t="e">
        <f t="shared" si="85"/>
        <v>#DIV/0!</v>
      </c>
      <c r="CN31" s="160"/>
      <c r="CO31" s="144" t="e">
        <f t="shared" si="18"/>
        <v>#DIV/0!</v>
      </c>
      <c r="CP31" s="113"/>
      <c r="CQ31" s="159">
        <v>0</v>
      </c>
      <c r="CR31" s="160">
        <v>0</v>
      </c>
      <c r="CS31" s="160">
        <v>0</v>
      </c>
      <c r="CT31" s="160">
        <v>0</v>
      </c>
      <c r="CU31" s="143" t="e">
        <f t="shared" si="86"/>
        <v>#DIV/0!</v>
      </c>
      <c r="CV31" s="160"/>
      <c r="CW31" s="144" t="e">
        <f t="shared" si="20"/>
        <v>#DIV/0!</v>
      </c>
      <c r="CX31" s="113"/>
      <c r="CY31" s="159">
        <v>0</v>
      </c>
      <c r="CZ31" s="160">
        <v>0</v>
      </c>
      <c r="DA31" s="160">
        <v>0</v>
      </c>
      <c r="DB31" s="160">
        <v>0</v>
      </c>
      <c r="DC31" s="143" t="e">
        <f t="shared" si="87"/>
        <v>#DIV/0!</v>
      </c>
      <c r="DD31" s="160"/>
      <c r="DE31" s="144" t="e">
        <f t="shared" si="22"/>
        <v>#DIV/0!</v>
      </c>
      <c r="DF31" s="6"/>
      <c r="DG31" s="353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</row>
    <row r="32" spans="1:135" s="24" customFormat="1" ht="13" customHeight="1">
      <c r="A32" s="396"/>
      <c r="B32" s="192" t="s">
        <v>18</v>
      </c>
      <c r="C32" s="38">
        <f>SUM(C21:C31)</f>
        <v>13580584.664571997</v>
      </c>
      <c r="D32" s="38">
        <f>SUM(D21:D31)</f>
        <v>6700443.1409566328</v>
      </c>
      <c r="E32" s="38">
        <f>SUM(E21:E31)</f>
        <v>6880141.5936153606</v>
      </c>
      <c r="F32" s="38">
        <f>SUM(F21:F31)</f>
        <v>6849841.5936153606</v>
      </c>
      <c r="G32" s="153">
        <f>D32/C32</f>
        <v>0.49338399681983081</v>
      </c>
      <c r="H32" s="225">
        <f>SUM(H21:H31)</f>
        <v>8356802.9005773477</v>
      </c>
      <c r="I32" s="15">
        <f>H32/C32</f>
        <v>0.61534927302341735</v>
      </c>
      <c r="J32" s="219" t="b">
        <f>J33=F33</f>
        <v>0</v>
      </c>
      <c r="K32" s="114"/>
      <c r="L32" s="202">
        <f>SUM(L21:L31)</f>
        <v>717178.67999999993</v>
      </c>
      <c r="M32" s="38">
        <f>SUM(M21:M31)</f>
        <v>447276.57314606739</v>
      </c>
      <c r="N32" s="38">
        <f>SUM(N21:N31)</f>
        <v>269902.10685393261</v>
      </c>
      <c r="O32" s="38">
        <f>SUM(O21:O31)</f>
        <v>269902.10685393261</v>
      </c>
      <c r="P32" s="15">
        <f>(L32-O32)/L32</f>
        <v>0.62366127942630334</v>
      </c>
      <c r="Q32" s="38">
        <f>SUM(Q21:Q31)</f>
        <v>0</v>
      </c>
      <c r="R32" s="83">
        <f>Q32/L32</f>
        <v>0</v>
      </c>
      <c r="S32" s="114"/>
      <c r="T32" s="91">
        <f>SUM(T21:T31)</f>
        <v>875731.65790532774</v>
      </c>
      <c r="U32" s="92">
        <f>SUM(U21:U31)</f>
        <v>451322.72849389911</v>
      </c>
      <c r="V32" s="92">
        <f>SUM(V21:V31)</f>
        <v>424408.92941142857</v>
      </c>
      <c r="W32" s="92">
        <f>SUM(W21:W31)</f>
        <v>424408.92941142857</v>
      </c>
      <c r="X32" s="15">
        <f>(T32-W32)/T32</f>
        <v>0.51536646462390434</v>
      </c>
      <c r="Y32" s="92">
        <f>SUM(Y21:Y31)</f>
        <v>0</v>
      </c>
      <c r="Z32" s="83">
        <f t="shared" si="6"/>
        <v>0</v>
      </c>
      <c r="AA32" s="114"/>
      <c r="AB32" s="91">
        <f>SUM(AB21:AB31)</f>
        <v>1784844.0966666667</v>
      </c>
      <c r="AC32" s="92">
        <f>SUM(AC21:AC31)</f>
        <v>908747.07416666672</v>
      </c>
      <c r="AD32" s="92">
        <f>SUM(AD21:AD31)</f>
        <v>876097.02249999996</v>
      </c>
      <c r="AE32" s="92">
        <f>SUM(AE21:AE31)</f>
        <v>876097.02249999996</v>
      </c>
      <c r="AF32" s="15">
        <f>(AB32-AE32)/AB32</f>
        <v>0.50914647159593474</v>
      </c>
      <c r="AG32" s="92">
        <f>SUM(AG21:AG31)</f>
        <v>0</v>
      </c>
      <c r="AH32" s="83">
        <f t="shared" ref="AH32" si="100">AG32/AB32</f>
        <v>0</v>
      </c>
      <c r="AI32" s="114"/>
      <c r="AJ32" s="91">
        <f>SUM(AJ21:AJ31)</f>
        <v>1962056.8</v>
      </c>
      <c r="AK32" s="92">
        <f>SUM(AK21:AK31)</f>
        <v>971030.42749999999</v>
      </c>
      <c r="AL32" s="92">
        <f>SUM(AL21:AL31)</f>
        <v>991026.37249999982</v>
      </c>
      <c r="AM32" s="92">
        <f>SUM(AM21:AM31)</f>
        <v>991026.37249999982</v>
      </c>
      <c r="AN32" s="15">
        <f>(AJ32-AM32)/AJ32</f>
        <v>0.4949043409446659</v>
      </c>
      <c r="AO32" s="92">
        <f>SUM(AO21:AO31)</f>
        <v>0</v>
      </c>
      <c r="AP32" s="83">
        <f>AO32/AJ32</f>
        <v>0</v>
      </c>
      <c r="AQ32" s="114"/>
      <c r="AR32" s="91">
        <f>SUM(AR21:AR31)</f>
        <v>1628709.5150000001</v>
      </c>
      <c r="AS32" s="92">
        <f>SUM(AS21:AS31)</f>
        <v>880272.2193</v>
      </c>
      <c r="AT32" s="92">
        <f>SUM(AT21:AT31)</f>
        <v>748437.2956999999</v>
      </c>
      <c r="AU32" s="92">
        <f>SUM(AU21:AU31)</f>
        <v>748437.2956999999</v>
      </c>
      <c r="AV32" s="15">
        <f>(AR32-AU32)/AR32</f>
        <v>0.54047220280407104</v>
      </c>
      <c r="AW32" s="92">
        <f>SUM(AW21:AW31)</f>
        <v>0</v>
      </c>
      <c r="AX32" s="83">
        <f t="shared" si="9"/>
        <v>0</v>
      </c>
      <c r="AY32" s="114"/>
      <c r="AZ32" s="91">
        <f>SUM(AZ21:AZ31)</f>
        <v>1578630.895</v>
      </c>
      <c r="BA32" s="92">
        <f>SUM(BA21:BA31)</f>
        <v>625451.60459999996</v>
      </c>
      <c r="BB32" s="92">
        <f>SUM(BB21:BB31)</f>
        <v>953179.29040000006</v>
      </c>
      <c r="BC32" s="92">
        <f>SUM(BC21:BC31)</f>
        <v>953179.29040000006</v>
      </c>
      <c r="BD32" s="15">
        <f>(AZ32-BC32)/AZ32</f>
        <v>0.39619876095228707</v>
      </c>
      <c r="BE32" s="92">
        <f>SUM(BE21:BE31)</f>
        <v>50000</v>
      </c>
      <c r="BF32" s="83">
        <f>BE32/AZ32</f>
        <v>3.1673014989358865E-2</v>
      </c>
      <c r="BG32" s="114"/>
      <c r="BH32" s="91">
        <f>SUM(BH21:BH31)</f>
        <v>2262641.88</v>
      </c>
      <c r="BI32" s="92">
        <f>SUM(BI21:BI31)</f>
        <v>1044864.3999999999</v>
      </c>
      <c r="BJ32" s="92">
        <f>SUM(BJ21:BJ31)</f>
        <v>1217777.5500000003</v>
      </c>
      <c r="BK32" s="92">
        <f>SUM(BK21:BK31)</f>
        <v>1187477.5500000003</v>
      </c>
      <c r="BL32" s="15">
        <f>(BH32-BK32)/BH32</f>
        <v>0.4751809552822383</v>
      </c>
      <c r="BM32" s="92">
        <f>SUM(BM21:BM31)</f>
        <v>0</v>
      </c>
      <c r="BN32" s="83">
        <f t="shared" si="77"/>
        <v>0</v>
      </c>
      <c r="BO32" s="219" t="b">
        <f>BO33=BK33</f>
        <v>1</v>
      </c>
      <c r="BP32" s="114"/>
      <c r="BQ32" s="91">
        <f>SUM(BQ21:BQ31)</f>
        <v>1497358.69</v>
      </c>
      <c r="BR32" s="92">
        <f>SUM(BR21:BR31)</f>
        <v>623916.97249999992</v>
      </c>
      <c r="BS32" s="92">
        <f>SUM(BS21:BS31)</f>
        <v>873441.71750000003</v>
      </c>
      <c r="BT32" s="92">
        <f>SUM(BT21:BT31)</f>
        <v>873441.71750000003</v>
      </c>
      <c r="BU32" s="15">
        <f>(BQ32-BT32)/BQ32</f>
        <v>0.41667836615687581</v>
      </c>
      <c r="BV32" s="92">
        <f>SUM(BV21:BV31)</f>
        <v>0</v>
      </c>
      <c r="BW32" s="83">
        <f t="shared" si="14"/>
        <v>0</v>
      </c>
      <c r="BX32" s="219" t="b">
        <f>BX33=BT33</f>
        <v>1</v>
      </c>
      <c r="BY32" s="114"/>
      <c r="BZ32" s="91">
        <f>SUM(BZ21:BZ31)</f>
        <v>1273432.4499999997</v>
      </c>
      <c r="CA32" s="92">
        <f>SUM(CA21:CA31)</f>
        <v>747561.14124999987</v>
      </c>
      <c r="CB32" s="92">
        <f>SUM(CB21:CB31)</f>
        <v>525871.30874999997</v>
      </c>
      <c r="CC32" s="92">
        <f>SUM(CC21:CC31)</f>
        <v>525871.30874999997</v>
      </c>
      <c r="CD32" s="15">
        <f>(BZ32-CC32)/BZ32</f>
        <v>0.58704420579984429</v>
      </c>
      <c r="CE32" s="92">
        <f>SUM(CE21:CE31)</f>
        <v>0</v>
      </c>
      <c r="CF32" s="83">
        <f t="shared" si="16"/>
        <v>0</v>
      </c>
      <c r="CG32" s="219" t="b">
        <f>CG33=CC33</f>
        <v>1</v>
      </c>
      <c r="CH32" s="114"/>
      <c r="CI32" s="91">
        <f>SUM(CI21:CI31)</f>
        <v>0</v>
      </c>
      <c r="CJ32" s="92">
        <f>SUM(CJ21:CJ31)</f>
        <v>0</v>
      </c>
      <c r="CK32" s="92">
        <f>SUM(CK21:CK31)</f>
        <v>0</v>
      </c>
      <c r="CL32" s="92">
        <f>SUM(CL21:CL31)</f>
        <v>0</v>
      </c>
      <c r="CM32" s="15" t="e">
        <f>(CI32-CL32)/CI32</f>
        <v>#DIV/0!</v>
      </c>
      <c r="CN32" s="92">
        <f>SUM(CN21:CN31)</f>
        <v>0</v>
      </c>
      <c r="CO32" s="83" t="e">
        <f t="shared" si="18"/>
        <v>#DIV/0!</v>
      </c>
      <c r="CP32" s="114"/>
      <c r="CQ32" s="91">
        <f>SUM(CQ21:CQ31)</f>
        <v>0</v>
      </c>
      <c r="CR32" s="92">
        <f>SUM(CR21:CR31)</f>
        <v>0</v>
      </c>
      <c r="CS32" s="92">
        <f>SUM(CS21:CS31)</f>
        <v>0</v>
      </c>
      <c r="CT32" s="92">
        <f>SUM(CT21:CT31)</f>
        <v>0</v>
      </c>
      <c r="CU32" s="15" t="e">
        <f>(CQ32-CT32)/CQ32</f>
        <v>#DIV/0!</v>
      </c>
      <c r="CV32" s="92">
        <f>SUM(CV21:CV31)</f>
        <v>0</v>
      </c>
      <c r="CW32" s="83" t="e">
        <f t="shared" ref="CW32" si="101">CV32/CQ32</f>
        <v>#DIV/0!</v>
      </c>
      <c r="CX32" s="114"/>
      <c r="CY32" s="91">
        <f>SUM(CY21:CY31)</f>
        <v>0</v>
      </c>
      <c r="CZ32" s="92">
        <f>SUM(CZ21:CZ31)</f>
        <v>0</v>
      </c>
      <c r="DA32" s="92">
        <f>SUM(DA21:DA31)</f>
        <v>0</v>
      </c>
      <c r="DB32" s="92">
        <f>SUM(DB21:DB31)</f>
        <v>0</v>
      </c>
      <c r="DC32" s="15" t="e">
        <f>(CY32-DB32)/CY32</f>
        <v>#DIV/0!</v>
      </c>
      <c r="DD32" s="92">
        <f>SUM(DD21:DD31)</f>
        <v>0</v>
      </c>
      <c r="DE32" s="83" t="e">
        <f t="shared" si="22"/>
        <v>#DIV/0!</v>
      </c>
      <c r="DF32" s="23"/>
      <c r="DG32" s="351"/>
      <c r="DH32" s="23"/>
      <c r="DI32" s="23"/>
      <c r="DJ32" s="23"/>
      <c r="DK32" s="23"/>
      <c r="DL32" s="23"/>
      <c r="DM32" s="23"/>
      <c r="DN32" s="23"/>
      <c r="DO32" s="23"/>
      <c r="DP32" s="23"/>
      <c r="DQ32" s="23"/>
      <c r="DR32" s="23"/>
      <c r="DS32" s="23"/>
      <c r="DT32" s="23"/>
      <c r="DU32" s="23"/>
      <c r="DV32" s="23"/>
      <c r="DW32" s="23"/>
      <c r="DX32" s="23"/>
      <c r="DY32" s="23"/>
      <c r="DZ32" s="23"/>
      <c r="EA32" s="23"/>
      <c r="EB32" s="23"/>
      <c r="EC32" s="23"/>
      <c r="ED32" s="23"/>
      <c r="EE32" s="23"/>
    </row>
    <row r="33" spans="1:135" s="22" customFormat="1" ht="13" customHeight="1">
      <c r="A33" s="214">
        <v>1.68</v>
      </c>
      <c r="B33" s="191" t="s">
        <v>19</v>
      </c>
      <c r="C33" s="212">
        <f>C32*$A$33</f>
        <v>22815382.236480955</v>
      </c>
      <c r="D33" s="212">
        <f t="shared" ref="D33:E33" si="102">D32*$A$33</f>
        <v>11256744.476807144</v>
      </c>
      <c r="E33" s="212">
        <f t="shared" si="102"/>
        <v>11558637.877273805</v>
      </c>
      <c r="F33" s="212">
        <f>F32*$A$33</f>
        <v>11507733.877273805</v>
      </c>
      <c r="G33" s="181"/>
      <c r="H33" s="213">
        <f>H32*$A$33</f>
        <v>14039428.872969944</v>
      </c>
      <c r="I33" s="181"/>
      <c r="J33" s="217">
        <f>SUM(J21:J31)</f>
        <v>19198051.157125775</v>
      </c>
      <c r="K33" s="112"/>
      <c r="L33" s="245">
        <f>L32*$A$33</f>
        <v>1204860.1823999998</v>
      </c>
      <c r="M33" s="213">
        <f t="shared" ref="M33" si="103">M32*$A$33</f>
        <v>751424.64288539323</v>
      </c>
      <c r="N33" s="213">
        <f t="shared" ref="N33" si="104">N32*$A$33</f>
        <v>453435.53951460676</v>
      </c>
      <c r="O33" s="213">
        <f t="shared" ref="O33" si="105">O32*$A$33</f>
        <v>453435.53951460676</v>
      </c>
      <c r="P33" s="243"/>
      <c r="Q33" s="213">
        <f>Q32*$A$33</f>
        <v>0</v>
      </c>
      <c r="R33" s="246"/>
      <c r="S33" s="112"/>
      <c r="T33" s="245">
        <f>T32*$A$33</f>
        <v>1471229.1852809505</v>
      </c>
      <c r="U33" s="213">
        <f t="shared" ref="U33" si="106">U32*$A$33</f>
        <v>758222.18386975047</v>
      </c>
      <c r="V33" s="213">
        <f t="shared" ref="V33" si="107">V32*$A$33</f>
        <v>713007.00141119992</v>
      </c>
      <c r="W33" s="213">
        <f t="shared" ref="W33" si="108">W32*$A$33</f>
        <v>713007.00141119992</v>
      </c>
      <c r="X33" s="243"/>
      <c r="Y33" s="213">
        <f>Y32*$A$33</f>
        <v>0</v>
      </c>
      <c r="Z33" s="246"/>
      <c r="AA33" s="112"/>
      <c r="AB33" s="245">
        <f>AB32*$A$33</f>
        <v>2998538.0823999997</v>
      </c>
      <c r="AC33" s="213">
        <f t="shared" ref="AC33" si="109">AC32*$A$33</f>
        <v>1526695.0845999999</v>
      </c>
      <c r="AD33" s="213">
        <f t="shared" ref="AD33" si="110">AD32*$A$33</f>
        <v>1471842.9977999998</v>
      </c>
      <c r="AE33" s="213">
        <f t="shared" ref="AE33" si="111">AE32*$A$33</f>
        <v>1471842.9977999998</v>
      </c>
      <c r="AF33" s="243"/>
      <c r="AG33" s="213">
        <f>AG32*$A$33</f>
        <v>0</v>
      </c>
      <c r="AH33" s="246"/>
      <c r="AI33" s="112"/>
      <c r="AJ33" s="245">
        <f>AJ32*$A$33</f>
        <v>3296255.4240000001</v>
      </c>
      <c r="AK33" s="213">
        <f t="shared" ref="AK33" si="112">AK32*$A$33</f>
        <v>1631331.1181999999</v>
      </c>
      <c r="AL33" s="213">
        <f t="shared" ref="AL33" si="113">AL32*$A$33</f>
        <v>1664924.3057999997</v>
      </c>
      <c r="AM33" s="213">
        <f t="shared" ref="AM33" si="114">AM32*$A$33</f>
        <v>1664924.3057999997</v>
      </c>
      <c r="AN33" s="243"/>
      <c r="AO33" s="213">
        <f>AO32*$A$33</f>
        <v>0</v>
      </c>
      <c r="AP33" s="246"/>
      <c r="AQ33" s="112"/>
      <c r="AR33" s="245">
        <f>AR32*$A$33</f>
        <v>2736231.9852</v>
      </c>
      <c r="AS33" s="213">
        <f t="shared" ref="AS33" si="115">AS32*$A$33</f>
        <v>1478857.3284239999</v>
      </c>
      <c r="AT33" s="213">
        <f t="shared" ref="AT33" si="116">AT32*$A$33</f>
        <v>1257374.6567759998</v>
      </c>
      <c r="AU33" s="213">
        <f t="shared" ref="AU33" si="117">AU32*$A$33</f>
        <v>1257374.6567759998</v>
      </c>
      <c r="AV33" s="243"/>
      <c r="AW33" s="213">
        <f>AW32*$A$33</f>
        <v>0</v>
      </c>
      <c r="AX33" s="246"/>
      <c r="AY33" s="112"/>
      <c r="AZ33" s="245">
        <f>AZ32*$A$33</f>
        <v>2652099.9035999998</v>
      </c>
      <c r="BA33" s="213">
        <f t="shared" ref="BA33" si="118">BA32*$A$33</f>
        <v>1050758.6957279998</v>
      </c>
      <c r="BB33" s="213">
        <f t="shared" ref="BB33" si="119">BB32*$A$33</f>
        <v>1601341.2078720001</v>
      </c>
      <c r="BC33" s="213">
        <f t="shared" ref="BC33" si="120">BC32*$A$33</f>
        <v>1601341.2078720001</v>
      </c>
      <c r="BD33" s="243"/>
      <c r="BE33" s="213">
        <f>BE32*$A$33</f>
        <v>84000</v>
      </c>
      <c r="BF33" s="246"/>
      <c r="BG33" s="112"/>
      <c r="BH33" s="245">
        <f>BH32*$A$33</f>
        <v>3801238.3583999998</v>
      </c>
      <c r="BI33" s="213">
        <f t="shared" ref="BI33" si="121">BI32*$A$33</f>
        <v>1755372.1919999998</v>
      </c>
      <c r="BJ33" s="213">
        <f t="shared" ref="BJ33" si="122">BJ32*$A$33</f>
        <v>2045866.2840000005</v>
      </c>
      <c r="BK33" s="213">
        <f t="shared" ref="BK33" si="123">BK32*$A$33</f>
        <v>1994962.2840000005</v>
      </c>
      <c r="BL33" s="243"/>
      <c r="BM33" s="213">
        <f>BM32*$A$33</f>
        <v>0</v>
      </c>
      <c r="BN33" s="246"/>
      <c r="BO33" s="217">
        <f>SUM(BO21:BO31)</f>
        <v>1994962.284</v>
      </c>
      <c r="BP33" s="112"/>
      <c r="BQ33" s="245">
        <f>BQ32*$A$33</f>
        <v>2515562.5991999996</v>
      </c>
      <c r="BR33" s="213">
        <f t="shared" ref="BR33" si="124">BR32*$A$33</f>
        <v>1048180.5137999998</v>
      </c>
      <c r="BS33" s="213">
        <f t="shared" ref="BS33" si="125">BS32*$A$33</f>
        <v>1467382.0854</v>
      </c>
      <c r="BT33" s="213">
        <f>BT32*$A$33</f>
        <v>1467382.0854</v>
      </c>
      <c r="BU33" s="243"/>
      <c r="BV33" s="213">
        <f>BV32*$A$33</f>
        <v>0</v>
      </c>
      <c r="BW33" s="246"/>
      <c r="BX33" s="217">
        <f>SUM(BX21:BX31)</f>
        <v>1467382.0854</v>
      </c>
      <c r="BY33" s="112"/>
      <c r="BZ33" s="245">
        <f>BZ32*$A$33</f>
        <v>2139366.5159999994</v>
      </c>
      <c r="CA33" s="213">
        <f t="shared" ref="CA33" si="126">CA32*$A$33</f>
        <v>1255902.7172999997</v>
      </c>
      <c r="CB33" s="213">
        <f t="shared" ref="CB33" si="127">CB32*$A$33</f>
        <v>883463.79869999993</v>
      </c>
      <c r="CC33" s="213">
        <f t="shared" ref="CC33" si="128">CC32*$A$33</f>
        <v>883463.79869999993</v>
      </c>
      <c r="CD33" s="243"/>
      <c r="CE33" s="213">
        <f>CE32*$A$33</f>
        <v>0</v>
      </c>
      <c r="CF33" s="246"/>
      <c r="CG33" s="217">
        <f>SUM(CG21:CG31)</f>
        <v>883463.79869999993</v>
      </c>
      <c r="CH33" s="112"/>
      <c r="CI33" s="245">
        <f>CI32*$A$33</f>
        <v>0</v>
      </c>
      <c r="CJ33" s="213">
        <f t="shared" ref="CJ33" si="129">CJ32*$A$33</f>
        <v>0</v>
      </c>
      <c r="CK33" s="213">
        <f t="shared" ref="CK33" si="130">CK32*$A$33</f>
        <v>0</v>
      </c>
      <c r="CL33" s="213">
        <f t="shared" ref="CL33" si="131">CL32*$A$33</f>
        <v>0</v>
      </c>
      <c r="CM33" s="243"/>
      <c r="CN33" s="213">
        <f>CN32*$A$33</f>
        <v>0</v>
      </c>
      <c r="CO33" s="246"/>
      <c r="CP33" s="112"/>
      <c r="CQ33" s="245">
        <f>CQ32*$A$33</f>
        <v>0</v>
      </c>
      <c r="CR33" s="213">
        <f t="shared" ref="CR33" si="132">CR32*$A$33</f>
        <v>0</v>
      </c>
      <c r="CS33" s="213">
        <f t="shared" ref="CS33" si="133">CS32*$A$33</f>
        <v>0</v>
      </c>
      <c r="CT33" s="213">
        <f t="shared" ref="CT33" si="134">CT32*$A$33</f>
        <v>0</v>
      </c>
      <c r="CU33" s="243"/>
      <c r="CV33" s="213">
        <f>CV32*$A$33</f>
        <v>0</v>
      </c>
      <c r="CW33" s="246"/>
      <c r="CX33" s="112"/>
      <c r="CY33" s="245">
        <f>CY32*$A$33</f>
        <v>0</v>
      </c>
      <c r="CZ33" s="213">
        <f t="shared" ref="CZ33" si="135">CZ32*$A$33</f>
        <v>0</v>
      </c>
      <c r="DA33" s="213">
        <f t="shared" ref="DA33" si="136">DA32*$A$33</f>
        <v>0</v>
      </c>
      <c r="DB33" s="213">
        <f t="shared" ref="DB33" si="137">DB32*$A$33</f>
        <v>0</v>
      </c>
      <c r="DC33" s="243"/>
      <c r="DD33" s="213">
        <f>DD32*$A$33</f>
        <v>0</v>
      </c>
      <c r="DE33" s="246"/>
      <c r="DF33" s="8"/>
      <c r="DG33" s="351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</row>
    <row r="34" spans="1:135" s="7" customFormat="1" ht="13" customHeight="1">
      <c r="A34" s="395" t="s">
        <v>21</v>
      </c>
      <c r="B34" s="69" t="s">
        <v>12</v>
      </c>
      <c r="C34" s="295">
        <f t="shared" ref="C34:F35" si="138">SUM(L34,T34,AB34,AJ34,AR34,AZ34,BH34,BQ34,BZ34,CI34,CQ34,CY34)</f>
        <v>7750000</v>
      </c>
      <c r="D34" s="295">
        <f t="shared" si="138"/>
        <v>2218920</v>
      </c>
      <c r="E34" s="295">
        <f t="shared" si="138"/>
        <v>5531080</v>
      </c>
      <c r="F34" s="295">
        <f t="shared" si="138"/>
        <v>5531080</v>
      </c>
      <c r="G34" s="14">
        <f>D34/C34</f>
        <v>0.28631225806451616</v>
      </c>
      <c r="H34" s="295">
        <f>SUM(Q34,Y34,AG34,AO34,AW34,BE34,BM34,BV34,CE34,CN34,CV34,DD34)</f>
        <v>2700000</v>
      </c>
      <c r="I34" s="14">
        <f>H34/C34</f>
        <v>0.34838709677419355</v>
      </c>
      <c r="J34" s="220">
        <f>F34*$A$49</f>
        <v>774351.20000000007</v>
      </c>
      <c r="K34" s="115"/>
      <c r="L34" s="294">
        <v>1400000</v>
      </c>
      <c r="M34" s="295">
        <v>366800</v>
      </c>
      <c r="N34" s="295">
        <v>1033200</v>
      </c>
      <c r="O34" s="295">
        <f>N34</f>
        <v>1033200</v>
      </c>
      <c r="P34" s="73">
        <f>(L34-N34)/L34</f>
        <v>0.26200000000000001</v>
      </c>
      <c r="Q34" s="295">
        <v>0</v>
      </c>
      <c r="R34" s="74">
        <f>Q34/L34</f>
        <v>0</v>
      </c>
      <c r="S34" s="115"/>
      <c r="T34" s="294">
        <v>1725000</v>
      </c>
      <c r="U34" s="295">
        <v>451950</v>
      </c>
      <c r="V34" s="295">
        <v>1273050</v>
      </c>
      <c r="W34" s="295">
        <v>1273050</v>
      </c>
      <c r="X34" s="73">
        <f t="shared" ref="X34:X43" si="139">(T34-V34)/T34</f>
        <v>0.26200000000000001</v>
      </c>
      <c r="Y34" s="297">
        <v>0</v>
      </c>
      <c r="Z34" s="74">
        <f>Y34/T34</f>
        <v>0</v>
      </c>
      <c r="AA34" s="115"/>
      <c r="AB34" s="296">
        <v>575000</v>
      </c>
      <c r="AC34" s="297">
        <f>AB34-AD34</f>
        <v>150650</v>
      </c>
      <c r="AD34" s="297">
        <v>424350</v>
      </c>
      <c r="AE34" s="297">
        <v>424350</v>
      </c>
      <c r="AF34" s="87">
        <f t="shared" ref="AF34:AF43" si="140">(AB34-AD34)/AB34</f>
        <v>0.26200000000000001</v>
      </c>
      <c r="AG34" s="297">
        <v>0</v>
      </c>
      <c r="AH34" s="88">
        <f>AG34/AB34</f>
        <v>0</v>
      </c>
      <c r="AI34" s="115"/>
      <c r="AJ34" s="296">
        <v>0</v>
      </c>
      <c r="AK34" s="297">
        <v>0</v>
      </c>
      <c r="AL34" s="297">
        <v>0</v>
      </c>
      <c r="AM34" s="297">
        <v>0</v>
      </c>
      <c r="AN34" s="87" t="e">
        <f>(AJ34-AL34)/AJ34</f>
        <v>#DIV/0!</v>
      </c>
      <c r="AO34" s="297">
        <v>0</v>
      </c>
      <c r="AP34" s="88" t="e">
        <f>AO34/AJ34</f>
        <v>#DIV/0!</v>
      </c>
      <c r="AQ34" s="115"/>
      <c r="AR34" s="294">
        <v>0</v>
      </c>
      <c r="AS34" s="295">
        <v>0</v>
      </c>
      <c r="AT34" s="295">
        <v>0</v>
      </c>
      <c r="AU34" s="295">
        <v>0</v>
      </c>
      <c r="AV34" s="73" t="e">
        <f t="shared" ref="AV34:AV43" si="141">(AR34-AT34)/AR34</f>
        <v>#DIV/0!</v>
      </c>
      <c r="AW34" s="297">
        <v>0</v>
      </c>
      <c r="AX34" s="74" t="e">
        <f>AW34/AR34</f>
        <v>#DIV/0!</v>
      </c>
      <c r="AY34" s="115"/>
      <c r="AZ34" s="301">
        <v>0</v>
      </c>
      <c r="BA34" s="302">
        <v>0</v>
      </c>
      <c r="BB34" s="302">
        <v>0</v>
      </c>
      <c r="BC34" s="302">
        <v>0</v>
      </c>
      <c r="BD34" s="73" t="e">
        <f t="shared" ref="BD34:BD43" si="142">(AZ34-BB34)/AZ34</f>
        <v>#DIV/0!</v>
      </c>
      <c r="BE34" s="300">
        <v>0</v>
      </c>
      <c r="BF34" s="74" t="e">
        <f>BE34/AZ34</f>
        <v>#DIV/0!</v>
      </c>
      <c r="BG34" s="115"/>
      <c r="BH34" s="294">
        <v>0</v>
      </c>
      <c r="BI34" s="295">
        <v>0</v>
      </c>
      <c r="BJ34" s="295">
        <v>0</v>
      </c>
      <c r="BK34" s="295">
        <v>0</v>
      </c>
      <c r="BL34" s="73" t="e">
        <f t="shared" ref="BL34:BL43" si="143">(BH34-BJ34)/BH34</f>
        <v>#DIV/0!</v>
      </c>
      <c r="BM34" s="295">
        <v>0</v>
      </c>
      <c r="BN34" s="74" t="e">
        <f>BM34/BH34</f>
        <v>#DIV/0!</v>
      </c>
      <c r="BO34" s="220">
        <f>BK34*$A$49</f>
        <v>0</v>
      </c>
      <c r="BP34" s="115"/>
      <c r="BQ34" s="297"/>
      <c r="BR34" s="297"/>
      <c r="BS34" s="297"/>
      <c r="BT34" s="297"/>
      <c r="BU34" s="73" t="e">
        <f t="shared" ref="BU34:BU43" si="144">(BQ34-BS34)/BQ34</f>
        <v>#DIV/0!</v>
      </c>
      <c r="BV34" s="297"/>
      <c r="BW34" s="74" t="e">
        <f>BV34/BQ34</f>
        <v>#DIV/0!</v>
      </c>
      <c r="BX34" s="359">
        <f>BT34*$A$49</f>
        <v>0</v>
      </c>
      <c r="BY34" s="115"/>
      <c r="BZ34" s="297">
        <v>4050000</v>
      </c>
      <c r="CA34" s="297">
        <v>1249520</v>
      </c>
      <c r="CB34" s="297">
        <v>2800480</v>
      </c>
      <c r="CC34" s="297">
        <v>2800480</v>
      </c>
      <c r="CD34" s="73">
        <f t="shared" ref="CD34:CD43" si="145">(BZ34-CB34)/BZ34</f>
        <v>0.30852345679012344</v>
      </c>
      <c r="CE34" s="297">
        <v>2700000</v>
      </c>
      <c r="CF34" s="74">
        <f>CE34/BZ34</f>
        <v>0.66666666666666663</v>
      </c>
      <c r="CG34" s="359">
        <f>CC34*$A$49</f>
        <v>392067.2</v>
      </c>
      <c r="CH34" s="115"/>
      <c r="CI34" s="131"/>
      <c r="CJ34" s="132"/>
      <c r="CK34" s="132"/>
      <c r="CL34" s="132"/>
      <c r="CM34" s="133" t="e">
        <f t="shared" ref="CM34:CM35" si="146">(CI34-CK34)/CI34</f>
        <v>#DIV/0!</v>
      </c>
      <c r="CN34" s="134"/>
      <c r="CO34" s="135" t="e">
        <f>CN34/CI34</f>
        <v>#DIV/0!</v>
      </c>
      <c r="CP34" s="115"/>
      <c r="CQ34" s="131"/>
      <c r="CR34" s="132"/>
      <c r="CS34" s="132"/>
      <c r="CT34" s="132"/>
      <c r="CU34" s="133" t="e">
        <f t="shared" ref="CU34:CU35" si="147">(CQ34-CS34)/CQ34</f>
        <v>#DIV/0!</v>
      </c>
      <c r="CV34" s="134"/>
      <c r="CW34" s="135" t="e">
        <f>CV34/CQ34</f>
        <v>#DIV/0!</v>
      </c>
      <c r="CX34" s="115"/>
      <c r="CY34" s="131"/>
      <c r="CZ34" s="132"/>
      <c r="DA34" s="132"/>
      <c r="DB34" s="132"/>
      <c r="DC34" s="133" t="e">
        <f t="shared" ref="DC34:DC35" si="148">(CY34-DA34)/CY34</f>
        <v>#DIV/0!</v>
      </c>
      <c r="DD34" s="134"/>
      <c r="DE34" s="135" t="e">
        <f>DD34/CY34</f>
        <v>#DIV/0!</v>
      </c>
      <c r="DF34" s="6"/>
      <c r="DG34" s="353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</row>
    <row r="35" spans="1:135" s="7" customFormat="1" ht="13" customHeight="1">
      <c r="A35" s="396"/>
      <c r="B35" s="70" t="s">
        <v>13</v>
      </c>
      <c r="C35" s="295">
        <f t="shared" si="138"/>
        <v>19795998.040000003</v>
      </c>
      <c r="D35" s="295">
        <f t="shared" si="138"/>
        <v>0</v>
      </c>
      <c r="E35" s="295">
        <f t="shared" si="138"/>
        <v>16349916.170000002</v>
      </c>
      <c r="F35" s="295">
        <f t="shared" si="138"/>
        <v>16349916.170000002</v>
      </c>
      <c r="G35" s="14">
        <f>D35/C35</f>
        <v>0</v>
      </c>
      <c r="H35" s="295">
        <f>SUM(Q35,Y35,AG35,AO35,AW35,BE35,BM35,BV35,CE35,CN35,CV35,DD35)</f>
        <v>0</v>
      </c>
      <c r="I35" s="14">
        <f t="shared" ref="I35:I43" si="149">H35/C35</f>
        <v>0</v>
      </c>
      <c r="J35" s="220">
        <f>SUM(J37:J43)</f>
        <v>3583231.8564000004</v>
      </c>
      <c r="K35" s="115"/>
      <c r="L35" s="294">
        <v>2352290</v>
      </c>
      <c r="M35" s="295">
        <v>0</v>
      </c>
      <c r="N35" s="295">
        <v>2352290</v>
      </c>
      <c r="O35" s="295">
        <f t="shared" ref="O35:O44" si="150">N35</f>
        <v>2352290</v>
      </c>
      <c r="P35" s="73">
        <f t="shared" ref="P35:P47" si="151">(L35-N35)/L35</f>
        <v>0</v>
      </c>
      <c r="Q35" s="295">
        <v>0</v>
      </c>
      <c r="R35" s="74">
        <f t="shared" ref="R35:R45" si="152">Q35/L35</f>
        <v>0</v>
      </c>
      <c r="S35" s="115"/>
      <c r="T35" s="294">
        <v>4002425.1</v>
      </c>
      <c r="U35" s="295">
        <v>0</v>
      </c>
      <c r="V35" s="295">
        <v>4002425.1</v>
      </c>
      <c r="W35" s="295">
        <v>4002425.1</v>
      </c>
      <c r="X35" s="73">
        <f t="shared" si="139"/>
        <v>0</v>
      </c>
      <c r="Y35" s="297">
        <v>0</v>
      </c>
      <c r="Z35" s="74">
        <f t="shared" ref="Z35:Z47" si="153">Y35/T35</f>
        <v>0</v>
      </c>
      <c r="AA35" s="115"/>
      <c r="AB35" s="296">
        <v>1845542</v>
      </c>
      <c r="AC35" s="297">
        <f t="shared" ref="AC35:AC47" si="154">AB35-AD35</f>
        <v>0</v>
      </c>
      <c r="AD35" s="297">
        <v>1845542</v>
      </c>
      <c r="AE35" s="297">
        <v>1845542</v>
      </c>
      <c r="AF35" s="87">
        <f t="shared" si="140"/>
        <v>0</v>
      </c>
      <c r="AG35" s="297">
        <v>0</v>
      </c>
      <c r="AH35" s="88">
        <f t="shared" ref="AH35:AH47" si="155">AG35/AB35</f>
        <v>0</v>
      </c>
      <c r="AI35" s="115"/>
      <c r="AJ35" s="296">
        <v>1101983.4700000002</v>
      </c>
      <c r="AK35" s="297">
        <v>0</v>
      </c>
      <c r="AL35" s="297">
        <v>1101983.4700000002</v>
      </c>
      <c r="AM35" s="297">
        <v>1101983.4700000002</v>
      </c>
      <c r="AN35" s="87">
        <f t="shared" ref="AN35:AN44" si="156">(AJ35-AL35)/AJ35</f>
        <v>0</v>
      </c>
      <c r="AO35" s="297">
        <v>0</v>
      </c>
      <c r="AP35" s="88">
        <f t="shared" ref="AP35:AP43" si="157">AO35/AJ35</f>
        <v>0</v>
      </c>
      <c r="AQ35" s="115"/>
      <c r="AR35" s="294">
        <v>1014394</v>
      </c>
      <c r="AS35" s="295">
        <v>0</v>
      </c>
      <c r="AT35" s="295">
        <v>1014394</v>
      </c>
      <c r="AU35" s="295">
        <v>1014394</v>
      </c>
      <c r="AV35" s="73">
        <f t="shared" si="141"/>
        <v>0</v>
      </c>
      <c r="AW35" s="297">
        <v>0</v>
      </c>
      <c r="AX35" s="74">
        <f t="shared" ref="AX35:AX47" si="158">AW35/AR35</f>
        <v>0</v>
      </c>
      <c r="AY35" s="115"/>
      <c r="AZ35" s="301">
        <v>947893.66</v>
      </c>
      <c r="BA35" s="302">
        <f>AZ35-BB35</f>
        <v>0</v>
      </c>
      <c r="BB35" s="302">
        <v>947893.66</v>
      </c>
      <c r="BC35" s="302">
        <v>947893.66</v>
      </c>
      <c r="BD35" s="73">
        <f t="shared" si="142"/>
        <v>0</v>
      </c>
      <c r="BE35" s="300">
        <v>0</v>
      </c>
      <c r="BF35" s="74">
        <f t="shared" ref="BF35:BF47" si="159">BE35/AZ35</f>
        <v>0</v>
      </c>
      <c r="BG35" s="115"/>
      <c r="BH35" s="294">
        <f>SUM(BH37:BH42)</f>
        <v>3446081.87</v>
      </c>
      <c r="BI35" s="295">
        <v>0</v>
      </c>
      <c r="BJ35" s="295">
        <v>0</v>
      </c>
      <c r="BK35" s="295">
        <v>0</v>
      </c>
      <c r="BL35" s="73">
        <f t="shared" si="143"/>
        <v>1</v>
      </c>
      <c r="BM35" s="295">
        <v>0</v>
      </c>
      <c r="BN35" s="74">
        <f t="shared" ref="BN35:BN47" si="160">BM35/BH35</f>
        <v>0</v>
      </c>
      <c r="BO35" s="220">
        <f>SUM(BO37:BO43)</f>
        <v>482451.46180000005</v>
      </c>
      <c r="BP35" s="115"/>
      <c r="BQ35" s="297">
        <f>SUM(BQ37:BQ43)</f>
        <v>5085387.9400000004</v>
      </c>
      <c r="BR35" s="297">
        <f t="shared" ref="BR35:BT35" si="161">SUM(BR37:BR43)</f>
        <v>0</v>
      </c>
      <c r="BS35" s="297">
        <f t="shared" si="161"/>
        <v>5085387.9400000004</v>
      </c>
      <c r="BT35" s="297">
        <f t="shared" si="161"/>
        <v>5085387.9400000004</v>
      </c>
      <c r="BU35" s="73">
        <f t="shared" si="144"/>
        <v>0</v>
      </c>
      <c r="BV35" s="297">
        <v>0</v>
      </c>
      <c r="BW35" s="74">
        <f t="shared" ref="BW35:BW47" si="162">BV35/BQ35</f>
        <v>0</v>
      </c>
      <c r="BX35" s="359">
        <f>SUM(BX37:BX43)</f>
        <v>711954.31160000002</v>
      </c>
      <c r="BY35" s="115"/>
      <c r="BZ35" s="297"/>
      <c r="CA35" s="297"/>
      <c r="CB35" s="297"/>
      <c r="CC35" s="297"/>
      <c r="CD35" s="73" t="e">
        <f t="shared" si="145"/>
        <v>#DIV/0!</v>
      </c>
      <c r="CE35" s="297"/>
      <c r="CF35" s="74" t="e">
        <f t="shared" ref="CF35:CF47" si="163">CE35/BZ35</f>
        <v>#DIV/0!</v>
      </c>
      <c r="CG35" s="359">
        <f>SUM(CG37:CG43)</f>
        <v>811774.46420000005</v>
      </c>
      <c r="CH35" s="115"/>
      <c r="CI35" s="131"/>
      <c r="CJ35" s="132"/>
      <c r="CK35" s="132"/>
      <c r="CL35" s="132"/>
      <c r="CM35" s="133" t="e">
        <f t="shared" si="146"/>
        <v>#DIV/0!</v>
      </c>
      <c r="CN35" s="134"/>
      <c r="CO35" s="135" t="e">
        <f t="shared" ref="CO35:CO47" si="164">CN35/CI35</f>
        <v>#DIV/0!</v>
      </c>
      <c r="CP35" s="115"/>
      <c r="CQ35" s="131"/>
      <c r="CR35" s="132"/>
      <c r="CS35" s="132"/>
      <c r="CT35" s="132"/>
      <c r="CU35" s="133" t="e">
        <f t="shared" si="147"/>
        <v>#DIV/0!</v>
      </c>
      <c r="CV35" s="134"/>
      <c r="CW35" s="135" t="e">
        <f t="shared" ref="CW35:CW47" si="165">CV35/CQ35</f>
        <v>#DIV/0!</v>
      </c>
      <c r="CX35" s="115"/>
      <c r="CY35" s="131"/>
      <c r="CZ35" s="132"/>
      <c r="DA35" s="132"/>
      <c r="DB35" s="132"/>
      <c r="DC35" s="133" t="e">
        <f t="shared" si="148"/>
        <v>#DIV/0!</v>
      </c>
      <c r="DD35" s="134"/>
      <c r="DE35" s="135" t="e">
        <f t="shared" ref="DE35:DE47" si="166">DD35/CY35</f>
        <v>#DIV/0!</v>
      </c>
      <c r="DF35" s="6"/>
      <c r="DG35" s="353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</row>
    <row r="36" spans="1:135" s="7" customFormat="1" ht="13" customHeight="1">
      <c r="A36" s="396"/>
      <c r="B36" s="70" t="s">
        <v>188</v>
      </c>
      <c r="C36" s="295"/>
      <c r="D36" s="295"/>
      <c r="E36" s="295"/>
      <c r="F36" s="295"/>
      <c r="G36" s="14"/>
      <c r="H36" s="295"/>
      <c r="I36" s="14"/>
      <c r="J36" s="220"/>
      <c r="K36" s="115"/>
      <c r="L36" s="294"/>
      <c r="M36" s="295"/>
      <c r="N36" s="295"/>
      <c r="O36" s="295"/>
      <c r="P36" s="73"/>
      <c r="Q36" s="295"/>
      <c r="R36" s="74"/>
      <c r="S36" s="115"/>
      <c r="T36" s="294"/>
      <c r="U36" s="295"/>
      <c r="V36" s="295"/>
      <c r="W36" s="295"/>
      <c r="X36" s="73"/>
      <c r="Y36" s="297"/>
      <c r="Z36" s="74"/>
      <c r="AA36" s="115"/>
      <c r="AB36" s="296"/>
      <c r="AC36" s="297"/>
      <c r="AD36" s="297"/>
      <c r="AE36" s="297"/>
      <c r="AF36" s="87"/>
      <c r="AG36" s="297"/>
      <c r="AH36" s="88"/>
      <c r="AI36" s="115"/>
      <c r="AJ36" s="296"/>
      <c r="AK36" s="297"/>
      <c r="AL36" s="297"/>
      <c r="AM36" s="297"/>
      <c r="AN36" s="87"/>
      <c r="AO36" s="297"/>
      <c r="AP36" s="88"/>
      <c r="AQ36" s="115"/>
      <c r="AR36" s="294"/>
      <c r="AS36" s="295"/>
      <c r="AT36" s="295"/>
      <c r="AU36" s="295"/>
      <c r="AV36" s="73"/>
      <c r="AW36" s="297"/>
      <c r="AX36" s="74"/>
      <c r="AY36" s="115"/>
      <c r="AZ36" s="301"/>
      <c r="BA36" s="302"/>
      <c r="BB36" s="302"/>
      <c r="BC36" s="302"/>
      <c r="BD36" s="73"/>
      <c r="BE36" s="300"/>
      <c r="BF36" s="74"/>
      <c r="BG36" s="115"/>
      <c r="BH36" s="294"/>
      <c r="BI36" s="295"/>
      <c r="BJ36" s="295"/>
      <c r="BK36" s="295"/>
      <c r="BL36" s="73"/>
      <c r="BM36" s="295"/>
      <c r="BN36" s="74"/>
      <c r="BO36" s="220"/>
      <c r="BP36" s="115"/>
      <c r="BQ36" s="297"/>
      <c r="BR36" s="297"/>
      <c r="BS36" s="297"/>
      <c r="BT36" s="297"/>
      <c r="BU36" s="73"/>
      <c r="BV36" s="297"/>
      <c r="BW36" s="74"/>
      <c r="BX36" s="359"/>
      <c r="BY36" s="115"/>
      <c r="BZ36" s="297"/>
      <c r="CA36" s="297"/>
      <c r="CB36" s="297"/>
      <c r="CC36" s="297"/>
      <c r="CD36" s="73"/>
      <c r="CE36" s="297"/>
      <c r="CF36" s="74"/>
      <c r="CG36" s="359"/>
      <c r="CH36" s="115"/>
      <c r="CI36" s="131"/>
      <c r="CJ36" s="132"/>
      <c r="CK36" s="132"/>
      <c r="CL36" s="132"/>
      <c r="CM36" s="133"/>
      <c r="CN36" s="134"/>
      <c r="CO36" s="135"/>
      <c r="CP36" s="115"/>
      <c r="CQ36" s="131"/>
      <c r="CR36" s="132"/>
      <c r="CS36" s="132"/>
      <c r="CT36" s="132"/>
      <c r="CU36" s="133"/>
      <c r="CV36" s="134"/>
      <c r="CW36" s="135"/>
      <c r="CX36" s="115"/>
      <c r="CY36" s="131"/>
      <c r="CZ36" s="132"/>
      <c r="DA36" s="132"/>
      <c r="DB36" s="132"/>
      <c r="DC36" s="133"/>
      <c r="DD36" s="134"/>
      <c r="DE36" s="135"/>
      <c r="DF36" s="6"/>
      <c r="DG36" s="353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</row>
    <row r="37" spans="1:135" s="7" customFormat="1" ht="13" customHeight="1">
      <c r="A37" s="396"/>
      <c r="B37" s="70" t="s">
        <v>119</v>
      </c>
      <c r="C37" s="295">
        <f>SUM(L37,T37,AB37,AJ37,AR37,AZ37,BH37,BQ37,BZ37,CI37,CQ37,CY37)</f>
        <v>5277225.6399999997</v>
      </c>
      <c r="D37" s="295">
        <f t="shared" ref="D37:D43" si="167">SUM(M37,U37,AC37,AK37,AS37,BA37,BI37,BR37,CA37,CJ37,CR37,CZ37)</f>
        <v>0</v>
      </c>
      <c r="E37" s="295">
        <f t="shared" ref="E37:E43" si="168">SUM(N37,V37,AD37,AL37,AT37,BB37,BJ37,BS37,CB37,CK37,CS37,DA37)</f>
        <v>5277225.6399999997</v>
      </c>
      <c r="F37" s="295">
        <f t="shared" ref="F37:F43" si="169">SUM(O37,W37,AE37,AM37,AU37,BC37,BK37,BT37,CC37,CL37,CT37,DB37)</f>
        <v>5277225.6399999997</v>
      </c>
      <c r="G37" s="14">
        <f t="shared" ref="G37:G43" si="170">D37/C37</f>
        <v>0</v>
      </c>
      <c r="H37" s="295">
        <f t="shared" ref="H37:H45" si="171">SUM(Q37,Y37,AG37,AO37,AW37,BE37,BM37,BV37,CE37,CN37,CV37,DD37)</f>
        <v>0</v>
      </c>
      <c r="I37" s="14">
        <f t="shared" si="149"/>
        <v>0</v>
      </c>
      <c r="J37" s="220">
        <f t="shared" ref="J37:J43" si="172">F37*$A$49</f>
        <v>738811.58960000006</v>
      </c>
      <c r="K37" s="111"/>
      <c r="L37" s="294">
        <v>389273.85</v>
      </c>
      <c r="M37" s="295">
        <v>0</v>
      </c>
      <c r="N37" s="295">
        <v>389273.85</v>
      </c>
      <c r="O37" s="295">
        <v>389273.85</v>
      </c>
      <c r="P37" s="73">
        <f t="shared" si="151"/>
        <v>0</v>
      </c>
      <c r="Q37" s="295">
        <v>0</v>
      </c>
      <c r="R37" s="74">
        <f t="shared" si="152"/>
        <v>0</v>
      </c>
      <c r="S37" s="111"/>
      <c r="T37" s="296">
        <v>693694.9</v>
      </c>
      <c r="U37" s="295">
        <v>0</v>
      </c>
      <c r="V37" s="297">
        <v>693694.9</v>
      </c>
      <c r="W37" s="297">
        <v>693694.9</v>
      </c>
      <c r="X37" s="73">
        <f t="shared" si="139"/>
        <v>0</v>
      </c>
      <c r="Y37" s="297">
        <v>0</v>
      </c>
      <c r="Z37" s="74">
        <f t="shared" si="153"/>
        <v>0</v>
      </c>
      <c r="AA37" s="111"/>
      <c r="AB37" s="294">
        <v>467154</v>
      </c>
      <c r="AC37" s="297">
        <f t="shared" si="154"/>
        <v>0</v>
      </c>
      <c r="AD37" s="295">
        <v>467154</v>
      </c>
      <c r="AE37" s="295">
        <v>467154</v>
      </c>
      <c r="AF37" s="87">
        <f t="shared" si="140"/>
        <v>0</v>
      </c>
      <c r="AG37" s="297">
        <v>0</v>
      </c>
      <c r="AH37" s="88">
        <f t="shared" si="155"/>
        <v>0</v>
      </c>
      <c r="AI37" s="111"/>
      <c r="AJ37" s="296">
        <v>77209.16</v>
      </c>
      <c r="AK37" s="297">
        <v>0</v>
      </c>
      <c r="AL37" s="297">
        <v>77209.16</v>
      </c>
      <c r="AM37" s="297">
        <v>77209.16</v>
      </c>
      <c r="AN37" s="87">
        <f t="shared" si="156"/>
        <v>0</v>
      </c>
      <c r="AO37" s="297">
        <v>0</v>
      </c>
      <c r="AP37" s="88">
        <f t="shared" si="157"/>
        <v>0</v>
      </c>
      <c r="AQ37" s="111"/>
      <c r="AR37" s="296">
        <v>74134.2</v>
      </c>
      <c r="AS37" s="295">
        <v>0</v>
      </c>
      <c r="AT37" s="297">
        <v>74134.2</v>
      </c>
      <c r="AU37" s="297">
        <v>74134.2</v>
      </c>
      <c r="AV37" s="73">
        <f t="shared" si="141"/>
        <v>0</v>
      </c>
      <c r="AW37" s="297">
        <v>0</v>
      </c>
      <c r="AX37" s="74">
        <f t="shared" si="158"/>
        <v>0</v>
      </c>
      <c r="AY37" s="111"/>
      <c r="AZ37" s="303">
        <v>323986.67</v>
      </c>
      <c r="BA37" s="302">
        <f t="shared" ref="BA37:BA43" si="173">AZ37-BB37</f>
        <v>0</v>
      </c>
      <c r="BB37" s="300">
        <v>323986.67</v>
      </c>
      <c r="BC37" s="300">
        <v>323986.67</v>
      </c>
      <c r="BD37" s="73">
        <f t="shared" si="142"/>
        <v>0</v>
      </c>
      <c r="BE37" s="300">
        <v>0</v>
      </c>
      <c r="BF37" s="74">
        <f t="shared" si="159"/>
        <v>0</v>
      </c>
      <c r="BG37" s="111"/>
      <c r="BH37" s="296">
        <v>490010.57</v>
      </c>
      <c r="BI37" s="297">
        <v>0</v>
      </c>
      <c r="BJ37" s="297">
        <v>490010.57</v>
      </c>
      <c r="BK37" s="297">
        <v>490010.57</v>
      </c>
      <c r="BL37" s="73">
        <f t="shared" si="143"/>
        <v>0</v>
      </c>
      <c r="BM37" s="295">
        <v>0</v>
      </c>
      <c r="BN37" s="74">
        <f t="shared" si="160"/>
        <v>0</v>
      </c>
      <c r="BO37" s="220">
        <f t="shared" ref="BO37:BO47" si="174">BK37*$A$49</f>
        <v>68601.479800000001</v>
      </c>
      <c r="BP37" s="111"/>
      <c r="BQ37" s="297">
        <v>1340094.7</v>
      </c>
      <c r="BR37" s="297">
        <v>0</v>
      </c>
      <c r="BS37" s="297">
        <v>1340094.7</v>
      </c>
      <c r="BT37" s="297">
        <v>1340094.7</v>
      </c>
      <c r="BU37" s="73">
        <f t="shared" si="144"/>
        <v>0</v>
      </c>
      <c r="BV37" s="297"/>
      <c r="BW37" s="88"/>
      <c r="BX37" s="359">
        <f>BT37*$A$49</f>
        <v>187613.258</v>
      </c>
      <c r="BY37" s="111"/>
      <c r="BZ37" s="297">
        <v>1421667.59</v>
      </c>
      <c r="CA37" s="297">
        <v>0</v>
      </c>
      <c r="CB37" s="297">
        <v>1421667.59</v>
      </c>
      <c r="CC37" s="297">
        <v>1421667.59</v>
      </c>
      <c r="CD37" s="73">
        <f t="shared" si="145"/>
        <v>0</v>
      </c>
      <c r="CE37" s="297">
        <v>0</v>
      </c>
      <c r="CF37" s="74">
        <f t="shared" si="163"/>
        <v>0</v>
      </c>
      <c r="CG37" s="359">
        <f>CC37*$A$49</f>
        <v>199033.46260000003</v>
      </c>
      <c r="CH37" s="111"/>
      <c r="CI37" s="157"/>
      <c r="CJ37" s="158"/>
      <c r="CK37" s="158"/>
      <c r="CL37" s="158"/>
      <c r="CM37" s="143"/>
      <c r="CN37" s="158"/>
      <c r="CO37" s="144"/>
      <c r="CP37" s="111"/>
      <c r="CQ37" s="157"/>
      <c r="CR37" s="158"/>
      <c r="CS37" s="158"/>
      <c r="CT37" s="158"/>
      <c r="CU37" s="143"/>
      <c r="CV37" s="158"/>
      <c r="CW37" s="144"/>
      <c r="CX37" s="111"/>
      <c r="CY37" s="157"/>
      <c r="CZ37" s="158"/>
      <c r="DA37" s="158"/>
      <c r="DB37" s="158"/>
      <c r="DC37" s="143"/>
      <c r="DD37" s="158"/>
      <c r="DE37" s="144"/>
      <c r="DF37" s="6"/>
      <c r="DG37" s="353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</row>
    <row r="38" spans="1:135" s="7" customFormat="1" ht="13" customHeight="1">
      <c r="A38" s="396"/>
      <c r="B38" s="70" t="s">
        <v>120</v>
      </c>
      <c r="C38" s="295">
        <f>SUM(L38,T38,AB38,AJ38,AR38,AZ38,BH38,BQ38,BZ38,CI38,CQ38,CY38)</f>
        <v>1777887.1800000002</v>
      </c>
      <c r="D38" s="295">
        <f t="shared" si="167"/>
        <v>0</v>
      </c>
      <c r="E38" s="295">
        <f t="shared" si="168"/>
        <v>1777887.1800000002</v>
      </c>
      <c r="F38" s="295">
        <f t="shared" si="169"/>
        <v>1777887.1800000002</v>
      </c>
      <c r="G38" s="14">
        <f t="shared" si="170"/>
        <v>0</v>
      </c>
      <c r="H38" s="295">
        <f t="shared" si="171"/>
        <v>0</v>
      </c>
      <c r="I38" s="14">
        <f t="shared" si="149"/>
        <v>0</v>
      </c>
      <c r="J38" s="220">
        <f t="shared" si="172"/>
        <v>248904.20520000005</v>
      </c>
      <c r="K38" s="111"/>
      <c r="L38" s="294">
        <v>137666.25</v>
      </c>
      <c r="M38" s="295">
        <v>0</v>
      </c>
      <c r="N38" s="295">
        <v>137666.25</v>
      </c>
      <c r="O38" s="295">
        <v>137666.25</v>
      </c>
      <c r="P38" s="73">
        <f t="shared" si="151"/>
        <v>0</v>
      </c>
      <c r="Q38" s="295">
        <v>0</v>
      </c>
      <c r="R38" s="74">
        <f t="shared" si="152"/>
        <v>0</v>
      </c>
      <c r="S38" s="111"/>
      <c r="T38" s="296">
        <v>38090.25</v>
      </c>
      <c r="U38" s="295">
        <v>0</v>
      </c>
      <c r="V38" s="297">
        <v>38090.25</v>
      </c>
      <c r="W38" s="297">
        <v>38090.25</v>
      </c>
      <c r="X38" s="73">
        <f t="shared" si="139"/>
        <v>0</v>
      </c>
      <c r="Y38" s="297">
        <v>0</v>
      </c>
      <c r="Z38" s="74">
        <f t="shared" si="153"/>
        <v>0</v>
      </c>
      <c r="AA38" s="111"/>
      <c r="AB38" s="294">
        <v>558538.19999999995</v>
      </c>
      <c r="AC38" s="297">
        <f t="shared" si="154"/>
        <v>0</v>
      </c>
      <c r="AD38" s="295">
        <v>558538.19999999995</v>
      </c>
      <c r="AE38" s="295">
        <v>558538.19999999995</v>
      </c>
      <c r="AF38" s="87">
        <f t="shared" si="140"/>
        <v>0</v>
      </c>
      <c r="AG38" s="297">
        <v>0</v>
      </c>
      <c r="AH38" s="88">
        <f t="shared" si="155"/>
        <v>0</v>
      </c>
      <c r="AI38" s="111"/>
      <c r="AJ38" s="296">
        <v>0</v>
      </c>
      <c r="AK38" s="297">
        <v>0</v>
      </c>
      <c r="AL38" s="297">
        <v>0</v>
      </c>
      <c r="AM38" s="297">
        <v>0</v>
      </c>
      <c r="AN38" s="87" t="e">
        <f t="shared" si="156"/>
        <v>#DIV/0!</v>
      </c>
      <c r="AO38" s="297">
        <v>0</v>
      </c>
      <c r="AP38" s="88" t="e">
        <f t="shared" si="157"/>
        <v>#DIV/0!</v>
      </c>
      <c r="AQ38" s="111"/>
      <c r="AR38" s="296">
        <v>0</v>
      </c>
      <c r="AS38" s="295">
        <v>0</v>
      </c>
      <c r="AT38" s="297">
        <v>0</v>
      </c>
      <c r="AU38" s="297">
        <v>0</v>
      </c>
      <c r="AV38" s="73" t="e">
        <f t="shared" si="141"/>
        <v>#DIV/0!</v>
      </c>
      <c r="AW38" s="297">
        <v>0</v>
      </c>
      <c r="AX38" s="74" t="e">
        <f t="shared" si="158"/>
        <v>#DIV/0!</v>
      </c>
      <c r="AY38" s="111"/>
      <c r="AZ38" s="303">
        <v>0</v>
      </c>
      <c r="BA38" s="302">
        <f t="shared" si="173"/>
        <v>0</v>
      </c>
      <c r="BB38" s="300">
        <v>0</v>
      </c>
      <c r="BC38" s="300">
        <v>0</v>
      </c>
      <c r="BD38" s="73" t="e">
        <f t="shared" si="142"/>
        <v>#DIV/0!</v>
      </c>
      <c r="BE38" s="300">
        <v>0</v>
      </c>
      <c r="BF38" s="74" t="e">
        <f t="shared" si="159"/>
        <v>#DIV/0!</v>
      </c>
      <c r="BG38" s="111"/>
      <c r="BH38" s="296">
        <v>40257.769999999997</v>
      </c>
      <c r="BI38" s="297">
        <v>0</v>
      </c>
      <c r="BJ38" s="297">
        <v>40257.769999999997</v>
      </c>
      <c r="BK38" s="297">
        <v>40257.769999999997</v>
      </c>
      <c r="BL38" s="73">
        <f t="shared" si="143"/>
        <v>0</v>
      </c>
      <c r="BM38" s="295">
        <v>0</v>
      </c>
      <c r="BN38" s="74">
        <f t="shared" si="160"/>
        <v>0</v>
      </c>
      <c r="BO38" s="220">
        <f t="shared" si="174"/>
        <v>5636.0878000000002</v>
      </c>
      <c r="BP38" s="111"/>
      <c r="BQ38" s="297">
        <v>521169.81</v>
      </c>
      <c r="BR38" s="297">
        <v>0</v>
      </c>
      <c r="BS38" s="297">
        <v>521169.81</v>
      </c>
      <c r="BT38" s="297">
        <v>521169.81</v>
      </c>
      <c r="BU38" s="73">
        <f t="shared" si="144"/>
        <v>0</v>
      </c>
      <c r="BV38" s="297"/>
      <c r="BW38" s="88"/>
      <c r="BX38" s="359">
        <f>BT38*$A$49</f>
        <v>72963.773400000005</v>
      </c>
      <c r="BY38" s="111"/>
      <c r="BZ38" s="297">
        <v>482164.9</v>
      </c>
      <c r="CA38" s="297">
        <v>0</v>
      </c>
      <c r="CB38" s="297">
        <v>482164.9</v>
      </c>
      <c r="CC38" s="297">
        <v>482164.9</v>
      </c>
      <c r="CD38" s="73">
        <f t="shared" si="145"/>
        <v>0</v>
      </c>
      <c r="CE38" s="297">
        <v>0</v>
      </c>
      <c r="CF38" s="74">
        <f t="shared" si="163"/>
        <v>0</v>
      </c>
      <c r="CG38" s="359">
        <f>CC38*$A$49</f>
        <v>67503.08600000001</v>
      </c>
      <c r="CH38" s="111"/>
      <c r="CI38" s="157"/>
      <c r="CJ38" s="158"/>
      <c r="CK38" s="158"/>
      <c r="CL38" s="158"/>
      <c r="CM38" s="143"/>
      <c r="CN38" s="158"/>
      <c r="CO38" s="144"/>
      <c r="CP38" s="111"/>
      <c r="CQ38" s="157"/>
      <c r="CR38" s="158"/>
      <c r="CS38" s="158"/>
      <c r="CT38" s="158"/>
      <c r="CU38" s="143"/>
      <c r="CV38" s="158"/>
      <c r="CW38" s="144"/>
      <c r="CX38" s="111"/>
      <c r="CY38" s="157"/>
      <c r="CZ38" s="158"/>
      <c r="DA38" s="158"/>
      <c r="DB38" s="158"/>
      <c r="DC38" s="143"/>
      <c r="DD38" s="158"/>
      <c r="DE38" s="144"/>
      <c r="DF38" s="6"/>
      <c r="DG38" s="353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</row>
    <row r="39" spans="1:135" s="7" customFormat="1" ht="13" customHeight="1">
      <c r="A39" s="396"/>
      <c r="B39" s="70" t="s">
        <v>181</v>
      </c>
      <c r="C39" s="295">
        <f t="shared" ref="C39:C43" si="175">SUM(L39,T39,AB39,AJ39,AR39,AZ39,BH39,BQ39,BZ39,CI39,CQ39,CY39)</f>
        <v>1968776.49</v>
      </c>
      <c r="D39" s="295">
        <f t="shared" si="167"/>
        <v>0</v>
      </c>
      <c r="E39" s="295">
        <f t="shared" si="168"/>
        <v>1968776.49</v>
      </c>
      <c r="F39" s="295">
        <f t="shared" si="169"/>
        <v>1968776.49</v>
      </c>
      <c r="G39" s="14">
        <f t="shared" si="170"/>
        <v>0</v>
      </c>
      <c r="H39" s="295">
        <f t="shared" si="171"/>
        <v>0</v>
      </c>
      <c r="I39" s="14">
        <f t="shared" si="149"/>
        <v>0</v>
      </c>
      <c r="J39" s="220">
        <f t="shared" si="172"/>
        <v>275628.70860000001</v>
      </c>
      <c r="K39" s="111"/>
      <c r="L39" s="294">
        <v>0</v>
      </c>
      <c r="M39" s="295">
        <v>0</v>
      </c>
      <c r="N39" s="295">
        <v>0</v>
      </c>
      <c r="O39" s="295">
        <v>0</v>
      </c>
      <c r="P39" s="73" t="e">
        <f t="shared" si="151"/>
        <v>#DIV/0!</v>
      </c>
      <c r="Q39" s="295">
        <v>0</v>
      </c>
      <c r="R39" s="74" t="e">
        <f t="shared" si="152"/>
        <v>#DIV/0!</v>
      </c>
      <c r="S39" s="111"/>
      <c r="T39" s="296">
        <v>0</v>
      </c>
      <c r="U39" s="295">
        <v>0</v>
      </c>
      <c r="V39" s="297">
        <v>0</v>
      </c>
      <c r="W39" s="297">
        <v>0</v>
      </c>
      <c r="X39" s="73" t="e">
        <f t="shared" si="139"/>
        <v>#DIV/0!</v>
      </c>
      <c r="Y39" s="297">
        <v>0</v>
      </c>
      <c r="Z39" s="74" t="e">
        <f t="shared" si="153"/>
        <v>#DIV/0!</v>
      </c>
      <c r="AA39" s="111"/>
      <c r="AB39" s="294">
        <v>134310.15</v>
      </c>
      <c r="AC39" s="297">
        <f t="shared" si="154"/>
        <v>0</v>
      </c>
      <c r="AD39" s="295">
        <v>134310.15</v>
      </c>
      <c r="AE39" s="295">
        <v>134310.15</v>
      </c>
      <c r="AF39" s="87">
        <f t="shared" si="140"/>
        <v>0</v>
      </c>
      <c r="AG39" s="297">
        <v>0</v>
      </c>
      <c r="AH39" s="88">
        <f t="shared" si="155"/>
        <v>0</v>
      </c>
      <c r="AI39" s="111"/>
      <c r="AJ39" s="296">
        <v>27991.18</v>
      </c>
      <c r="AK39" s="297">
        <v>0</v>
      </c>
      <c r="AL39" s="297">
        <v>27991.18</v>
      </c>
      <c r="AM39" s="297">
        <v>27991.18</v>
      </c>
      <c r="AN39" s="87">
        <f t="shared" si="156"/>
        <v>0</v>
      </c>
      <c r="AO39" s="297">
        <v>0</v>
      </c>
      <c r="AP39" s="88">
        <f t="shared" si="157"/>
        <v>0</v>
      </c>
      <c r="AQ39" s="111"/>
      <c r="AR39" s="296">
        <v>43355.34</v>
      </c>
      <c r="AS39" s="295">
        <v>0</v>
      </c>
      <c r="AT39" s="297">
        <v>43355.34</v>
      </c>
      <c r="AU39" s="297">
        <v>43355.34</v>
      </c>
      <c r="AV39" s="73">
        <f t="shared" si="141"/>
        <v>0</v>
      </c>
      <c r="AW39" s="297">
        <v>0</v>
      </c>
      <c r="AX39" s="74">
        <f t="shared" si="158"/>
        <v>0</v>
      </c>
      <c r="AY39" s="111"/>
      <c r="AZ39" s="303">
        <v>28861</v>
      </c>
      <c r="BA39" s="302">
        <f t="shared" si="173"/>
        <v>0</v>
      </c>
      <c r="BB39" s="300">
        <v>28861</v>
      </c>
      <c r="BC39" s="300">
        <v>28861</v>
      </c>
      <c r="BD39" s="73">
        <f t="shared" si="142"/>
        <v>0</v>
      </c>
      <c r="BE39" s="300">
        <v>0</v>
      </c>
      <c r="BF39" s="74">
        <f t="shared" si="159"/>
        <v>0</v>
      </c>
      <c r="BG39" s="111"/>
      <c r="BH39" s="296">
        <v>192850</v>
      </c>
      <c r="BI39" s="297">
        <v>0</v>
      </c>
      <c r="BJ39" s="297">
        <v>192850</v>
      </c>
      <c r="BK39" s="297">
        <v>192850</v>
      </c>
      <c r="BL39" s="73">
        <f t="shared" si="143"/>
        <v>0</v>
      </c>
      <c r="BM39" s="295">
        <v>0</v>
      </c>
      <c r="BN39" s="74">
        <f t="shared" si="160"/>
        <v>0</v>
      </c>
      <c r="BO39" s="220">
        <f t="shared" si="174"/>
        <v>26999.000000000004</v>
      </c>
      <c r="BP39" s="111"/>
      <c r="BQ39" s="297">
        <v>531997.34</v>
      </c>
      <c r="BR39" s="297">
        <v>0</v>
      </c>
      <c r="BS39" s="297">
        <v>531997.34</v>
      </c>
      <c r="BT39" s="297">
        <v>531997.34</v>
      </c>
      <c r="BU39" s="73">
        <f t="shared" si="144"/>
        <v>0</v>
      </c>
      <c r="BV39" s="297"/>
      <c r="BW39" s="88"/>
      <c r="BX39" s="359">
        <f>BT39*$A$49</f>
        <v>74479.627600000007</v>
      </c>
      <c r="BY39" s="111"/>
      <c r="BZ39" s="297">
        <v>1009411.48</v>
      </c>
      <c r="CA39" s="297">
        <v>0</v>
      </c>
      <c r="CB39" s="297">
        <v>1009411.48</v>
      </c>
      <c r="CC39" s="297">
        <v>1009411.48</v>
      </c>
      <c r="CD39" s="73">
        <f t="shared" si="145"/>
        <v>0</v>
      </c>
      <c r="CE39" s="297">
        <v>0</v>
      </c>
      <c r="CF39" s="74">
        <f t="shared" si="163"/>
        <v>0</v>
      </c>
      <c r="CG39" s="359">
        <f>CC39*$A$49</f>
        <v>141317.6072</v>
      </c>
      <c r="CH39" s="111"/>
      <c r="CI39" s="157"/>
      <c r="CJ39" s="158"/>
      <c r="CK39" s="158"/>
      <c r="CL39" s="158"/>
      <c r="CM39" s="143"/>
      <c r="CN39" s="158"/>
      <c r="CO39" s="144"/>
      <c r="CP39" s="111"/>
      <c r="CQ39" s="157"/>
      <c r="CR39" s="158"/>
      <c r="CS39" s="158"/>
      <c r="CT39" s="158"/>
      <c r="CU39" s="143"/>
      <c r="CV39" s="158"/>
      <c r="CW39" s="144"/>
      <c r="CX39" s="111"/>
      <c r="CY39" s="157"/>
      <c r="CZ39" s="158"/>
      <c r="DA39" s="158"/>
      <c r="DB39" s="158"/>
      <c r="DC39" s="143"/>
      <c r="DD39" s="158"/>
      <c r="DE39" s="144"/>
      <c r="DF39" s="6"/>
      <c r="DG39" s="353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</row>
    <row r="40" spans="1:135" s="7" customFormat="1" ht="13" customHeight="1">
      <c r="A40" s="396"/>
      <c r="B40" s="70" t="s">
        <v>124</v>
      </c>
      <c r="C40" s="295">
        <f>SUM(L40,T40,AB40,AJ40,AR40,AZ40,BH40,BQ40,BZ40,CI40,CQ40,CY40)</f>
        <v>8988607.3800000008</v>
      </c>
      <c r="D40" s="295">
        <f t="shared" si="167"/>
        <v>0</v>
      </c>
      <c r="E40" s="295">
        <f t="shared" si="168"/>
        <v>8988607.3800000008</v>
      </c>
      <c r="F40" s="295">
        <f t="shared" si="169"/>
        <v>8988607.3800000008</v>
      </c>
      <c r="G40" s="14">
        <f t="shared" si="170"/>
        <v>0</v>
      </c>
      <c r="H40" s="295">
        <f t="shared" si="171"/>
        <v>0</v>
      </c>
      <c r="I40" s="14">
        <f t="shared" si="149"/>
        <v>0</v>
      </c>
      <c r="J40" s="220">
        <f t="shared" si="172"/>
        <v>1258405.0332000002</v>
      </c>
      <c r="K40" s="111"/>
      <c r="L40" s="294">
        <v>1807868.7</v>
      </c>
      <c r="M40" s="295">
        <v>0</v>
      </c>
      <c r="N40" s="295">
        <v>1807868.7</v>
      </c>
      <c r="O40" s="295">
        <v>1807868.7</v>
      </c>
      <c r="P40" s="73">
        <f t="shared" si="151"/>
        <v>0</v>
      </c>
      <c r="Q40" s="295">
        <v>0</v>
      </c>
      <c r="R40" s="74">
        <f t="shared" si="152"/>
        <v>0</v>
      </c>
      <c r="S40" s="111"/>
      <c r="T40" s="296">
        <v>892823.85</v>
      </c>
      <c r="U40" s="295">
        <v>0</v>
      </c>
      <c r="V40" s="297">
        <v>892823.85</v>
      </c>
      <c r="W40" s="297">
        <v>892823.85</v>
      </c>
      <c r="X40" s="73">
        <f t="shared" si="139"/>
        <v>0</v>
      </c>
      <c r="Y40" s="297">
        <v>0</v>
      </c>
      <c r="Z40" s="74">
        <f t="shared" si="153"/>
        <v>0</v>
      </c>
      <c r="AA40" s="111"/>
      <c r="AB40" s="294">
        <v>483214.95</v>
      </c>
      <c r="AC40" s="297">
        <f t="shared" si="154"/>
        <v>0</v>
      </c>
      <c r="AD40" s="295">
        <v>483214.95</v>
      </c>
      <c r="AE40" s="295">
        <v>483214.95</v>
      </c>
      <c r="AF40" s="87">
        <f t="shared" si="140"/>
        <v>0</v>
      </c>
      <c r="AG40" s="297">
        <v>0</v>
      </c>
      <c r="AH40" s="88">
        <f t="shared" si="155"/>
        <v>0</v>
      </c>
      <c r="AI40" s="111"/>
      <c r="AJ40" s="296">
        <v>469505.96</v>
      </c>
      <c r="AK40" s="297">
        <v>0</v>
      </c>
      <c r="AL40" s="297">
        <v>469505.96</v>
      </c>
      <c r="AM40" s="297">
        <v>469505.96</v>
      </c>
      <c r="AN40" s="87">
        <f t="shared" si="156"/>
        <v>0</v>
      </c>
      <c r="AO40" s="297">
        <v>0</v>
      </c>
      <c r="AP40" s="88">
        <f t="shared" si="157"/>
        <v>0</v>
      </c>
      <c r="AQ40" s="111"/>
      <c r="AR40" s="296">
        <v>593749.24</v>
      </c>
      <c r="AS40" s="295">
        <v>0</v>
      </c>
      <c r="AT40" s="297">
        <v>593749.24</v>
      </c>
      <c r="AU40" s="297">
        <v>593749.24</v>
      </c>
      <c r="AV40" s="73">
        <f t="shared" si="141"/>
        <v>0</v>
      </c>
      <c r="AW40" s="297">
        <v>0</v>
      </c>
      <c r="AX40" s="74">
        <f t="shared" si="158"/>
        <v>0</v>
      </c>
      <c r="AY40" s="111"/>
      <c r="AZ40" s="303">
        <v>595045.99</v>
      </c>
      <c r="BA40" s="302">
        <f t="shared" si="173"/>
        <v>0</v>
      </c>
      <c r="BB40" s="300">
        <v>595045.99</v>
      </c>
      <c r="BC40" s="300">
        <v>595045.99</v>
      </c>
      <c r="BD40" s="73">
        <f t="shared" si="142"/>
        <v>0</v>
      </c>
      <c r="BE40" s="300">
        <v>0</v>
      </c>
      <c r="BF40" s="74">
        <f t="shared" si="159"/>
        <v>0</v>
      </c>
      <c r="BG40" s="111"/>
      <c r="BH40" s="296">
        <v>1998471.3</v>
      </c>
      <c r="BI40" s="297">
        <v>0</v>
      </c>
      <c r="BJ40" s="297">
        <v>1998471.3</v>
      </c>
      <c r="BK40" s="297">
        <v>1998471.3</v>
      </c>
      <c r="BL40" s="73">
        <f t="shared" si="143"/>
        <v>0</v>
      </c>
      <c r="BM40" s="295">
        <v>0</v>
      </c>
      <c r="BN40" s="74">
        <f t="shared" si="160"/>
        <v>0</v>
      </c>
      <c r="BO40" s="220">
        <f t="shared" si="174"/>
        <v>279785.98200000002</v>
      </c>
      <c r="BP40" s="111"/>
      <c r="BQ40" s="297">
        <v>1403265.71</v>
      </c>
      <c r="BR40" s="297">
        <v>0</v>
      </c>
      <c r="BS40" s="297">
        <v>1403265.71</v>
      </c>
      <c r="BT40" s="297">
        <v>1403265.71</v>
      </c>
      <c r="BU40" s="73">
        <f t="shared" si="144"/>
        <v>0</v>
      </c>
      <c r="BV40" s="297"/>
      <c r="BW40" s="88"/>
      <c r="BX40" s="359">
        <f>BT40*$A$49</f>
        <v>196457.19940000001</v>
      </c>
      <c r="BY40" s="111"/>
      <c r="BZ40" s="297">
        <v>744661.68</v>
      </c>
      <c r="CA40" s="297">
        <v>0</v>
      </c>
      <c r="CB40" s="297">
        <v>744661.68</v>
      </c>
      <c r="CC40" s="297">
        <v>744661.68</v>
      </c>
      <c r="CD40" s="73">
        <f t="shared" si="145"/>
        <v>0</v>
      </c>
      <c r="CE40" s="297">
        <v>0</v>
      </c>
      <c r="CF40" s="74">
        <f t="shared" si="163"/>
        <v>0</v>
      </c>
      <c r="CG40" s="359">
        <f>CC40*$A$49</f>
        <v>104252.63520000002</v>
      </c>
      <c r="CH40" s="111"/>
      <c r="CI40" s="157"/>
      <c r="CJ40" s="158"/>
      <c r="CK40" s="158"/>
      <c r="CL40" s="158"/>
      <c r="CM40" s="143"/>
      <c r="CN40" s="158"/>
      <c r="CO40" s="144"/>
      <c r="CP40" s="111"/>
      <c r="CQ40" s="157"/>
      <c r="CR40" s="158"/>
      <c r="CS40" s="158"/>
      <c r="CT40" s="158"/>
      <c r="CU40" s="143"/>
      <c r="CV40" s="158"/>
      <c r="CW40" s="144"/>
      <c r="CX40" s="111"/>
      <c r="CY40" s="157"/>
      <c r="CZ40" s="158"/>
      <c r="DA40" s="158"/>
      <c r="DB40" s="158"/>
      <c r="DC40" s="143"/>
      <c r="DD40" s="158"/>
      <c r="DE40" s="144"/>
      <c r="DF40" s="6"/>
      <c r="DG40" s="353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</row>
    <row r="41" spans="1:135" s="7" customFormat="1" ht="13" customHeight="1">
      <c r="A41" s="396"/>
      <c r="B41" s="70" t="s">
        <v>121</v>
      </c>
      <c r="C41" s="295">
        <f t="shared" si="175"/>
        <v>4259115.29</v>
      </c>
      <c r="D41" s="295">
        <f t="shared" si="167"/>
        <v>0</v>
      </c>
      <c r="E41" s="295">
        <f t="shared" si="168"/>
        <v>4259115.1899999995</v>
      </c>
      <c r="F41" s="295">
        <f t="shared" si="169"/>
        <v>4259115.1899999995</v>
      </c>
      <c r="G41" s="14">
        <f t="shared" si="170"/>
        <v>0</v>
      </c>
      <c r="H41" s="295">
        <f t="shared" si="171"/>
        <v>0</v>
      </c>
      <c r="I41" s="14">
        <f t="shared" si="149"/>
        <v>0</v>
      </c>
      <c r="J41" s="220">
        <f t="shared" si="172"/>
        <v>596276.12659999996</v>
      </c>
      <c r="K41" s="111"/>
      <c r="L41" s="294">
        <v>0</v>
      </c>
      <c r="M41" s="295">
        <v>0</v>
      </c>
      <c r="N41" s="295">
        <v>0</v>
      </c>
      <c r="O41" s="295">
        <v>0</v>
      </c>
      <c r="P41" s="73" t="e">
        <f t="shared" si="151"/>
        <v>#DIV/0!</v>
      </c>
      <c r="Q41" s="295">
        <v>0</v>
      </c>
      <c r="R41" s="74" t="e">
        <f t="shared" si="152"/>
        <v>#DIV/0!</v>
      </c>
      <c r="S41" s="111"/>
      <c r="T41" s="296">
        <v>361379.1</v>
      </c>
      <c r="U41" s="295">
        <v>0</v>
      </c>
      <c r="V41" s="297">
        <v>361379</v>
      </c>
      <c r="W41" s="297">
        <v>361379</v>
      </c>
      <c r="X41" s="73">
        <f t="shared" si="139"/>
        <v>2.7671771825409092E-7</v>
      </c>
      <c r="Y41" s="297">
        <v>0</v>
      </c>
      <c r="Z41" s="74">
        <f t="shared" si="153"/>
        <v>0</v>
      </c>
      <c r="AA41" s="111"/>
      <c r="AB41" s="294">
        <v>202327.2</v>
      </c>
      <c r="AC41" s="297">
        <f t="shared" si="154"/>
        <v>0</v>
      </c>
      <c r="AD41" s="295">
        <v>202327.2</v>
      </c>
      <c r="AE41" s="295">
        <v>202327.2</v>
      </c>
      <c r="AF41" s="87">
        <f t="shared" si="140"/>
        <v>0</v>
      </c>
      <c r="AG41" s="297">
        <v>0</v>
      </c>
      <c r="AH41" s="88">
        <f t="shared" si="155"/>
        <v>0</v>
      </c>
      <c r="AI41" s="111"/>
      <c r="AJ41" s="296">
        <v>527277.17000000004</v>
      </c>
      <c r="AK41" s="297">
        <v>0</v>
      </c>
      <c r="AL41" s="297">
        <v>527277.17000000004</v>
      </c>
      <c r="AM41" s="297">
        <v>527277.17000000004</v>
      </c>
      <c r="AN41" s="87">
        <f t="shared" si="156"/>
        <v>0</v>
      </c>
      <c r="AO41" s="297">
        <v>0</v>
      </c>
      <c r="AP41" s="88">
        <f t="shared" si="157"/>
        <v>0</v>
      </c>
      <c r="AQ41" s="111"/>
      <c r="AR41" s="296">
        <v>303156.21000000002</v>
      </c>
      <c r="AS41" s="295">
        <v>0</v>
      </c>
      <c r="AT41" s="297">
        <v>303156.21000000002</v>
      </c>
      <c r="AU41" s="297">
        <v>303156.21000000002</v>
      </c>
      <c r="AV41" s="73">
        <f t="shared" si="141"/>
        <v>0</v>
      </c>
      <c r="AW41" s="297">
        <v>0</v>
      </c>
      <c r="AX41" s="74">
        <f t="shared" si="158"/>
        <v>0</v>
      </c>
      <c r="AY41" s="111"/>
      <c r="AZ41" s="303">
        <v>0</v>
      </c>
      <c r="BA41" s="302">
        <f t="shared" si="173"/>
        <v>0</v>
      </c>
      <c r="BB41" s="300">
        <v>0</v>
      </c>
      <c r="BC41" s="300">
        <v>0</v>
      </c>
      <c r="BD41" s="73" t="e">
        <f t="shared" si="142"/>
        <v>#DIV/0!</v>
      </c>
      <c r="BE41" s="300">
        <v>0</v>
      </c>
      <c r="BF41" s="74" t="e">
        <f t="shared" si="159"/>
        <v>#DIV/0!</v>
      </c>
      <c r="BG41" s="111"/>
      <c r="BH41" s="296">
        <v>724492.23</v>
      </c>
      <c r="BI41" s="297">
        <v>0</v>
      </c>
      <c r="BJ41" s="297">
        <v>724492.23</v>
      </c>
      <c r="BK41" s="297">
        <v>724492.23</v>
      </c>
      <c r="BL41" s="73">
        <f t="shared" si="143"/>
        <v>0</v>
      </c>
      <c r="BM41" s="295">
        <v>0</v>
      </c>
      <c r="BN41" s="74">
        <f t="shared" si="160"/>
        <v>0</v>
      </c>
      <c r="BO41" s="220">
        <f t="shared" si="174"/>
        <v>101428.91220000001</v>
      </c>
      <c r="BP41" s="111"/>
      <c r="BQ41" s="297"/>
      <c r="BR41" s="297">
        <v>0</v>
      </c>
      <c r="BS41" s="297"/>
      <c r="BT41" s="297"/>
      <c r="BU41" s="73" t="e">
        <f t="shared" si="144"/>
        <v>#DIV/0!</v>
      </c>
      <c r="BV41" s="297"/>
      <c r="BW41" s="88"/>
      <c r="BX41" s="359">
        <f t="shared" ref="BX41:BX47" si="176">BT41*$A$49</f>
        <v>0</v>
      </c>
      <c r="BY41" s="111"/>
      <c r="BZ41" s="297">
        <v>2140483.38</v>
      </c>
      <c r="CA41" s="297">
        <v>0</v>
      </c>
      <c r="CB41" s="297">
        <v>2140483.38</v>
      </c>
      <c r="CC41" s="297">
        <v>2140483.38</v>
      </c>
      <c r="CD41" s="73">
        <f t="shared" si="145"/>
        <v>0</v>
      </c>
      <c r="CE41" s="297">
        <v>0</v>
      </c>
      <c r="CF41" s="74">
        <f t="shared" si="163"/>
        <v>0</v>
      </c>
      <c r="CG41" s="359">
        <f t="shared" ref="CG41:CG47" si="177">CC41*$A$49</f>
        <v>299667.67320000002</v>
      </c>
      <c r="CH41" s="111"/>
      <c r="CI41" s="157"/>
      <c r="CJ41" s="158"/>
      <c r="CK41" s="158"/>
      <c r="CL41" s="158"/>
      <c r="CM41" s="143"/>
      <c r="CN41" s="158"/>
      <c r="CO41" s="144"/>
      <c r="CP41" s="111"/>
      <c r="CQ41" s="157"/>
      <c r="CR41" s="158"/>
      <c r="CS41" s="158"/>
      <c r="CT41" s="158"/>
      <c r="CU41" s="143"/>
      <c r="CV41" s="158"/>
      <c r="CW41" s="144"/>
      <c r="CX41" s="111"/>
      <c r="CY41" s="157"/>
      <c r="CZ41" s="158"/>
      <c r="DA41" s="158"/>
      <c r="DB41" s="158"/>
      <c r="DC41" s="143"/>
      <c r="DD41" s="158"/>
      <c r="DE41" s="144"/>
      <c r="DF41" s="6"/>
      <c r="DG41" s="353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</row>
    <row r="42" spans="1:135" s="7" customFormat="1" ht="13" customHeight="1">
      <c r="A42" s="396"/>
      <c r="B42" s="70" t="s">
        <v>122</v>
      </c>
      <c r="C42" s="295">
        <f t="shared" si="175"/>
        <v>624734.38</v>
      </c>
      <c r="D42" s="295">
        <f t="shared" si="167"/>
        <v>0</v>
      </c>
      <c r="E42" s="295">
        <f t="shared" si="168"/>
        <v>624734.38</v>
      </c>
      <c r="F42" s="295">
        <f t="shared" si="169"/>
        <v>624734.38</v>
      </c>
      <c r="G42" s="14">
        <f t="shared" si="170"/>
        <v>0</v>
      </c>
      <c r="H42" s="295">
        <f t="shared" si="171"/>
        <v>0</v>
      </c>
      <c r="I42" s="14">
        <f t="shared" si="149"/>
        <v>0</v>
      </c>
      <c r="J42" s="220">
        <f t="shared" si="172"/>
        <v>87462.813200000004</v>
      </c>
      <c r="K42" s="111"/>
      <c r="L42" s="294">
        <v>17874</v>
      </c>
      <c r="M42" s="295">
        <v>0</v>
      </c>
      <c r="N42" s="295">
        <v>17874</v>
      </c>
      <c r="O42" s="295">
        <v>17874</v>
      </c>
      <c r="P42" s="73">
        <f t="shared" si="151"/>
        <v>0</v>
      </c>
      <c r="Q42" s="295">
        <v>0</v>
      </c>
      <c r="R42" s="74">
        <f t="shared" si="152"/>
        <v>0</v>
      </c>
      <c r="S42" s="111"/>
      <c r="T42" s="296">
        <v>0</v>
      </c>
      <c r="U42" s="295">
        <v>0</v>
      </c>
      <c r="V42" s="297">
        <v>0</v>
      </c>
      <c r="W42" s="297">
        <v>0</v>
      </c>
      <c r="X42" s="73" t="e">
        <f t="shared" si="139"/>
        <v>#DIV/0!</v>
      </c>
      <c r="Y42" s="297">
        <v>0</v>
      </c>
      <c r="Z42" s="74" t="e">
        <f t="shared" si="153"/>
        <v>#DIV/0!</v>
      </c>
      <c r="AA42" s="111"/>
      <c r="AB42" s="294">
        <v>0</v>
      </c>
      <c r="AC42" s="297">
        <f t="shared" si="154"/>
        <v>0</v>
      </c>
      <c r="AD42" s="295">
        <v>0</v>
      </c>
      <c r="AE42" s="295">
        <v>0</v>
      </c>
      <c r="AF42" s="87" t="e">
        <f t="shared" si="140"/>
        <v>#DIV/0!</v>
      </c>
      <c r="AG42" s="297">
        <v>0</v>
      </c>
      <c r="AH42" s="88" t="e">
        <f t="shared" si="155"/>
        <v>#DIV/0!</v>
      </c>
      <c r="AI42" s="111"/>
      <c r="AJ42" s="296">
        <v>0</v>
      </c>
      <c r="AK42" s="297">
        <v>0</v>
      </c>
      <c r="AL42" s="297">
        <v>0</v>
      </c>
      <c r="AM42" s="297">
        <v>0</v>
      </c>
      <c r="AN42" s="87" t="e">
        <f t="shared" si="156"/>
        <v>#DIV/0!</v>
      </c>
      <c r="AO42" s="297">
        <v>0</v>
      </c>
      <c r="AP42" s="88" t="e">
        <f t="shared" si="157"/>
        <v>#DIV/0!</v>
      </c>
      <c r="AQ42" s="111"/>
      <c r="AR42" s="296">
        <v>0</v>
      </c>
      <c r="AS42" s="295">
        <v>0</v>
      </c>
      <c r="AT42" s="297">
        <v>0</v>
      </c>
      <c r="AU42" s="297">
        <v>0</v>
      </c>
      <c r="AV42" s="73" t="e">
        <f t="shared" si="141"/>
        <v>#DIV/0!</v>
      </c>
      <c r="AW42" s="297">
        <v>0</v>
      </c>
      <c r="AX42" s="74" t="e">
        <f t="shared" si="158"/>
        <v>#DIV/0!</v>
      </c>
      <c r="AY42" s="111"/>
      <c r="AZ42" s="303">
        <v>0</v>
      </c>
      <c r="BA42" s="302">
        <f t="shared" si="173"/>
        <v>0</v>
      </c>
      <c r="BB42" s="300">
        <v>0</v>
      </c>
      <c r="BC42" s="300">
        <v>0</v>
      </c>
      <c r="BD42" s="73" t="e">
        <f t="shared" si="142"/>
        <v>#DIV/0!</v>
      </c>
      <c r="BE42" s="300">
        <v>0</v>
      </c>
      <c r="BF42" s="74" t="e">
        <f t="shared" si="159"/>
        <v>#DIV/0!</v>
      </c>
      <c r="BG42" s="111"/>
      <c r="BH42" s="296">
        <v>0</v>
      </c>
      <c r="BI42" s="297">
        <v>0</v>
      </c>
      <c r="BJ42" s="297">
        <v>0</v>
      </c>
      <c r="BK42" s="297">
        <v>0</v>
      </c>
      <c r="BL42" s="73" t="e">
        <f t="shared" si="143"/>
        <v>#DIV/0!</v>
      </c>
      <c r="BM42" s="295">
        <v>0</v>
      </c>
      <c r="BN42" s="74" t="e">
        <f t="shared" si="160"/>
        <v>#DIV/0!</v>
      </c>
      <c r="BO42" s="220">
        <f t="shared" si="174"/>
        <v>0</v>
      </c>
      <c r="BP42" s="111"/>
      <c r="BQ42" s="297">
        <v>606860.38</v>
      </c>
      <c r="BR42" s="297">
        <v>0</v>
      </c>
      <c r="BS42" s="297">
        <v>606860.38</v>
      </c>
      <c r="BT42" s="297">
        <v>606860.38</v>
      </c>
      <c r="BU42" s="73">
        <f t="shared" si="144"/>
        <v>0</v>
      </c>
      <c r="BV42" s="297"/>
      <c r="BW42" s="88"/>
      <c r="BX42" s="359">
        <f t="shared" si="176"/>
        <v>84960.453200000004</v>
      </c>
      <c r="BY42" s="111"/>
      <c r="BZ42" s="297">
        <v>0</v>
      </c>
      <c r="CA42" s="297">
        <v>0</v>
      </c>
      <c r="CB42" s="297">
        <v>0</v>
      </c>
      <c r="CC42" s="297">
        <v>0</v>
      </c>
      <c r="CD42" s="73" t="e">
        <f t="shared" si="145"/>
        <v>#DIV/0!</v>
      </c>
      <c r="CE42" s="297">
        <v>0</v>
      </c>
      <c r="CF42" s="74" t="e">
        <f t="shared" si="163"/>
        <v>#DIV/0!</v>
      </c>
      <c r="CG42" s="359">
        <f t="shared" si="177"/>
        <v>0</v>
      </c>
      <c r="CH42" s="111"/>
      <c r="CI42" s="157"/>
      <c r="CJ42" s="158"/>
      <c r="CK42" s="158"/>
      <c r="CL42" s="158"/>
      <c r="CM42" s="143"/>
      <c r="CN42" s="158"/>
      <c r="CO42" s="144"/>
      <c r="CP42" s="111"/>
      <c r="CQ42" s="157"/>
      <c r="CR42" s="158"/>
      <c r="CS42" s="158"/>
      <c r="CT42" s="158"/>
      <c r="CU42" s="143"/>
      <c r="CV42" s="158"/>
      <c r="CW42" s="144"/>
      <c r="CX42" s="111"/>
      <c r="CY42" s="157"/>
      <c r="CZ42" s="158"/>
      <c r="DA42" s="158"/>
      <c r="DB42" s="158"/>
      <c r="DC42" s="143"/>
      <c r="DD42" s="158"/>
      <c r="DE42" s="144"/>
      <c r="DF42" s="6"/>
      <c r="DG42" s="353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</row>
    <row r="43" spans="1:135" s="7" customFormat="1" ht="13" customHeight="1">
      <c r="A43" s="396"/>
      <c r="B43" s="70" t="s">
        <v>125</v>
      </c>
      <c r="C43" s="295">
        <f t="shared" si="175"/>
        <v>2698167</v>
      </c>
      <c r="D43" s="295">
        <f t="shared" si="167"/>
        <v>0</v>
      </c>
      <c r="E43" s="295">
        <f t="shared" si="168"/>
        <v>2698167</v>
      </c>
      <c r="F43" s="295">
        <f t="shared" si="169"/>
        <v>2698167</v>
      </c>
      <c r="G43" s="14">
        <f t="shared" si="170"/>
        <v>0</v>
      </c>
      <c r="H43" s="295">
        <f t="shared" si="171"/>
        <v>0</v>
      </c>
      <c r="I43" s="14">
        <f t="shared" si="149"/>
        <v>0</v>
      </c>
      <c r="J43" s="220">
        <f t="shared" si="172"/>
        <v>377743.38000000006</v>
      </c>
      <c r="K43" s="111"/>
      <c r="L43" s="294">
        <v>0</v>
      </c>
      <c r="M43" s="295">
        <v>0</v>
      </c>
      <c r="N43" s="295">
        <v>0</v>
      </c>
      <c r="O43" s="295">
        <v>0</v>
      </c>
      <c r="P43" s="73" t="e">
        <f t="shared" si="151"/>
        <v>#DIV/0!</v>
      </c>
      <c r="Q43" s="295">
        <v>0</v>
      </c>
      <c r="R43" s="74" t="e">
        <f t="shared" si="152"/>
        <v>#DIV/0!</v>
      </c>
      <c r="S43" s="111"/>
      <c r="T43" s="296">
        <v>2016167</v>
      </c>
      <c r="U43" s="295">
        <v>0</v>
      </c>
      <c r="V43" s="297">
        <v>2016167</v>
      </c>
      <c r="W43" s="297">
        <v>2016167</v>
      </c>
      <c r="X43" s="73">
        <f t="shared" si="139"/>
        <v>0</v>
      </c>
      <c r="Y43" s="297">
        <v>0</v>
      </c>
      <c r="Z43" s="74">
        <f t="shared" si="153"/>
        <v>0</v>
      </c>
      <c r="AA43" s="111"/>
      <c r="AB43" s="294">
        <v>0</v>
      </c>
      <c r="AC43" s="297">
        <f t="shared" si="154"/>
        <v>0</v>
      </c>
      <c r="AD43" s="295">
        <v>0</v>
      </c>
      <c r="AE43" s="295">
        <v>0</v>
      </c>
      <c r="AF43" s="87" t="e">
        <f t="shared" si="140"/>
        <v>#DIV/0!</v>
      </c>
      <c r="AG43" s="297">
        <v>0</v>
      </c>
      <c r="AH43" s="88" t="e">
        <f t="shared" si="155"/>
        <v>#DIV/0!</v>
      </c>
      <c r="AI43" s="111"/>
      <c r="AJ43" s="296">
        <v>0</v>
      </c>
      <c r="AK43" s="297">
        <v>0</v>
      </c>
      <c r="AL43" s="297">
        <v>0</v>
      </c>
      <c r="AM43" s="297">
        <v>0</v>
      </c>
      <c r="AN43" s="87" t="e">
        <f t="shared" si="156"/>
        <v>#DIV/0!</v>
      </c>
      <c r="AO43" s="297">
        <v>0</v>
      </c>
      <c r="AP43" s="88" t="e">
        <f t="shared" si="157"/>
        <v>#DIV/0!</v>
      </c>
      <c r="AQ43" s="111"/>
      <c r="AR43" s="296">
        <v>0</v>
      </c>
      <c r="AS43" s="295">
        <v>0</v>
      </c>
      <c r="AT43" s="297">
        <v>0</v>
      </c>
      <c r="AU43" s="297">
        <v>0</v>
      </c>
      <c r="AV43" s="73" t="e">
        <f t="shared" si="141"/>
        <v>#DIV/0!</v>
      </c>
      <c r="AW43" s="297">
        <v>0</v>
      </c>
      <c r="AX43" s="74" t="e">
        <f t="shared" si="158"/>
        <v>#DIV/0!</v>
      </c>
      <c r="AY43" s="111"/>
      <c r="AZ43" s="303">
        <v>0</v>
      </c>
      <c r="BA43" s="302">
        <f t="shared" si="173"/>
        <v>0</v>
      </c>
      <c r="BB43" s="300">
        <v>0</v>
      </c>
      <c r="BC43" s="300">
        <v>0</v>
      </c>
      <c r="BD43" s="73" t="e">
        <f t="shared" si="142"/>
        <v>#DIV/0!</v>
      </c>
      <c r="BE43" s="300">
        <v>0</v>
      </c>
      <c r="BF43" s="74" t="e">
        <f t="shared" si="159"/>
        <v>#DIV/0!</v>
      </c>
      <c r="BG43" s="111"/>
      <c r="BH43" s="296">
        <v>0</v>
      </c>
      <c r="BI43" s="297">
        <v>0</v>
      </c>
      <c r="BJ43" s="297">
        <v>0</v>
      </c>
      <c r="BK43" s="297">
        <v>0</v>
      </c>
      <c r="BL43" s="73" t="e">
        <f t="shared" si="143"/>
        <v>#DIV/0!</v>
      </c>
      <c r="BM43" s="295">
        <v>0</v>
      </c>
      <c r="BN43" s="74" t="e">
        <f t="shared" si="160"/>
        <v>#DIV/0!</v>
      </c>
      <c r="BO43" s="220">
        <f t="shared" si="174"/>
        <v>0</v>
      </c>
      <c r="BP43" s="111"/>
      <c r="BQ43" s="297">
        <v>682000</v>
      </c>
      <c r="BR43" s="297"/>
      <c r="BS43" s="297">
        <v>682000</v>
      </c>
      <c r="BT43" s="297">
        <v>682000</v>
      </c>
      <c r="BU43" s="73">
        <f t="shared" si="144"/>
        <v>0</v>
      </c>
      <c r="BV43" s="297"/>
      <c r="BW43" s="88"/>
      <c r="BX43" s="359">
        <f t="shared" si="176"/>
        <v>95480.000000000015</v>
      </c>
      <c r="BY43" s="111"/>
      <c r="BZ43" s="297">
        <v>0</v>
      </c>
      <c r="CA43" s="297">
        <v>0</v>
      </c>
      <c r="CB43" s="297">
        <v>0</v>
      </c>
      <c r="CC43" s="297">
        <v>0</v>
      </c>
      <c r="CD43" s="73" t="e">
        <f t="shared" si="145"/>
        <v>#DIV/0!</v>
      </c>
      <c r="CE43" s="297">
        <v>0</v>
      </c>
      <c r="CF43" s="74" t="e">
        <f t="shared" si="163"/>
        <v>#DIV/0!</v>
      </c>
      <c r="CG43" s="359">
        <f t="shared" si="177"/>
        <v>0</v>
      </c>
      <c r="CH43" s="111"/>
      <c r="CI43" s="157"/>
      <c r="CJ43" s="158"/>
      <c r="CK43" s="158"/>
      <c r="CL43" s="158"/>
      <c r="CM43" s="143"/>
      <c r="CN43" s="158"/>
      <c r="CO43" s="144"/>
      <c r="CP43" s="111"/>
      <c r="CQ43" s="157"/>
      <c r="CR43" s="158"/>
      <c r="CS43" s="158"/>
      <c r="CT43" s="158"/>
      <c r="CU43" s="143"/>
      <c r="CV43" s="158"/>
      <c r="CW43" s="144"/>
      <c r="CX43" s="111"/>
      <c r="CY43" s="157"/>
      <c r="CZ43" s="158"/>
      <c r="DA43" s="158"/>
      <c r="DB43" s="158"/>
      <c r="DC43" s="143"/>
      <c r="DD43" s="158"/>
      <c r="DE43" s="144"/>
      <c r="DF43" s="6"/>
      <c r="DG43" s="353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</row>
    <row r="44" spans="1:135" s="7" customFormat="1" ht="13" customHeight="1">
      <c r="A44" s="396"/>
      <c r="B44" s="70" t="s">
        <v>14</v>
      </c>
      <c r="C44" s="295">
        <f t="shared" ref="C44:F47" si="178">SUM(L44,T44,AB44,AJ44,AR44,AZ44,BH44,BQ44,BZ44,CI44,CQ44,CY44)</f>
        <v>14100000</v>
      </c>
      <c r="D44" s="295">
        <f t="shared" si="178"/>
        <v>5854634</v>
      </c>
      <c r="E44" s="295">
        <f t="shared" si="178"/>
        <v>8245366</v>
      </c>
      <c r="F44" s="295">
        <f t="shared" si="178"/>
        <v>8245366</v>
      </c>
      <c r="G44" s="14">
        <f t="shared" ref="G44:G46" si="179">D44/C44</f>
        <v>0.41522226950354613</v>
      </c>
      <c r="H44" s="295">
        <f t="shared" si="171"/>
        <v>2556000</v>
      </c>
      <c r="I44" s="14">
        <f>H44/C44</f>
        <v>0.18127659574468086</v>
      </c>
      <c r="J44" s="220">
        <f>F44*$A$49</f>
        <v>1154351.2400000002</v>
      </c>
      <c r="K44" s="115"/>
      <c r="L44" s="294">
        <v>1000000</v>
      </c>
      <c r="M44" s="295">
        <v>426000</v>
      </c>
      <c r="N44" s="295">
        <v>574000</v>
      </c>
      <c r="O44" s="295">
        <f t="shared" si="150"/>
        <v>574000</v>
      </c>
      <c r="P44" s="73">
        <f t="shared" si="151"/>
        <v>0.42599999999999999</v>
      </c>
      <c r="Q44" s="295">
        <v>225000</v>
      </c>
      <c r="R44" s="74">
        <f t="shared" si="152"/>
        <v>0.22500000000000001</v>
      </c>
      <c r="S44" s="115"/>
      <c r="T44" s="294">
        <v>2300000</v>
      </c>
      <c r="U44" s="295">
        <v>1200000</v>
      </c>
      <c r="V44" s="295">
        <v>1100000</v>
      </c>
      <c r="W44" s="295">
        <v>1100000</v>
      </c>
      <c r="X44" s="73">
        <f>(T44-V44)/T44</f>
        <v>0.52173913043478259</v>
      </c>
      <c r="Y44" s="297">
        <v>451000</v>
      </c>
      <c r="Z44" s="74">
        <f t="shared" si="153"/>
        <v>0.19608695652173913</v>
      </c>
      <c r="AA44" s="115"/>
      <c r="AB44" s="296">
        <v>3800000</v>
      </c>
      <c r="AC44" s="297">
        <f t="shared" si="154"/>
        <v>1082634</v>
      </c>
      <c r="AD44" s="297">
        <v>2717366</v>
      </c>
      <c r="AE44" s="297">
        <v>2717366</v>
      </c>
      <c r="AF44" s="87">
        <f>(AB44-AD44)/AB44</f>
        <v>0.28490368421052631</v>
      </c>
      <c r="AG44" s="297">
        <v>0</v>
      </c>
      <c r="AH44" s="88">
        <f t="shared" si="155"/>
        <v>0</v>
      </c>
      <c r="AI44" s="115"/>
      <c r="AJ44" s="296">
        <v>0</v>
      </c>
      <c r="AK44" s="297">
        <v>0</v>
      </c>
      <c r="AL44" s="297">
        <v>0</v>
      </c>
      <c r="AM44" s="297">
        <v>0</v>
      </c>
      <c r="AN44" s="87" t="e">
        <f t="shared" si="156"/>
        <v>#DIV/0!</v>
      </c>
      <c r="AO44" s="297">
        <v>0</v>
      </c>
      <c r="AP44" s="88" t="e">
        <f t="shared" ref="AP44:AP76" si="180">AO44/AJ44</f>
        <v>#DIV/0!</v>
      </c>
      <c r="AQ44" s="115"/>
      <c r="AR44" s="294">
        <v>0</v>
      </c>
      <c r="AS44" s="295">
        <v>0</v>
      </c>
      <c r="AT44" s="295">
        <v>0</v>
      </c>
      <c r="AU44" s="295">
        <v>0</v>
      </c>
      <c r="AV44" s="73" t="e">
        <f>(AR44-AT44)/AR44</f>
        <v>#DIV/0!</v>
      </c>
      <c r="AW44" s="297">
        <v>0</v>
      </c>
      <c r="AX44" s="74" t="e">
        <f t="shared" si="158"/>
        <v>#DIV/0!</v>
      </c>
      <c r="AY44" s="115"/>
      <c r="AZ44" s="301">
        <v>0</v>
      </c>
      <c r="BA44" s="302">
        <v>0</v>
      </c>
      <c r="BB44" s="302">
        <v>0</v>
      </c>
      <c r="BC44" s="302">
        <v>0</v>
      </c>
      <c r="BD44" s="73" t="e">
        <f>(AZ44-BB44)/AZ44</f>
        <v>#DIV/0!</v>
      </c>
      <c r="BE44" s="300">
        <v>0</v>
      </c>
      <c r="BF44" s="74" t="e">
        <f t="shared" si="159"/>
        <v>#DIV/0!</v>
      </c>
      <c r="BG44" s="115"/>
      <c r="BH44" s="294">
        <v>700000</v>
      </c>
      <c r="BI44" s="295">
        <v>126000</v>
      </c>
      <c r="BJ44" s="295">
        <v>574000</v>
      </c>
      <c r="BK44" s="295">
        <v>574000</v>
      </c>
      <c r="BL44" s="73">
        <f>(BH44-BJ44)/BH44</f>
        <v>0.18</v>
      </c>
      <c r="BM44" s="295">
        <v>30000</v>
      </c>
      <c r="BN44" s="74">
        <f t="shared" si="160"/>
        <v>4.2857142857142858E-2</v>
      </c>
      <c r="BO44" s="220">
        <f t="shared" si="174"/>
        <v>80360.000000000015</v>
      </c>
      <c r="BP44" s="115"/>
      <c r="BQ44" s="297">
        <v>700000</v>
      </c>
      <c r="BR44" s="297">
        <v>208000</v>
      </c>
      <c r="BS44" s="297">
        <v>492000</v>
      </c>
      <c r="BT44" s="297">
        <v>492000</v>
      </c>
      <c r="BU44" s="73">
        <f>(BQ44-BS44)/BQ44</f>
        <v>0.29714285714285715</v>
      </c>
      <c r="BV44" s="297">
        <v>50000</v>
      </c>
      <c r="BW44" s="74">
        <f t="shared" si="162"/>
        <v>7.1428571428571425E-2</v>
      </c>
      <c r="BX44" s="359">
        <f t="shared" si="176"/>
        <v>68880</v>
      </c>
      <c r="BY44" s="115"/>
      <c r="BZ44" s="297">
        <v>5600000</v>
      </c>
      <c r="CA44" s="297">
        <v>2812000</v>
      </c>
      <c r="CB44" s="297">
        <v>2788000</v>
      </c>
      <c r="CC44" s="297">
        <v>2788000</v>
      </c>
      <c r="CD44" s="73">
        <f>(BZ44-CB44)/BZ44</f>
        <v>0.50214285714285711</v>
      </c>
      <c r="CE44" s="297">
        <v>1800000</v>
      </c>
      <c r="CF44" s="74">
        <f t="shared" si="163"/>
        <v>0.32142857142857145</v>
      </c>
      <c r="CG44" s="359">
        <f t="shared" si="177"/>
        <v>390320.00000000006</v>
      </c>
      <c r="CH44" s="115"/>
      <c r="CI44" s="131"/>
      <c r="CJ44" s="132"/>
      <c r="CK44" s="132"/>
      <c r="CL44" s="132"/>
      <c r="CM44" s="133" t="e">
        <f>(CI44-CK44)/CI44</f>
        <v>#DIV/0!</v>
      </c>
      <c r="CN44" s="134"/>
      <c r="CO44" s="135" t="e">
        <f t="shared" si="164"/>
        <v>#DIV/0!</v>
      </c>
      <c r="CP44" s="115"/>
      <c r="CQ44" s="131"/>
      <c r="CR44" s="132"/>
      <c r="CS44" s="132"/>
      <c r="CT44" s="132"/>
      <c r="CU44" s="133" t="e">
        <f>(CQ44-CS44)/CQ44</f>
        <v>#DIV/0!</v>
      </c>
      <c r="CV44" s="134"/>
      <c r="CW44" s="135" t="e">
        <f t="shared" si="165"/>
        <v>#DIV/0!</v>
      </c>
      <c r="CX44" s="115"/>
      <c r="CY44" s="131"/>
      <c r="CZ44" s="132"/>
      <c r="DA44" s="132"/>
      <c r="DB44" s="132"/>
      <c r="DC44" s="133" t="e">
        <f>(CY44-DA44)/CY44</f>
        <v>#DIV/0!</v>
      </c>
      <c r="DD44" s="134"/>
      <c r="DE44" s="135" t="e">
        <f t="shared" si="166"/>
        <v>#DIV/0!</v>
      </c>
      <c r="DF44" s="6"/>
      <c r="DG44" s="353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</row>
    <row r="45" spans="1:135" s="7" customFormat="1" ht="13" customHeight="1">
      <c r="A45" s="396"/>
      <c r="B45" s="70" t="s">
        <v>15</v>
      </c>
      <c r="C45" s="295">
        <f t="shared" si="178"/>
        <v>10372000</v>
      </c>
      <c r="D45" s="295">
        <f t="shared" si="178"/>
        <v>7310385</v>
      </c>
      <c r="E45" s="295">
        <f t="shared" si="178"/>
        <v>8289615</v>
      </c>
      <c r="F45" s="295">
        <f t="shared" si="178"/>
        <v>8289615</v>
      </c>
      <c r="G45" s="14">
        <f t="shared" si="179"/>
        <v>0.70481922483609716</v>
      </c>
      <c r="H45" s="295">
        <f t="shared" si="171"/>
        <v>0</v>
      </c>
      <c r="I45" s="14">
        <f>H45/C45</f>
        <v>0</v>
      </c>
      <c r="J45" s="220">
        <f>F45*$A$49</f>
        <v>1160546.1000000001</v>
      </c>
      <c r="K45" s="115"/>
      <c r="L45" s="294">
        <v>0</v>
      </c>
      <c r="M45" s="295">
        <v>0</v>
      </c>
      <c r="N45" s="295">
        <v>0</v>
      </c>
      <c r="O45" s="295">
        <v>0</v>
      </c>
      <c r="P45" s="73" t="e">
        <f t="shared" si="151"/>
        <v>#DIV/0!</v>
      </c>
      <c r="Q45" s="295">
        <v>0</v>
      </c>
      <c r="R45" s="74" t="e">
        <f t="shared" si="152"/>
        <v>#DIV/0!</v>
      </c>
      <c r="S45" s="115"/>
      <c r="T45" s="294">
        <v>536000</v>
      </c>
      <c r="U45" s="295">
        <v>137253</v>
      </c>
      <c r="V45" s="295">
        <v>398747</v>
      </c>
      <c r="W45" s="295">
        <v>398747</v>
      </c>
      <c r="X45" s="73">
        <f t="shared" ref="X45" si="181">(T45-V45)/T45</f>
        <v>0.25606902985074625</v>
      </c>
      <c r="Y45" s="297">
        <v>0</v>
      </c>
      <c r="Z45" s="74">
        <f>Y45/T45</f>
        <v>0</v>
      </c>
      <c r="AA45" s="115"/>
      <c r="AB45" s="296">
        <v>2972000</v>
      </c>
      <c r="AC45" s="297">
        <f>AB45-AD45</f>
        <v>718378</v>
      </c>
      <c r="AD45" s="297">
        <v>2253622</v>
      </c>
      <c r="AE45" s="297">
        <v>2253622</v>
      </c>
      <c r="AF45" s="87">
        <f t="shared" ref="AF45" si="182">(AB45-AD45)/AB45</f>
        <v>0.24171534320323015</v>
      </c>
      <c r="AG45" s="297">
        <v>0</v>
      </c>
      <c r="AH45" s="88">
        <f>AG45/AB45</f>
        <v>0</v>
      </c>
      <c r="AI45" s="115"/>
      <c r="AJ45" s="296">
        <v>3283000</v>
      </c>
      <c r="AK45" s="297">
        <v>780631</v>
      </c>
      <c r="AL45" s="297">
        <v>2502369</v>
      </c>
      <c r="AM45" s="297">
        <v>2502369</v>
      </c>
      <c r="AN45" s="87">
        <f t="shared" ref="AN45" si="183">(AJ45-AL45)/AJ45</f>
        <v>0.23777977459640573</v>
      </c>
      <c r="AO45" s="297">
        <v>0</v>
      </c>
      <c r="AP45" s="88">
        <f t="shared" si="180"/>
        <v>0</v>
      </c>
      <c r="AQ45" s="115"/>
      <c r="AR45" s="294">
        <v>0</v>
      </c>
      <c r="AS45" s="295">
        <v>0</v>
      </c>
      <c r="AT45" s="295">
        <v>0</v>
      </c>
      <c r="AU45" s="295">
        <v>0</v>
      </c>
      <c r="AV45" s="73" t="e">
        <f t="shared" ref="AV45" si="184">(AR45-AT45)/AR45</f>
        <v>#DIV/0!</v>
      </c>
      <c r="AW45" s="297">
        <v>0</v>
      </c>
      <c r="AX45" s="74" t="e">
        <f t="shared" si="158"/>
        <v>#DIV/0!</v>
      </c>
      <c r="AY45" s="115"/>
      <c r="AZ45" s="301">
        <v>0</v>
      </c>
      <c r="BA45" s="302">
        <v>0</v>
      </c>
      <c r="BB45" s="302">
        <v>0</v>
      </c>
      <c r="BC45" s="302">
        <v>0</v>
      </c>
      <c r="BD45" s="73" t="e">
        <f t="shared" ref="BD45" si="185">(AZ45-BB45)/AZ45</f>
        <v>#DIV/0!</v>
      </c>
      <c r="BE45" s="300">
        <v>0</v>
      </c>
      <c r="BF45" s="74" t="e">
        <f>BE45/AZ45</f>
        <v>#DIV/0!</v>
      </c>
      <c r="BG45" s="115"/>
      <c r="BH45" s="294">
        <v>311000</v>
      </c>
      <c r="BI45" s="295">
        <v>62253</v>
      </c>
      <c r="BJ45" s="295">
        <v>248747</v>
      </c>
      <c r="BK45" s="295">
        <v>248747</v>
      </c>
      <c r="BL45" s="73">
        <f t="shared" ref="BL45" si="186">(BH45-BJ45)/BH45</f>
        <v>0.20017041800643087</v>
      </c>
      <c r="BM45" s="295">
        <v>0</v>
      </c>
      <c r="BN45" s="74">
        <f>BM45/BH45</f>
        <v>0</v>
      </c>
      <c r="BO45" s="220">
        <f t="shared" si="174"/>
        <v>34824.58</v>
      </c>
      <c r="BP45" s="115"/>
      <c r="BQ45" s="297">
        <v>2898000</v>
      </c>
      <c r="BR45" s="297">
        <v>263610</v>
      </c>
      <c r="BS45" s="297">
        <v>2634390</v>
      </c>
      <c r="BT45" s="297">
        <v>2634390</v>
      </c>
      <c r="BU45" s="73">
        <f t="shared" ref="BU45" si="187">(BQ45-BS45)/BQ45</f>
        <v>9.0962732919254663E-2</v>
      </c>
      <c r="BV45" s="297"/>
      <c r="BW45" s="74">
        <f>BV45/BQ45</f>
        <v>0</v>
      </c>
      <c r="BX45" s="359">
        <f t="shared" si="176"/>
        <v>368814.60000000003</v>
      </c>
      <c r="BY45" s="115"/>
      <c r="BZ45" s="297">
        <v>372000</v>
      </c>
      <c r="CA45" s="297">
        <v>5348260</v>
      </c>
      <c r="CB45" s="297">
        <v>251740</v>
      </c>
      <c r="CC45" s="297">
        <v>251740</v>
      </c>
      <c r="CD45" s="73">
        <f>(BZ45-CB45)/BZ45</f>
        <v>0.32327956989247314</v>
      </c>
      <c r="CE45" s="297">
        <v>0</v>
      </c>
      <c r="CF45" s="74">
        <f>CE45/BZ45</f>
        <v>0</v>
      </c>
      <c r="CG45" s="359">
        <f t="shared" si="177"/>
        <v>35243.600000000006</v>
      </c>
      <c r="CH45" s="115"/>
      <c r="CI45" s="131"/>
      <c r="CJ45" s="132"/>
      <c r="CK45" s="132"/>
      <c r="CL45" s="132"/>
      <c r="CM45" s="133" t="e">
        <f t="shared" ref="CM45" si="188">(CI45-CK45)/CI45</f>
        <v>#DIV/0!</v>
      </c>
      <c r="CN45" s="134"/>
      <c r="CO45" s="135" t="e">
        <f>CN45/CI45</f>
        <v>#DIV/0!</v>
      </c>
      <c r="CP45" s="115"/>
      <c r="CQ45" s="131"/>
      <c r="CR45" s="132"/>
      <c r="CS45" s="132"/>
      <c r="CT45" s="132"/>
      <c r="CU45" s="133" t="e">
        <f t="shared" ref="CU45" si="189">(CQ45-CS45)/CQ45</f>
        <v>#DIV/0!</v>
      </c>
      <c r="CV45" s="134"/>
      <c r="CW45" s="135" t="e">
        <f>CV45/CQ45</f>
        <v>#DIV/0!</v>
      </c>
      <c r="CX45" s="115"/>
      <c r="CY45" s="131"/>
      <c r="CZ45" s="132"/>
      <c r="DA45" s="132"/>
      <c r="DB45" s="132"/>
      <c r="DC45" s="133" t="e">
        <f t="shared" ref="DC45" si="190">(CY45-DA45)/CY45</f>
        <v>#DIV/0!</v>
      </c>
      <c r="DD45" s="134"/>
      <c r="DE45" s="135" t="e">
        <f>DD45/CY45</f>
        <v>#DIV/0!</v>
      </c>
      <c r="DF45" s="6"/>
      <c r="DG45" s="353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</row>
    <row r="46" spans="1:135" s="7" customFormat="1" ht="13" customHeight="1">
      <c r="A46" s="396"/>
      <c r="B46" s="70" t="s">
        <v>16</v>
      </c>
      <c r="C46" s="295">
        <f t="shared" si="178"/>
        <v>7000000</v>
      </c>
      <c r="D46" s="295">
        <f t="shared" si="178"/>
        <v>1010000</v>
      </c>
      <c r="E46" s="295">
        <f t="shared" si="178"/>
        <v>5990000</v>
      </c>
      <c r="F46" s="295">
        <f t="shared" si="178"/>
        <v>5990000</v>
      </c>
      <c r="G46" s="14">
        <f t="shared" si="179"/>
        <v>0.14428571428571429</v>
      </c>
      <c r="H46" s="295">
        <f>SUM(Q46,Y46,AG46,AO46,AW46,BE46,BM46,BV46,CE46,CN46,CV46,DD46)</f>
        <v>1505000</v>
      </c>
      <c r="I46" s="14">
        <f t="shared" ref="I46" si="191">H46/C46</f>
        <v>0.215</v>
      </c>
      <c r="J46" s="220">
        <f>F46*$A$49</f>
        <v>838600.00000000012</v>
      </c>
      <c r="K46" s="115"/>
      <c r="L46" s="294">
        <v>0</v>
      </c>
      <c r="M46" s="295">
        <v>0</v>
      </c>
      <c r="N46" s="295">
        <v>0</v>
      </c>
      <c r="O46" s="295">
        <v>0</v>
      </c>
      <c r="P46" s="73" t="e">
        <f t="shared" si="151"/>
        <v>#DIV/0!</v>
      </c>
      <c r="Q46" s="295">
        <v>0</v>
      </c>
      <c r="R46" s="74" t="e">
        <f>Q47/L46</f>
        <v>#DIV/0!</v>
      </c>
      <c r="S46" s="115"/>
      <c r="T46" s="294">
        <v>0</v>
      </c>
      <c r="U46" s="295">
        <v>0</v>
      </c>
      <c r="V46" s="295">
        <v>0</v>
      </c>
      <c r="W46" s="295">
        <f>V46</f>
        <v>0</v>
      </c>
      <c r="X46" s="73" t="e">
        <f>(T46-V46)/T46</f>
        <v>#DIV/0!</v>
      </c>
      <c r="Y46" s="297">
        <v>0</v>
      </c>
      <c r="Z46" s="74" t="e">
        <f t="shared" si="153"/>
        <v>#DIV/0!</v>
      </c>
      <c r="AA46" s="115"/>
      <c r="AB46" s="296">
        <v>1690000</v>
      </c>
      <c r="AC46" s="297">
        <f t="shared" si="154"/>
        <v>240000</v>
      </c>
      <c r="AD46" s="297">
        <v>1450000</v>
      </c>
      <c r="AE46" s="297">
        <v>1450000</v>
      </c>
      <c r="AF46" s="87">
        <f>(AB46-AD46)/AB46</f>
        <v>0.14201183431952663</v>
      </c>
      <c r="AG46" s="297">
        <v>900000</v>
      </c>
      <c r="AH46" s="88">
        <f t="shared" si="155"/>
        <v>0.53254437869822491</v>
      </c>
      <c r="AI46" s="115"/>
      <c r="AJ46" s="296">
        <v>1690000</v>
      </c>
      <c r="AK46" s="297">
        <v>240000</v>
      </c>
      <c r="AL46" s="297">
        <v>1450000</v>
      </c>
      <c r="AM46" s="297">
        <v>1450000</v>
      </c>
      <c r="AN46" s="87">
        <f>(AJ46-AL46)/AJ46</f>
        <v>0.14201183431952663</v>
      </c>
      <c r="AO46" s="297">
        <v>0</v>
      </c>
      <c r="AP46" s="88">
        <f t="shared" si="180"/>
        <v>0</v>
      </c>
      <c r="AQ46" s="115"/>
      <c r="AR46" s="294">
        <v>1430000</v>
      </c>
      <c r="AS46" s="295">
        <v>220000</v>
      </c>
      <c r="AT46" s="295">
        <v>1210000</v>
      </c>
      <c r="AU46" s="295">
        <v>1210000</v>
      </c>
      <c r="AV46" s="73">
        <f>(AR46-AT46)/AR46</f>
        <v>0.15384615384615385</v>
      </c>
      <c r="AW46" s="297">
        <v>0</v>
      </c>
      <c r="AX46" s="74">
        <f t="shared" si="158"/>
        <v>0</v>
      </c>
      <c r="AY46" s="115"/>
      <c r="AZ46" s="301">
        <v>130000</v>
      </c>
      <c r="BA46" s="302">
        <f>AZ46-BB46</f>
        <v>20000</v>
      </c>
      <c r="BB46" s="302">
        <v>110000</v>
      </c>
      <c r="BC46" s="302">
        <v>110000</v>
      </c>
      <c r="BD46" s="73">
        <f>(AZ46-BB46)/AZ46</f>
        <v>0.15384615384615385</v>
      </c>
      <c r="BE46" s="300">
        <v>550000</v>
      </c>
      <c r="BF46" s="74">
        <f t="shared" si="159"/>
        <v>4.2307692307692308</v>
      </c>
      <c r="BG46" s="115"/>
      <c r="BH46" s="294">
        <v>130000</v>
      </c>
      <c r="BI46" s="295">
        <v>20000</v>
      </c>
      <c r="BJ46" s="295">
        <v>110000</v>
      </c>
      <c r="BK46" s="295">
        <v>110000</v>
      </c>
      <c r="BL46" s="73">
        <f>(BH46-BJ46)/BH46</f>
        <v>0.15384615384615385</v>
      </c>
      <c r="BM46" s="295">
        <v>0</v>
      </c>
      <c r="BN46" s="74">
        <f t="shared" si="160"/>
        <v>0</v>
      </c>
      <c r="BO46" s="220">
        <f t="shared" si="174"/>
        <v>15400.000000000002</v>
      </c>
      <c r="BP46" s="115"/>
      <c r="BQ46" s="297">
        <v>130000</v>
      </c>
      <c r="BR46" s="297">
        <v>20000</v>
      </c>
      <c r="BS46" s="297">
        <v>110000</v>
      </c>
      <c r="BT46" s="297">
        <v>110000</v>
      </c>
      <c r="BU46" s="73">
        <f>(BQ46-BS46)/BQ46</f>
        <v>0.15384615384615385</v>
      </c>
      <c r="BV46" s="297">
        <v>55000</v>
      </c>
      <c r="BW46" s="74">
        <f t="shared" si="162"/>
        <v>0.42307692307692307</v>
      </c>
      <c r="BX46" s="359">
        <f t="shared" si="176"/>
        <v>15400.000000000002</v>
      </c>
      <c r="BY46" s="115"/>
      <c r="BZ46" s="297">
        <v>1800000</v>
      </c>
      <c r="CA46" s="297">
        <v>250000</v>
      </c>
      <c r="CB46" s="297">
        <v>1550000</v>
      </c>
      <c r="CC46" s="297">
        <v>1550000</v>
      </c>
      <c r="CD46" s="73">
        <f>(BZ46-CB46)/BZ46</f>
        <v>0.1388888888888889</v>
      </c>
      <c r="CE46" s="297">
        <v>0</v>
      </c>
      <c r="CF46" s="74">
        <f t="shared" si="163"/>
        <v>0</v>
      </c>
      <c r="CG46" s="359">
        <f t="shared" si="177"/>
        <v>217000.00000000003</v>
      </c>
      <c r="CH46" s="115"/>
      <c r="CI46" s="131"/>
      <c r="CJ46" s="132"/>
      <c r="CK46" s="132"/>
      <c r="CL46" s="132"/>
      <c r="CM46" s="133" t="e">
        <f>(CI46-CK46)/CI46</f>
        <v>#DIV/0!</v>
      </c>
      <c r="CN46" s="134"/>
      <c r="CO46" s="135" t="e">
        <f t="shared" si="164"/>
        <v>#DIV/0!</v>
      </c>
      <c r="CP46" s="115"/>
      <c r="CQ46" s="131"/>
      <c r="CR46" s="132"/>
      <c r="CS46" s="132"/>
      <c r="CT46" s="132"/>
      <c r="CU46" s="133" t="e">
        <f>(CQ46-CS46)/CQ46</f>
        <v>#DIV/0!</v>
      </c>
      <c r="CV46" s="134"/>
      <c r="CW46" s="135" t="e">
        <f t="shared" si="165"/>
        <v>#DIV/0!</v>
      </c>
      <c r="CX46" s="115"/>
      <c r="CY46" s="131"/>
      <c r="CZ46" s="132"/>
      <c r="DA46" s="132"/>
      <c r="DB46" s="132"/>
      <c r="DC46" s="133" t="e">
        <f>(CY46-DA46)/CY46</f>
        <v>#DIV/0!</v>
      </c>
      <c r="DD46" s="134"/>
      <c r="DE46" s="135" t="e">
        <f t="shared" si="166"/>
        <v>#DIV/0!</v>
      </c>
      <c r="DF46" s="6"/>
      <c r="DG46" s="353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</row>
    <row r="47" spans="1:135" s="7" customFormat="1" ht="13" customHeight="1">
      <c r="A47" s="396"/>
      <c r="B47" s="70" t="s">
        <v>17</v>
      </c>
      <c r="C47" s="295">
        <f t="shared" si="178"/>
        <v>2175000</v>
      </c>
      <c r="D47" s="295">
        <f t="shared" si="178"/>
        <v>375000</v>
      </c>
      <c r="E47" s="295">
        <f t="shared" si="178"/>
        <v>1800000</v>
      </c>
      <c r="F47" s="295">
        <f t="shared" si="178"/>
        <v>1800000</v>
      </c>
      <c r="G47" s="14">
        <f>D47/C47</f>
        <v>0.17241379310344829</v>
      </c>
      <c r="H47" s="295">
        <f>SUM(Q47,Y47,AG47,AO47,AW47,BE47,BM47,BV47,CE47,CN47,CV47,DD47)</f>
        <v>0</v>
      </c>
      <c r="I47" s="14">
        <f>H47/C47</f>
        <v>0</v>
      </c>
      <c r="J47" s="220">
        <f>F47*$A$49</f>
        <v>252000.00000000003</v>
      </c>
      <c r="K47" s="115"/>
      <c r="L47" s="294">
        <v>175000</v>
      </c>
      <c r="M47" s="295">
        <v>175000</v>
      </c>
      <c r="N47" s="295">
        <v>0</v>
      </c>
      <c r="O47" s="295">
        <f>N47</f>
        <v>0</v>
      </c>
      <c r="P47" s="73">
        <f t="shared" si="151"/>
        <v>1</v>
      </c>
      <c r="Q47" s="295">
        <v>0</v>
      </c>
      <c r="R47" s="74" t="e">
        <f>#REF!/L47</f>
        <v>#REF!</v>
      </c>
      <c r="S47" s="115"/>
      <c r="T47" s="294">
        <v>0</v>
      </c>
      <c r="U47" s="295">
        <v>0</v>
      </c>
      <c r="V47" s="295">
        <v>0</v>
      </c>
      <c r="W47" s="295">
        <v>0</v>
      </c>
      <c r="X47" s="73" t="e">
        <f>(T47-V47)/T47</f>
        <v>#DIV/0!</v>
      </c>
      <c r="Y47" s="297">
        <v>0</v>
      </c>
      <c r="Z47" s="74" t="e">
        <f t="shared" si="153"/>
        <v>#DIV/0!</v>
      </c>
      <c r="AA47" s="115"/>
      <c r="AB47" s="296">
        <v>1050000</v>
      </c>
      <c r="AC47" s="297">
        <f t="shared" si="154"/>
        <v>150000</v>
      </c>
      <c r="AD47" s="297">
        <v>900000</v>
      </c>
      <c r="AE47" s="297">
        <v>900000</v>
      </c>
      <c r="AF47" s="87">
        <f>(AB47-AD47)/AB47</f>
        <v>0.14285714285714285</v>
      </c>
      <c r="AG47" s="297">
        <v>0</v>
      </c>
      <c r="AH47" s="88">
        <f t="shared" si="155"/>
        <v>0</v>
      </c>
      <c r="AI47" s="115"/>
      <c r="AJ47" s="296">
        <v>0</v>
      </c>
      <c r="AK47" s="297">
        <v>0</v>
      </c>
      <c r="AL47" s="297">
        <v>0</v>
      </c>
      <c r="AM47" s="297">
        <v>0</v>
      </c>
      <c r="AN47" s="87" t="e">
        <f>(AJ47-AL47)/AJ47</f>
        <v>#DIV/0!</v>
      </c>
      <c r="AO47" s="297">
        <v>0</v>
      </c>
      <c r="AP47" s="88" t="e">
        <f t="shared" si="180"/>
        <v>#DIV/0!</v>
      </c>
      <c r="AQ47" s="115"/>
      <c r="AR47" s="294">
        <v>0</v>
      </c>
      <c r="AS47" s="295">
        <v>0</v>
      </c>
      <c r="AT47" s="295">
        <v>0</v>
      </c>
      <c r="AU47" s="295">
        <v>0</v>
      </c>
      <c r="AV47" s="73" t="e">
        <f>(AR47-AT47)/AR47</f>
        <v>#DIV/0!</v>
      </c>
      <c r="AW47" s="297">
        <v>0</v>
      </c>
      <c r="AX47" s="74" t="e">
        <f t="shared" si="158"/>
        <v>#DIV/0!</v>
      </c>
      <c r="AY47" s="115"/>
      <c r="AZ47" s="301">
        <v>0</v>
      </c>
      <c r="BA47" s="302">
        <v>0</v>
      </c>
      <c r="BB47" s="302">
        <v>0</v>
      </c>
      <c r="BC47" s="302">
        <v>0</v>
      </c>
      <c r="BD47" s="73" t="e">
        <f>(AZ47-BB47)/AZ47</f>
        <v>#DIV/0!</v>
      </c>
      <c r="BE47" s="300">
        <v>0</v>
      </c>
      <c r="BF47" s="74" t="e">
        <f t="shared" si="159"/>
        <v>#DIV/0!</v>
      </c>
      <c r="BG47" s="115"/>
      <c r="BH47" s="294">
        <v>0</v>
      </c>
      <c r="BI47" s="295">
        <v>0</v>
      </c>
      <c r="BJ47" s="295">
        <v>0</v>
      </c>
      <c r="BK47" s="298">
        <v>0</v>
      </c>
      <c r="BL47" s="299" t="e">
        <f>(BH47-BJ47)/BH47</f>
        <v>#DIV/0!</v>
      </c>
      <c r="BM47" s="298">
        <v>0</v>
      </c>
      <c r="BN47" s="74" t="e">
        <f t="shared" si="160"/>
        <v>#DIV/0!</v>
      </c>
      <c r="BO47" s="220">
        <f t="shared" si="174"/>
        <v>0</v>
      </c>
      <c r="BP47" s="115"/>
      <c r="BQ47" s="131"/>
      <c r="BR47" s="132"/>
      <c r="BS47" s="364"/>
      <c r="BT47" s="364"/>
      <c r="BU47" s="73" t="e">
        <f>(BQ47-BS47)/BQ47</f>
        <v>#DIV/0!</v>
      </c>
      <c r="BV47" s="365"/>
      <c r="BW47" s="74" t="e">
        <f t="shared" si="162"/>
        <v>#DIV/0!</v>
      </c>
      <c r="BX47" s="359">
        <f t="shared" si="176"/>
        <v>0</v>
      </c>
      <c r="BY47" s="115"/>
      <c r="BZ47" s="297">
        <v>950000</v>
      </c>
      <c r="CA47" s="297">
        <v>50000</v>
      </c>
      <c r="CB47" s="297">
        <v>900000</v>
      </c>
      <c r="CC47" s="297">
        <v>900000</v>
      </c>
      <c r="CD47" s="73">
        <f>(BZ47-CB47)/BZ47</f>
        <v>5.2631578947368418E-2</v>
      </c>
      <c r="CE47" s="297">
        <v>0</v>
      </c>
      <c r="CF47" s="74">
        <f t="shared" si="163"/>
        <v>0</v>
      </c>
      <c r="CG47" s="359">
        <f t="shared" si="177"/>
        <v>126000.00000000001</v>
      </c>
      <c r="CH47" s="115"/>
      <c r="CI47" s="131"/>
      <c r="CJ47" s="132"/>
      <c r="CK47" s="132"/>
      <c r="CL47" s="132"/>
      <c r="CM47" s="133" t="e">
        <f>(CI47-CK47)/CI47</f>
        <v>#DIV/0!</v>
      </c>
      <c r="CN47" s="134"/>
      <c r="CO47" s="135" t="e">
        <f t="shared" si="164"/>
        <v>#DIV/0!</v>
      </c>
      <c r="CP47" s="115"/>
      <c r="CQ47" s="131"/>
      <c r="CR47" s="132"/>
      <c r="CS47" s="132"/>
      <c r="CT47" s="132"/>
      <c r="CU47" s="133" t="e">
        <f>(CQ47-CS47)/CQ47</f>
        <v>#DIV/0!</v>
      </c>
      <c r="CV47" s="134"/>
      <c r="CW47" s="135" t="e">
        <f t="shared" si="165"/>
        <v>#DIV/0!</v>
      </c>
      <c r="CX47" s="115"/>
      <c r="CY47" s="131"/>
      <c r="CZ47" s="132"/>
      <c r="DA47" s="132"/>
      <c r="DB47" s="132"/>
      <c r="DC47" s="133" t="e">
        <f>(CY47-DA47)/CY47</f>
        <v>#DIV/0!</v>
      </c>
      <c r="DD47" s="134"/>
      <c r="DE47" s="135" t="e">
        <f t="shared" si="166"/>
        <v>#DIV/0!</v>
      </c>
      <c r="DF47" s="6"/>
      <c r="DG47" s="353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</row>
    <row r="48" spans="1:135" s="2" customFormat="1" ht="13" customHeight="1">
      <c r="A48" s="396"/>
      <c r="B48" s="193" t="s">
        <v>18</v>
      </c>
      <c r="C48" s="305">
        <f>SUM(C34,C37:C47)</f>
        <v>66991513.359999999</v>
      </c>
      <c r="D48" s="305">
        <f t="shared" ref="D48:E48" si="192">SUM(D34,D37:D47)</f>
        <v>16768939</v>
      </c>
      <c r="E48" s="305">
        <f t="shared" si="192"/>
        <v>55450574.260000005</v>
      </c>
      <c r="F48" s="305">
        <f>SUM(F34,F37:F47)</f>
        <v>55450574.260000005</v>
      </c>
      <c r="G48" s="15">
        <f>D48/C48</f>
        <v>0.25031437803004725</v>
      </c>
      <c r="H48" s="305">
        <f>SUM(H34:H47)</f>
        <v>6761000</v>
      </c>
      <c r="I48" s="15">
        <f>H48/C48</f>
        <v>0.10092323133032742</v>
      </c>
      <c r="J48" s="221" t="b">
        <f>J49=F49</f>
        <v>1</v>
      </c>
      <c r="K48" s="116"/>
      <c r="L48" s="304">
        <f>SUM(L34:L47)</f>
        <v>7279972.7999999998</v>
      </c>
      <c r="M48" s="305">
        <f>SUM(M34:M47)</f>
        <v>967800</v>
      </c>
      <c r="N48" s="305">
        <f>SUM(N34:N47)</f>
        <v>6312172.7999999998</v>
      </c>
      <c r="O48" s="305">
        <f>SUM(O34:O47)</f>
        <v>6312172.7999999998</v>
      </c>
      <c r="P48" s="15">
        <f>(L48-O48)/L48</f>
        <v>0.13294005713867502</v>
      </c>
      <c r="Q48" s="305">
        <f>SUM(Q34:Q47)</f>
        <v>225000</v>
      </c>
      <c r="R48" s="83">
        <f t="shared" ref="R48:R76" si="193">Q48/L48</f>
        <v>3.0906708882209012E-2</v>
      </c>
      <c r="S48" s="116"/>
      <c r="T48" s="105">
        <f>SUM(T34:T47)</f>
        <v>12565580.199999999</v>
      </c>
      <c r="U48" s="106">
        <f>SUM(U34:U47)</f>
        <v>1789203</v>
      </c>
      <c r="V48" s="106">
        <f>SUM(V34:V47)</f>
        <v>10776377.1</v>
      </c>
      <c r="W48" s="106">
        <f>SUM(W34:W47)</f>
        <v>10776377.1</v>
      </c>
      <c r="X48" s="15">
        <f>(T48-W48)/T48</f>
        <v>0.14238921494448778</v>
      </c>
      <c r="Y48" s="106">
        <f>SUM(Y34:Y47)</f>
        <v>451000</v>
      </c>
      <c r="Z48" s="83">
        <f t="shared" ref="Z48:Z76" si="194">Y48/T48</f>
        <v>3.5891697225409455E-2</v>
      </c>
      <c r="AA48" s="116"/>
      <c r="AB48" s="105">
        <f>SUM(AB34:AB47)</f>
        <v>13778086.5</v>
      </c>
      <c r="AC48" s="106">
        <f>SUM(AC34:AC47)</f>
        <v>2341662</v>
      </c>
      <c r="AD48" s="106">
        <f>SUM(AD34:AD47)</f>
        <v>11436424.5</v>
      </c>
      <c r="AE48" s="106">
        <f>SUM(AE34:AE47)</f>
        <v>11436424.5</v>
      </c>
      <c r="AF48" s="15">
        <f>(AB48-AE48)/AB48</f>
        <v>0.16995553047224662</v>
      </c>
      <c r="AG48" s="106">
        <f>SUM(AG34:AG47)</f>
        <v>900000</v>
      </c>
      <c r="AH48" s="83">
        <f t="shared" ref="AH48:AH76" si="195">AG48/AB48</f>
        <v>6.5321116978036095E-2</v>
      </c>
      <c r="AI48" s="116"/>
      <c r="AJ48" s="105">
        <f>SUM(AJ34:AJ47)</f>
        <v>7176966.9399999995</v>
      </c>
      <c r="AK48" s="106">
        <f>SUM(AK34:AK47)</f>
        <v>1020631</v>
      </c>
      <c r="AL48" s="106">
        <f>SUM(AL34:AL47)</f>
        <v>6156335.9399999995</v>
      </c>
      <c r="AM48" s="106">
        <f>SUM(AM34:AM47)</f>
        <v>6156335.9399999995</v>
      </c>
      <c r="AN48" s="15">
        <f>(AJ48-AM48)/AJ48</f>
        <v>0.14220923804338997</v>
      </c>
      <c r="AO48" s="106">
        <f>SUM(AO34:AO47)</f>
        <v>0</v>
      </c>
      <c r="AP48" s="83">
        <f t="shared" si="180"/>
        <v>0</v>
      </c>
      <c r="AQ48" s="116"/>
      <c r="AR48" s="105">
        <f>SUM(AR34:AR47)</f>
        <v>3458788.99</v>
      </c>
      <c r="AS48" s="106">
        <f>SUM(AS34:AS47)</f>
        <v>220000</v>
      </c>
      <c r="AT48" s="106">
        <f>SUM(AT34:AT47)</f>
        <v>3238788.99</v>
      </c>
      <c r="AU48" s="106">
        <f>SUM(AU34:AU47)</f>
        <v>3238788.99</v>
      </c>
      <c r="AV48" s="15">
        <f>(AR48-AU48)/AR48</f>
        <v>6.3606077339803252E-2</v>
      </c>
      <c r="AW48" s="106">
        <f>SUM(AW34:AW47)</f>
        <v>0</v>
      </c>
      <c r="AX48" s="83">
        <f t="shared" ref="AX48:AX84" si="196">AW48/AR48</f>
        <v>0</v>
      </c>
      <c r="AY48" s="116"/>
      <c r="AZ48" s="93">
        <f>SUM(AZ34:AZ47)</f>
        <v>2025787.32</v>
      </c>
      <c r="BA48" s="94">
        <f>SUM(BA34:BA47)</f>
        <v>20000</v>
      </c>
      <c r="BB48" s="94">
        <f>SUM(BB34:BB47)</f>
        <v>2005787.32</v>
      </c>
      <c r="BC48" s="94">
        <f>SUM(BC34:BC47)</f>
        <v>2005787.32</v>
      </c>
      <c r="BD48" s="15">
        <f>(AZ48-BC48)/AZ48</f>
        <v>9.872704702288293E-3</v>
      </c>
      <c r="BE48" s="106">
        <f>SUM(BE34:BE47)</f>
        <v>550000</v>
      </c>
      <c r="BF48" s="83">
        <f t="shared" ref="BF48:BF84" si="197">BE48/AZ48</f>
        <v>0.27149937931292806</v>
      </c>
      <c r="BG48" s="116"/>
      <c r="BH48" s="105">
        <f>SUM(BH34,BH37:BH47)</f>
        <v>4587081.87</v>
      </c>
      <c r="BI48" s="106">
        <f t="shared" ref="BI48:BK48" si="198">SUM(BI34,BI37:BI47)</f>
        <v>208253</v>
      </c>
      <c r="BJ48" s="285">
        <f t="shared" si="198"/>
        <v>4378828.87</v>
      </c>
      <c r="BK48" s="289">
        <f t="shared" si="198"/>
        <v>4378828.87</v>
      </c>
      <c r="BL48" s="290">
        <f>(BH48-BK48)/BH48</f>
        <v>4.5399887314415861E-2</v>
      </c>
      <c r="BM48" s="291">
        <f>SUM(BM34,BM37:BM47)</f>
        <v>30000</v>
      </c>
      <c r="BN48" s="286">
        <f t="shared" ref="BN48:BN84" si="199">BM48/BH48</f>
        <v>6.540105638009901E-3</v>
      </c>
      <c r="BO48" s="221" t="b">
        <f>BO49=BK49</f>
        <v>1</v>
      </c>
      <c r="BP48" s="116"/>
      <c r="BQ48" s="342">
        <f>SUM(BQ34:BQ35,BQ44:BQ47)</f>
        <v>8813387.9400000013</v>
      </c>
      <c r="BR48" s="342">
        <f t="shared" ref="BR48:BS48" si="200">SUM(BR34:BR35,BR44:BR47)</f>
        <v>491610</v>
      </c>
      <c r="BS48" s="342">
        <f t="shared" si="200"/>
        <v>8321777.9400000004</v>
      </c>
      <c r="BT48" s="342">
        <f>SUM(BT34:BT35,BT44:BT47)</f>
        <v>8321777.9400000004</v>
      </c>
      <c r="BU48" s="343">
        <f>(BQ48-BT48)/BQ48</f>
        <v>5.5779911578475332E-2</v>
      </c>
      <c r="BV48" s="342">
        <f>SUM(BV34:BV47)</f>
        <v>105000</v>
      </c>
      <c r="BW48" s="344">
        <f t="shared" ref="BW48:BW84" si="201">BV48/BQ48</f>
        <v>1.191369320343341E-2</v>
      </c>
      <c r="BX48" s="221" t="b">
        <f>BX49=BT49</f>
        <v>1</v>
      </c>
      <c r="BY48" s="116"/>
      <c r="BZ48" s="342">
        <f>SUM(BZ34:BZ47)</f>
        <v>18570389.030000001</v>
      </c>
      <c r="CA48" s="342">
        <f>SUM(CA34:CA47)</f>
        <v>9709780</v>
      </c>
      <c r="CB48" s="342">
        <f>SUM(CB34:CB47)</f>
        <v>14088609.030000001</v>
      </c>
      <c r="CC48" s="342">
        <f>SUM(CC34:CC47)</f>
        <v>14088609.030000001</v>
      </c>
      <c r="CD48" s="15">
        <f>(BZ48-CC48)/BZ48</f>
        <v>0.24134012447234121</v>
      </c>
      <c r="CE48" s="342">
        <f>SUM(CE34:CE47)</f>
        <v>4500000</v>
      </c>
      <c r="CF48" s="83">
        <f t="shared" ref="CF48:CF84" si="202">CE48/BZ48</f>
        <v>0.24232125631457488</v>
      </c>
      <c r="CG48" s="221" t="b">
        <f>CG49=CC49</f>
        <v>1</v>
      </c>
      <c r="CH48" s="116"/>
      <c r="CI48" s="186">
        <f>SUM(CI34:CI47)</f>
        <v>0</v>
      </c>
      <c r="CJ48" s="184">
        <f>SUM(CJ34:CJ47)</f>
        <v>0</v>
      </c>
      <c r="CK48" s="184">
        <f>SUM(CK34:CK47)</f>
        <v>0</v>
      </c>
      <c r="CL48" s="184">
        <f>SUM(CL34:CL47)</f>
        <v>0</v>
      </c>
      <c r="CM48" s="15" t="e">
        <f>(CI48-CL48)/CI48</f>
        <v>#DIV/0!</v>
      </c>
      <c r="CN48" s="184">
        <f>SUM(CN34:CN47)</f>
        <v>0</v>
      </c>
      <c r="CO48" s="83" t="e">
        <f t="shared" ref="CO48:CO84" si="203">CN48/CI48</f>
        <v>#DIV/0!</v>
      </c>
      <c r="CP48" s="116"/>
      <c r="CQ48" s="186">
        <f>SUM(CQ34:CQ47)</f>
        <v>0</v>
      </c>
      <c r="CR48" s="184">
        <f>SUM(CR34:CR47)</f>
        <v>0</v>
      </c>
      <c r="CS48" s="184">
        <f>SUM(CS34:CS47)</f>
        <v>0</v>
      </c>
      <c r="CT48" s="184">
        <f>SUM(CT34:CT47)</f>
        <v>0</v>
      </c>
      <c r="CU48" s="15" t="e">
        <f>(CQ48-CT48)/CQ48</f>
        <v>#DIV/0!</v>
      </c>
      <c r="CV48" s="184">
        <f>SUM(CV34:CV47)</f>
        <v>0</v>
      </c>
      <c r="CW48" s="83" t="e">
        <f t="shared" ref="CW48:CW84" si="204">CV48/CQ48</f>
        <v>#DIV/0!</v>
      </c>
      <c r="CX48" s="116"/>
      <c r="CY48" s="186">
        <f>SUM(CY34:CY47)</f>
        <v>0</v>
      </c>
      <c r="CZ48" s="184">
        <f>SUM(CZ34:CZ47)</f>
        <v>0</v>
      </c>
      <c r="DA48" s="184">
        <f>SUM(DA34:DA47)</f>
        <v>0</v>
      </c>
      <c r="DB48" s="184">
        <f>SUM(DB34:DB47)</f>
        <v>0</v>
      </c>
      <c r="DC48" s="15" t="e">
        <f>(CY48-DB48)/CY48</f>
        <v>#DIV/0!</v>
      </c>
      <c r="DD48" s="184">
        <f>SUM(DD34:DD47)</f>
        <v>0</v>
      </c>
      <c r="DE48" s="83" t="e">
        <f t="shared" ref="DE48:DE84" si="205">DD48/CY48</f>
        <v>#DIV/0!</v>
      </c>
      <c r="DF48" s="1"/>
      <c r="DG48" s="35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</row>
    <row r="49" spans="1:135" s="22" customFormat="1" ht="13" customHeight="1">
      <c r="A49" s="214">
        <v>0.14000000000000001</v>
      </c>
      <c r="B49" s="191" t="s">
        <v>19</v>
      </c>
      <c r="C49" s="212">
        <f>C48*$A$49</f>
        <v>9378811.8704000004</v>
      </c>
      <c r="D49" s="212">
        <f t="shared" ref="D49:E49" si="206">D48*$A$49</f>
        <v>2347651.4600000004</v>
      </c>
      <c r="E49" s="212">
        <f t="shared" si="206"/>
        <v>7763080.3964000018</v>
      </c>
      <c r="F49" s="212">
        <f>F48*$A$49</f>
        <v>7763080.3964000018</v>
      </c>
      <c r="G49" s="181"/>
      <c r="H49" s="213">
        <f>H48*A49</f>
        <v>946540.00000000012</v>
      </c>
      <c r="I49" s="181"/>
      <c r="J49" s="217">
        <f>SUM(J34:J47)-J35</f>
        <v>7763080.396399999</v>
      </c>
      <c r="K49" s="112"/>
      <c r="L49" s="245">
        <f>L48*$A$49</f>
        <v>1019196.192</v>
      </c>
      <c r="M49" s="213">
        <f>M48*$A$49</f>
        <v>135492</v>
      </c>
      <c r="N49" s="213">
        <f>N48*$A$49</f>
        <v>883704.19200000004</v>
      </c>
      <c r="O49" s="213">
        <f>O48*$A$49</f>
        <v>883704.19200000004</v>
      </c>
      <c r="P49" s="243"/>
      <c r="Q49" s="213">
        <f>Q48*$A$49</f>
        <v>31500.000000000004</v>
      </c>
      <c r="R49" s="246"/>
      <c r="S49" s="112"/>
      <c r="T49" s="245">
        <f>T48*$A$49</f>
        <v>1759181.2280000001</v>
      </c>
      <c r="U49" s="213">
        <f t="shared" ref="U49" si="207">U48*$A$49</f>
        <v>250488.42</v>
      </c>
      <c r="V49" s="213">
        <f t="shared" ref="V49" si="208">V48*$A$49</f>
        <v>1508692.794</v>
      </c>
      <c r="W49" s="213">
        <f t="shared" ref="W49" si="209">W48*$A$49</f>
        <v>1508692.794</v>
      </c>
      <c r="X49" s="243"/>
      <c r="Y49" s="213">
        <f>Y48*R49</f>
        <v>0</v>
      </c>
      <c r="Z49" s="246"/>
      <c r="AA49" s="112"/>
      <c r="AB49" s="245">
        <f>AB48*$A$49</f>
        <v>1928932.11</v>
      </c>
      <c r="AC49" s="213">
        <f t="shared" ref="AC49" si="210">AC48*$A$49</f>
        <v>327832.68000000005</v>
      </c>
      <c r="AD49" s="213">
        <f t="shared" ref="AD49" si="211">AD48*$A$49</f>
        <v>1601099.4300000002</v>
      </c>
      <c r="AE49" s="213">
        <f t="shared" ref="AE49" si="212">AE48*$A$49</f>
        <v>1601099.4300000002</v>
      </c>
      <c r="AF49" s="243"/>
      <c r="AG49" s="213">
        <f>AG48*Z49</f>
        <v>0</v>
      </c>
      <c r="AH49" s="246"/>
      <c r="AI49" s="112"/>
      <c r="AJ49" s="245">
        <f>AJ48*$A$49</f>
        <v>1004775.3716000001</v>
      </c>
      <c r="AK49" s="213">
        <f t="shared" ref="AK49" si="213">AK48*$A$49</f>
        <v>142888.34000000003</v>
      </c>
      <c r="AL49" s="213">
        <f t="shared" ref="AL49" si="214">AL48*$A$49</f>
        <v>861887.03159999999</v>
      </c>
      <c r="AM49" s="213">
        <f t="shared" ref="AM49" si="215">AM48*$A$49</f>
        <v>861887.03159999999</v>
      </c>
      <c r="AN49" s="243"/>
      <c r="AO49" s="213">
        <f>AO48*AH49</f>
        <v>0</v>
      </c>
      <c r="AP49" s="246"/>
      <c r="AQ49" s="112"/>
      <c r="AR49" s="245">
        <f>AR48*$A$49</f>
        <v>484230.45860000007</v>
      </c>
      <c r="AS49" s="213">
        <f t="shared" ref="AS49" si="216">AS48*$A$49</f>
        <v>30800.000000000004</v>
      </c>
      <c r="AT49" s="213">
        <f t="shared" ref="AT49" si="217">AT48*$A$49</f>
        <v>453430.45860000007</v>
      </c>
      <c r="AU49" s="213">
        <f t="shared" ref="AU49" si="218">AU48*$A$49</f>
        <v>453430.45860000007</v>
      </c>
      <c r="AV49" s="243"/>
      <c r="AW49" s="213">
        <f>AW48*AP49</f>
        <v>0</v>
      </c>
      <c r="AX49" s="246"/>
      <c r="AY49" s="112"/>
      <c r="AZ49" s="245">
        <f>AZ48*$A$49</f>
        <v>283610.22480000003</v>
      </c>
      <c r="BA49" s="213">
        <f t="shared" ref="BA49" si="219">BA48*$A$49</f>
        <v>2800.0000000000005</v>
      </c>
      <c r="BB49" s="213">
        <f t="shared" ref="BB49" si="220">BB48*$A$49</f>
        <v>280810.22480000003</v>
      </c>
      <c r="BC49" s="213">
        <f t="shared" ref="BC49" si="221">BC48*$A$49</f>
        <v>280810.22480000003</v>
      </c>
      <c r="BD49" s="243"/>
      <c r="BE49" s="213">
        <f>BE48*AX49</f>
        <v>0</v>
      </c>
      <c r="BF49" s="246"/>
      <c r="BG49" s="112"/>
      <c r="BH49" s="245">
        <f>BH48*$A$49</f>
        <v>642191.46180000005</v>
      </c>
      <c r="BI49" s="213">
        <f>BI48*$A$49</f>
        <v>29155.420000000002</v>
      </c>
      <c r="BJ49" s="213">
        <f t="shared" ref="BJ49" si="222">BJ48*$A$49</f>
        <v>613036.04180000012</v>
      </c>
      <c r="BK49" s="287">
        <f>BK48*$A$49</f>
        <v>613036.04180000012</v>
      </c>
      <c r="BL49" s="288"/>
      <c r="BM49" s="287">
        <f>BM48*A49</f>
        <v>4200</v>
      </c>
      <c r="BN49" s="246"/>
      <c r="BO49" s="217">
        <f>SUM(BO34,BO37:BO47)</f>
        <v>613036.04180000001</v>
      </c>
      <c r="BP49" s="112"/>
      <c r="BQ49" s="245">
        <f>BQ48*$A$49</f>
        <v>1233874.3116000004</v>
      </c>
      <c r="BR49" s="213">
        <f t="shared" ref="BR49" si="223">BR48*$A$49</f>
        <v>68825.400000000009</v>
      </c>
      <c r="BS49" s="213">
        <f>BS48*$A$49</f>
        <v>1165048.9116000002</v>
      </c>
      <c r="BT49" s="213">
        <f>BT48*$A$49</f>
        <v>1165048.9116000002</v>
      </c>
      <c r="BU49" s="243"/>
      <c r="BV49" s="213">
        <f>BV48*A49</f>
        <v>14700.000000000002</v>
      </c>
      <c r="BW49" s="246"/>
      <c r="BX49" s="217">
        <f>SUM(BX34,BX37:BX47)</f>
        <v>1165048.9116</v>
      </c>
      <c r="BY49" s="112"/>
      <c r="BZ49" s="245">
        <f>BZ48*$A$49</f>
        <v>2599854.4642000003</v>
      </c>
      <c r="CA49" s="213">
        <f t="shared" ref="CA49" si="224">CA48*$A$49</f>
        <v>1359369.2000000002</v>
      </c>
      <c r="CB49" s="213">
        <f t="shared" ref="CB49" si="225">CB48*$A$49</f>
        <v>1972405.2642000003</v>
      </c>
      <c r="CC49" s="213">
        <f t="shared" ref="CC49" si="226">CC48*$A$49</f>
        <v>1972405.2642000003</v>
      </c>
      <c r="CD49" s="243"/>
      <c r="CE49" s="213">
        <f>CE48*A49</f>
        <v>630000.00000000012</v>
      </c>
      <c r="CF49" s="246"/>
      <c r="CG49" s="217">
        <f>SUM(CG34,CG37:CG47)</f>
        <v>1972405.2642000001</v>
      </c>
      <c r="CH49" s="112"/>
      <c r="CI49" s="245">
        <f>CI48*$A$49</f>
        <v>0</v>
      </c>
      <c r="CJ49" s="213">
        <f t="shared" ref="CJ49" si="227">CJ48*$A$49</f>
        <v>0</v>
      </c>
      <c r="CK49" s="213">
        <f t="shared" ref="CK49" si="228">CK48*$A$49</f>
        <v>0</v>
      </c>
      <c r="CL49" s="213">
        <f t="shared" ref="CL49" si="229">CL48*$A$49</f>
        <v>0</v>
      </c>
      <c r="CM49" s="243"/>
      <c r="CN49" s="213">
        <f>CN48*CF49</f>
        <v>0</v>
      </c>
      <c r="CO49" s="246"/>
      <c r="CP49" s="112"/>
      <c r="CQ49" s="245">
        <f>CQ48*$A$49</f>
        <v>0</v>
      </c>
      <c r="CR49" s="213">
        <f t="shared" ref="CR49" si="230">CR48*$A$49</f>
        <v>0</v>
      </c>
      <c r="CS49" s="213">
        <f t="shared" ref="CS49" si="231">CS48*$A$49</f>
        <v>0</v>
      </c>
      <c r="CT49" s="213">
        <f t="shared" ref="CT49" si="232">CT48*$A$49</f>
        <v>0</v>
      </c>
      <c r="CU49" s="243"/>
      <c r="CV49" s="213">
        <f>CV48*CO49</f>
        <v>0</v>
      </c>
      <c r="CW49" s="246"/>
      <c r="CX49" s="112"/>
      <c r="CY49" s="245">
        <f>CY48*$A$49</f>
        <v>0</v>
      </c>
      <c r="CZ49" s="213">
        <f t="shared" ref="CZ49" si="233">CZ48*$A$49</f>
        <v>0</v>
      </c>
      <c r="DA49" s="213">
        <f t="shared" ref="DA49" si="234">DA48*$A$49</f>
        <v>0</v>
      </c>
      <c r="DB49" s="213">
        <f t="shared" ref="DB49" si="235">DB48*$A$49</f>
        <v>0</v>
      </c>
      <c r="DC49" s="243"/>
      <c r="DD49" s="213">
        <f>DD48*CW49</f>
        <v>0</v>
      </c>
      <c r="DE49" s="246"/>
      <c r="DF49" s="8"/>
      <c r="DG49" s="351"/>
      <c r="DH49" s="8"/>
      <c r="DI49" s="8"/>
      <c r="DJ49" s="8"/>
      <c r="DK49" s="8"/>
      <c r="DL49" s="8"/>
      <c r="DM49" s="8"/>
      <c r="DN49" s="8"/>
      <c r="DO49" s="8"/>
      <c r="DP49" s="8"/>
      <c r="DQ49" s="8"/>
      <c r="DR49" s="8"/>
      <c r="DS49" s="8"/>
      <c r="DT49" s="8"/>
      <c r="DU49" s="8"/>
      <c r="DV49" s="8"/>
      <c r="DW49" s="8"/>
      <c r="DX49" s="8"/>
      <c r="DY49" s="8"/>
      <c r="DZ49" s="8"/>
      <c r="EA49" s="8"/>
      <c r="EB49" s="8"/>
      <c r="EC49" s="8"/>
      <c r="ED49" s="8"/>
      <c r="EE49" s="8"/>
    </row>
    <row r="50" spans="1:135" s="11" customFormat="1" ht="13.15" customHeight="1">
      <c r="A50" s="395" t="s">
        <v>22</v>
      </c>
      <c r="B50" s="69" t="s">
        <v>12</v>
      </c>
      <c r="C50" s="148">
        <f>SUM(L50,T50,AB50,AJ50,AR50,AZ50,BH50,BQ50,BZ50,CI50,CQ50,CY50)</f>
        <v>939600</v>
      </c>
      <c r="D50" s="148">
        <f t="shared" ref="D50:D60" si="236">SUM(M50,U50,AC50,AK50,AS50,BA50,BI50,BR50,CA50,CJ50,CR50,CZ50)</f>
        <v>243380</v>
      </c>
      <c r="E50" s="148">
        <f t="shared" ref="E50:E60" si="237">SUM(N50,V50,AD50,AL50,AT50,BB50,BJ50,BS50,CB50,CK50,CS50,DA50)</f>
        <v>696220</v>
      </c>
      <c r="F50" s="148">
        <f t="shared" ref="F50:F60" si="238">SUM(O50,W50,AE50,AM50,AU50,BC50,BK50,BT50,CC50,CL50,CT50,DB50)</f>
        <v>696220</v>
      </c>
      <c r="G50" s="14">
        <f>D50/C50</f>
        <v>0.2590251170710941</v>
      </c>
      <c r="H50" s="148">
        <f>SUM(Q50,Y50,AG50,AO50,AW50,BE50,BM50,BV50,CE50,CN50,CV50,DD50)</f>
        <v>10000</v>
      </c>
      <c r="I50" s="14">
        <f>H50/C50</f>
        <v>1.0642826734780758E-2</v>
      </c>
      <c r="J50" s="216">
        <f>F50*$A$62</f>
        <v>271525.8</v>
      </c>
      <c r="K50" s="117"/>
      <c r="L50" s="77">
        <v>396600</v>
      </c>
      <c r="M50" s="68">
        <v>80480</v>
      </c>
      <c r="N50" s="68">
        <v>316120</v>
      </c>
      <c r="O50" s="68">
        <v>316120</v>
      </c>
      <c r="P50" s="73">
        <f>M50/L50</f>
        <v>0.20292486132123047</v>
      </c>
      <c r="Q50" s="68">
        <v>10000</v>
      </c>
      <c r="R50" s="74">
        <f t="shared" si="193"/>
        <v>2.5214321734745335E-2</v>
      </c>
      <c r="S50" s="117"/>
      <c r="T50" s="77">
        <v>232800</v>
      </c>
      <c r="U50" s="68">
        <v>69840</v>
      </c>
      <c r="V50" s="68">
        <v>162960</v>
      </c>
      <c r="W50" s="68">
        <v>162960</v>
      </c>
      <c r="X50" s="73">
        <f>U50/T50</f>
        <v>0.3</v>
      </c>
      <c r="Y50" s="130">
        <v>0</v>
      </c>
      <c r="Z50" s="74">
        <f t="shared" si="194"/>
        <v>0</v>
      </c>
      <c r="AA50" s="117"/>
      <c r="AB50" s="77">
        <v>310200</v>
      </c>
      <c r="AC50" s="68">
        <v>93060</v>
      </c>
      <c r="AD50" s="68">
        <v>217140</v>
      </c>
      <c r="AE50" s="68">
        <v>217140</v>
      </c>
      <c r="AF50" s="73">
        <f>AC50/AB50</f>
        <v>0.3</v>
      </c>
      <c r="AG50" s="130">
        <v>0</v>
      </c>
      <c r="AH50" s="74">
        <f t="shared" si="195"/>
        <v>0</v>
      </c>
      <c r="AI50" s="117"/>
      <c r="AJ50" s="77">
        <v>0</v>
      </c>
      <c r="AK50" s="68">
        <v>0</v>
      </c>
      <c r="AL50" s="68">
        <v>0</v>
      </c>
      <c r="AM50" s="68">
        <v>0</v>
      </c>
      <c r="AN50" s="14" t="e">
        <f>AK50/AJ50</f>
        <v>#DIV/0!</v>
      </c>
      <c r="AO50" s="68">
        <v>0</v>
      </c>
      <c r="AP50" s="17" t="e">
        <f t="shared" si="180"/>
        <v>#DIV/0!</v>
      </c>
      <c r="AQ50" s="117"/>
      <c r="AR50" s="306">
        <v>0</v>
      </c>
      <c r="AS50" s="307">
        <v>0</v>
      </c>
      <c r="AT50" s="307">
        <v>0</v>
      </c>
      <c r="AU50" s="307">
        <v>0</v>
      </c>
      <c r="AV50" s="73" t="e">
        <f>AS50/AR50</f>
        <v>#DIV/0!</v>
      </c>
      <c r="AW50" s="307">
        <v>0</v>
      </c>
      <c r="AX50" s="74" t="e">
        <f t="shared" si="196"/>
        <v>#DIV/0!</v>
      </c>
      <c r="AY50" s="117"/>
      <c r="AZ50" s="306">
        <v>0</v>
      </c>
      <c r="BA50" s="307">
        <v>0</v>
      </c>
      <c r="BB50" s="307">
        <v>0</v>
      </c>
      <c r="BC50" s="307">
        <v>0</v>
      </c>
      <c r="BD50" s="73" t="e">
        <f>BA50/AZ50</f>
        <v>#DIV/0!</v>
      </c>
      <c r="BE50" s="307">
        <v>0</v>
      </c>
      <c r="BF50" s="74" t="e">
        <f t="shared" si="197"/>
        <v>#DIV/0!</v>
      </c>
      <c r="BG50" s="117"/>
      <c r="BH50" s="308">
        <v>0</v>
      </c>
      <c r="BI50" s="309">
        <v>0</v>
      </c>
      <c r="BJ50" s="309">
        <v>0</v>
      </c>
      <c r="BK50" s="309">
        <v>0</v>
      </c>
      <c r="BL50" s="87" t="e">
        <f>BI50/BH50</f>
        <v>#DIV/0!</v>
      </c>
      <c r="BM50" s="309">
        <v>0</v>
      </c>
      <c r="BN50" s="88" t="e">
        <f t="shared" si="199"/>
        <v>#DIV/0!</v>
      </c>
      <c r="BO50" s="216">
        <f>BK50*$A$62</f>
        <v>0</v>
      </c>
      <c r="BP50" s="117"/>
      <c r="BQ50" s="362">
        <v>0</v>
      </c>
      <c r="BR50" s="363">
        <v>0</v>
      </c>
      <c r="BS50" s="363">
        <v>0</v>
      </c>
      <c r="BT50" s="363">
        <v>0</v>
      </c>
      <c r="BU50" s="87" t="e">
        <f>BR50/BQ50</f>
        <v>#DIV/0!</v>
      </c>
      <c r="BV50" s="363">
        <v>0</v>
      </c>
      <c r="BW50" s="88" t="e">
        <f t="shared" si="201"/>
        <v>#DIV/0!</v>
      </c>
      <c r="BX50" s="359">
        <f>BT50*$A$62</f>
        <v>0</v>
      </c>
      <c r="BY50" s="117"/>
      <c r="BZ50" s="362">
        <v>0</v>
      </c>
      <c r="CA50" s="363">
        <v>0</v>
      </c>
      <c r="CB50" s="363">
        <v>0</v>
      </c>
      <c r="CC50" s="363">
        <v>0</v>
      </c>
      <c r="CD50" s="87" t="e">
        <f>CA50/BZ50</f>
        <v>#DIV/0!</v>
      </c>
      <c r="CE50" s="363">
        <v>0</v>
      </c>
      <c r="CF50" s="88" t="e">
        <f t="shared" si="202"/>
        <v>#DIV/0!</v>
      </c>
      <c r="CG50" s="359">
        <f>CC50*$A$62</f>
        <v>0</v>
      </c>
      <c r="CH50" s="117"/>
      <c r="CI50" s="312">
        <v>0</v>
      </c>
      <c r="CJ50" s="313">
        <v>0</v>
      </c>
      <c r="CK50" s="313">
        <v>0</v>
      </c>
      <c r="CL50" s="313">
        <v>0</v>
      </c>
      <c r="CM50" s="143" t="e">
        <f>CJ50/CI50</f>
        <v>#DIV/0!</v>
      </c>
      <c r="CN50" s="313">
        <v>0</v>
      </c>
      <c r="CO50" s="144" t="e">
        <f t="shared" si="203"/>
        <v>#DIV/0!</v>
      </c>
      <c r="CP50" s="117"/>
      <c r="CQ50" s="312">
        <v>0</v>
      </c>
      <c r="CR50" s="313">
        <v>0</v>
      </c>
      <c r="CS50" s="313">
        <v>0</v>
      </c>
      <c r="CT50" s="313">
        <v>0</v>
      </c>
      <c r="CU50" s="143" t="e">
        <f>CR50/CQ50</f>
        <v>#DIV/0!</v>
      </c>
      <c r="CV50" s="313">
        <v>0</v>
      </c>
      <c r="CW50" s="144" t="e">
        <f t="shared" si="204"/>
        <v>#DIV/0!</v>
      </c>
      <c r="CX50" s="117"/>
      <c r="CY50" s="312">
        <v>0</v>
      </c>
      <c r="CZ50" s="313">
        <v>0</v>
      </c>
      <c r="DA50" s="313">
        <v>0</v>
      </c>
      <c r="DB50" s="313">
        <v>0</v>
      </c>
      <c r="DC50" s="143" t="e">
        <f>CZ50/CY50</f>
        <v>#DIV/0!</v>
      </c>
      <c r="DD50" s="313">
        <v>0</v>
      </c>
      <c r="DE50" s="144" t="e">
        <f t="shared" si="205"/>
        <v>#DIV/0!</v>
      </c>
      <c r="DF50" s="9"/>
      <c r="DG50" s="354"/>
      <c r="DH50" s="9"/>
      <c r="DI50" s="9"/>
      <c r="DJ50" s="9"/>
      <c r="DK50" s="9"/>
      <c r="DL50" s="9"/>
      <c r="DM50" s="9"/>
      <c r="DN50" s="9"/>
      <c r="DO50" s="9"/>
      <c r="DP50" s="9"/>
      <c r="DQ50" s="9"/>
      <c r="DR50" s="9"/>
      <c r="DS50" s="9"/>
      <c r="DT50" s="9"/>
      <c r="DU50" s="9"/>
      <c r="DV50" s="9"/>
      <c r="DW50" s="9"/>
      <c r="DX50" s="9"/>
      <c r="DY50" s="9"/>
      <c r="DZ50" s="9"/>
      <c r="EA50" s="9"/>
      <c r="EB50" s="9"/>
      <c r="EC50" s="9"/>
      <c r="ED50" s="9"/>
      <c r="EE50" s="9"/>
    </row>
    <row r="51" spans="1:135" s="11" customFormat="1" ht="13.15" customHeight="1">
      <c r="A51" s="396"/>
      <c r="B51" s="70" t="s">
        <v>13</v>
      </c>
      <c r="C51" s="148">
        <f>SUM(L51,T51,AB51,AJ51,AR51,AZ51,BH51,BQ51,BZ51,CI51,CQ51,CY51)</f>
        <v>4303293.2180000003</v>
      </c>
      <c r="D51" s="148">
        <f t="shared" si="236"/>
        <v>68107</v>
      </c>
      <c r="E51" s="148">
        <f t="shared" si="237"/>
        <v>4235116.2180000003</v>
      </c>
      <c r="F51" s="148">
        <f t="shared" si="238"/>
        <v>4235116.2180000003</v>
      </c>
      <c r="G51" s="14">
        <f t="shared" ref="G51:G60" si="239">D51/C51</f>
        <v>1.5826716086907371E-2</v>
      </c>
      <c r="H51" s="148">
        <f t="shared" ref="H51:H60" si="240">SUM(Q51,Y51,AG51,AO51,AW51,BE51,BM51,BV51,CE51,CN51,CV51,DD51)</f>
        <v>0</v>
      </c>
      <c r="I51" s="14">
        <f t="shared" ref="I51" si="241">H51/C51</f>
        <v>0</v>
      </c>
      <c r="J51" s="216">
        <f>F51*$A$62</f>
        <v>1651695.3250200001</v>
      </c>
      <c r="K51" s="117"/>
      <c r="L51" s="77">
        <v>587204.43849999993</v>
      </c>
      <c r="M51" s="68">
        <v>20500</v>
      </c>
      <c r="N51" s="68">
        <v>566704.43849999993</v>
      </c>
      <c r="O51" s="68">
        <v>566704.43849999993</v>
      </c>
      <c r="P51" s="73">
        <f>M51/L51</f>
        <v>3.4911180256686707E-2</v>
      </c>
      <c r="Q51" s="68">
        <v>0</v>
      </c>
      <c r="R51" s="74">
        <f t="shared" si="193"/>
        <v>0</v>
      </c>
      <c r="S51" s="117"/>
      <c r="T51" s="77">
        <v>82970.010000000009</v>
      </c>
      <c r="U51" s="68">
        <v>0</v>
      </c>
      <c r="V51" s="68">
        <v>82970.010000000009</v>
      </c>
      <c r="W51" s="68">
        <v>82970.010000000009</v>
      </c>
      <c r="X51" s="73">
        <f>U51/T51</f>
        <v>0</v>
      </c>
      <c r="Y51" s="130">
        <v>0</v>
      </c>
      <c r="Z51" s="74">
        <f t="shared" si="194"/>
        <v>0</v>
      </c>
      <c r="AA51" s="117"/>
      <c r="AB51" s="77">
        <v>936694.91949999996</v>
      </c>
      <c r="AC51" s="68">
        <v>9000</v>
      </c>
      <c r="AD51" s="68">
        <v>927694.91949999996</v>
      </c>
      <c r="AE51" s="68">
        <v>927694.91949999996</v>
      </c>
      <c r="AF51" s="73">
        <f>AC51/AB51</f>
        <v>9.6082511099816002E-3</v>
      </c>
      <c r="AG51" s="130">
        <v>0</v>
      </c>
      <c r="AH51" s="74">
        <f t="shared" si="195"/>
        <v>0</v>
      </c>
      <c r="AI51" s="117"/>
      <c r="AJ51" s="77">
        <v>406839.45</v>
      </c>
      <c r="AK51" s="68">
        <v>0</v>
      </c>
      <c r="AL51" s="68">
        <v>406839.45</v>
      </c>
      <c r="AM51" s="68">
        <v>406839.45</v>
      </c>
      <c r="AN51" s="14">
        <f>AK51/AJ51</f>
        <v>0</v>
      </c>
      <c r="AO51" s="68">
        <v>0</v>
      </c>
      <c r="AP51" s="17">
        <f t="shared" si="180"/>
        <v>0</v>
      </c>
      <c r="AQ51" s="117"/>
      <c r="AR51" s="306">
        <v>406839.45</v>
      </c>
      <c r="AS51" s="307">
        <v>0</v>
      </c>
      <c r="AT51" s="307">
        <v>406839.45</v>
      </c>
      <c r="AU51" s="307">
        <v>406839.45</v>
      </c>
      <c r="AV51" s="73">
        <f>AS51/AR51</f>
        <v>0</v>
      </c>
      <c r="AW51" s="307">
        <v>0</v>
      </c>
      <c r="AX51" s="74">
        <f t="shared" si="196"/>
        <v>0</v>
      </c>
      <c r="AY51" s="117"/>
      <c r="AZ51" s="306">
        <v>406839.45</v>
      </c>
      <c r="BA51" s="307">
        <v>0</v>
      </c>
      <c r="BB51" s="307">
        <v>406839.45</v>
      </c>
      <c r="BC51" s="307">
        <v>406839.45</v>
      </c>
      <c r="BD51" s="73">
        <f>BA51/AZ51</f>
        <v>0</v>
      </c>
      <c r="BE51" s="307">
        <v>0</v>
      </c>
      <c r="BF51" s="74">
        <f t="shared" si="197"/>
        <v>0</v>
      </c>
      <c r="BG51" s="117"/>
      <c r="BH51" s="308">
        <v>493470</v>
      </c>
      <c r="BI51" s="309">
        <v>18563</v>
      </c>
      <c r="BJ51" s="309">
        <v>474907</v>
      </c>
      <c r="BK51" s="309">
        <v>474907</v>
      </c>
      <c r="BL51" s="87">
        <f>BI51/BH51</f>
        <v>3.7617281698988793E-2</v>
      </c>
      <c r="BM51" s="309">
        <v>0</v>
      </c>
      <c r="BN51" s="88">
        <f t="shared" si="199"/>
        <v>0</v>
      </c>
      <c r="BO51" s="216">
        <f>BK51*$A$62</f>
        <v>185213.73</v>
      </c>
      <c r="BP51" s="117"/>
      <c r="BQ51" s="362">
        <v>448570</v>
      </c>
      <c r="BR51" s="363">
        <v>9573</v>
      </c>
      <c r="BS51" s="363">
        <v>438997</v>
      </c>
      <c r="BT51" s="363">
        <v>438997</v>
      </c>
      <c r="BU51" s="87">
        <f>BR51/BQ51</f>
        <v>2.1341150767996076E-2</v>
      </c>
      <c r="BV51" s="363">
        <v>0</v>
      </c>
      <c r="BW51" s="88">
        <f t="shared" si="201"/>
        <v>0</v>
      </c>
      <c r="BX51" s="359">
        <f>BT51*$A$62</f>
        <v>171208.83000000002</v>
      </c>
      <c r="BY51" s="117"/>
      <c r="BZ51" s="362">
        <v>533865.5</v>
      </c>
      <c r="CA51" s="363">
        <v>10471</v>
      </c>
      <c r="CB51" s="363">
        <v>523324.5</v>
      </c>
      <c r="CC51" s="363">
        <v>523324.5</v>
      </c>
      <c r="CD51" s="87">
        <f>CA51/BZ51</f>
        <v>1.9613554350299843E-2</v>
      </c>
      <c r="CE51" s="363">
        <v>0</v>
      </c>
      <c r="CF51" s="88">
        <f t="shared" si="202"/>
        <v>0</v>
      </c>
      <c r="CG51" s="359">
        <f>CC51*$A$62</f>
        <v>204096.55499999999</v>
      </c>
      <c r="CH51" s="117"/>
      <c r="CI51" s="312">
        <v>0</v>
      </c>
      <c r="CJ51" s="313">
        <v>0</v>
      </c>
      <c r="CK51" s="313">
        <v>0</v>
      </c>
      <c r="CL51" s="313">
        <v>0</v>
      </c>
      <c r="CM51" s="143" t="e">
        <f>CJ51/CI51</f>
        <v>#DIV/0!</v>
      </c>
      <c r="CN51" s="313">
        <v>0</v>
      </c>
      <c r="CO51" s="144" t="e">
        <f t="shared" si="203"/>
        <v>#DIV/0!</v>
      </c>
      <c r="CP51" s="117"/>
      <c r="CQ51" s="312">
        <v>0</v>
      </c>
      <c r="CR51" s="313">
        <v>0</v>
      </c>
      <c r="CS51" s="313">
        <v>0</v>
      </c>
      <c r="CT51" s="313">
        <v>0</v>
      </c>
      <c r="CU51" s="143" t="e">
        <f>CR51/CQ51</f>
        <v>#DIV/0!</v>
      </c>
      <c r="CV51" s="313">
        <v>0</v>
      </c>
      <c r="CW51" s="144" t="e">
        <f t="shared" si="204"/>
        <v>#DIV/0!</v>
      </c>
      <c r="CX51" s="117"/>
      <c r="CY51" s="312">
        <v>0</v>
      </c>
      <c r="CZ51" s="313">
        <v>0</v>
      </c>
      <c r="DA51" s="313">
        <v>0</v>
      </c>
      <c r="DB51" s="313">
        <v>0</v>
      </c>
      <c r="DC51" s="143" t="e">
        <f>CZ51/CY51</f>
        <v>#DIV/0!</v>
      </c>
      <c r="DD51" s="313">
        <v>0</v>
      </c>
      <c r="DE51" s="144" t="e">
        <f t="shared" si="205"/>
        <v>#DIV/0!</v>
      </c>
      <c r="DF51" s="9"/>
      <c r="DG51" s="354"/>
      <c r="DH51" s="9"/>
      <c r="DI51" s="9"/>
      <c r="DJ51" s="9"/>
      <c r="DK51" s="9"/>
      <c r="DL51" s="9"/>
      <c r="DM51" s="9"/>
      <c r="DN51" s="9"/>
      <c r="DO51" s="9"/>
      <c r="DP51" s="9"/>
      <c r="DQ51" s="9"/>
      <c r="DR51" s="9"/>
      <c r="DS51" s="9"/>
      <c r="DT51" s="9"/>
      <c r="DU51" s="9"/>
      <c r="DV51" s="9"/>
      <c r="DW51" s="9"/>
      <c r="DX51" s="9"/>
      <c r="DY51" s="9"/>
      <c r="DZ51" s="9"/>
      <c r="EA51" s="9"/>
      <c r="EB51" s="9"/>
      <c r="EC51" s="9"/>
      <c r="ED51" s="9"/>
      <c r="EE51" s="9"/>
    </row>
    <row r="52" spans="1:135" s="11" customFormat="1" ht="13.15" customHeight="1">
      <c r="A52" s="396"/>
      <c r="B52" s="70" t="s">
        <v>188</v>
      </c>
      <c r="C52" s="148"/>
      <c r="D52" s="148"/>
      <c r="E52" s="148"/>
      <c r="F52" s="148"/>
      <c r="G52" s="14"/>
      <c r="H52" s="148"/>
      <c r="I52" s="14"/>
      <c r="J52" s="216"/>
      <c r="K52" s="117"/>
      <c r="L52" s="77"/>
      <c r="M52" s="68"/>
      <c r="N52" s="68"/>
      <c r="O52" s="68"/>
      <c r="P52" s="73"/>
      <c r="Q52" s="68"/>
      <c r="R52" s="74"/>
      <c r="S52" s="117"/>
      <c r="T52" s="77"/>
      <c r="U52" s="68"/>
      <c r="V52" s="68"/>
      <c r="W52" s="68"/>
      <c r="X52" s="73"/>
      <c r="Y52" s="130"/>
      <c r="Z52" s="74"/>
      <c r="AA52" s="117"/>
      <c r="AB52" s="77"/>
      <c r="AC52" s="68"/>
      <c r="AD52" s="68"/>
      <c r="AE52" s="68"/>
      <c r="AF52" s="73"/>
      <c r="AG52" s="130"/>
      <c r="AH52" s="74"/>
      <c r="AI52" s="117"/>
      <c r="AJ52" s="77"/>
      <c r="AK52" s="68"/>
      <c r="AL52" s="68"/>
      <c r="AM52" s="68"/>
      <c r="AN52" s="14"/>
      <c r="AO52" s="68"/>
      <c r="AP52" s="17"/>
      <c r="AQ52" s="117"/>
      <c r="AR52" s="306"/>
      <c r="AS52" s="307"/>
      <c r="AT52" s="307"/>
      <c r="AU52" s="307"/>
      <c r="AV52" s="73"/>
      <c r="AW52" s="307"/>
      <c r="AX52" s="74"/>
      <c r="AY52" s="117"/>
      <c r="AZ52" s="306"/>
      <c r="BA52" s="307"/>
      <c r="BB52" s="307"/>
      <c r="BC52" s="307"/>
      <c r="BD52" s="73"/>
      <c r="BE52" s="307"/>
      <c r="BF52" s="74"/>
      <c r="BG52" s="117"/>
      <c r="BH52" s="308"/>
      <c r="BI52" s="309"/>
      <c r="BJ52" s="309"/>
      <c r="BK52" s="309"/>
      <c r="BL52" s="87"/>
      <c r="BM52" s="309"/>
      <c r="BN52" s="88"/>
      <c r="BO52" s="216"/>
      <c r="BP52" s="117"/>
      <c r="BQ52" s="362"/>
      <c r="BR52" s="363"/>
      <c r="BS52" s="363"/>
      <c r="BT52" s="363"/>
      <c r="BU52" s="87"/>
      <c r="BV52" s="363"/>
      <c r="BW52" s="88"/>
      <c r="BX52" s="359"/>
      <c r="BY52" s="117"/>
      <c r="BZ52" s="362"/>
      <c r="CA52" s="363"/>
      <c r="CB52" s="363"/>
      <c r="CC52" s="363"/>
      <c r="CD52" s="87"/>
      <c r="CE52" s="363"/>
      <c r="CF52" s="88"/>
      <c r="CG52" s="359"/>
      <c r="CH52" s="117"/>
      <c r="CI52" s="312"/>
      <c r="CJ52" s="313"/>
      <c r="CK52" s="313"/>
      <c r="CL52" s="313"/>
      <c r="CM52" s="143"/>
      <c r="CN52" s="313"/>
      <c r="CO52" s="144"/>
      <c r="CP52" s="117"/>
      <c r="CQ52" s="312"/>
      <c r="CR52" s="313"/>
      <c r="CS52" s="313"/>
      <c r="CT52" s="313"/>
      <c r="CU52" s="143"/>
      <c r="CV52" s="313"/>
      <c r="CW52" s="144"/>
      <c r="CX52" s="117"/>
      <c r="CY52" s="312"/>
      <c r="CZ52" s="313"/>
      <c r="DA52" s="313"/>
      <c r="DB52" s="313"/>
      <c r="DC52" s="143"/>
      <c r="DD52" s="313"/>
      <c r="DE52" s="144"/>
      <c r="DF52" s="9"/>
      <c r="DG52" s="354"/>
      <c r="DH52" s="9"/>
      <c r="DI52" s="9"/>
      <c r="DJ52" s="9"/>
      <c r="DK52" s="9"/>
      <c r="DL52" s="9"/>
      <c r="DM52" s="9"/>
      <c r="DN52" s="9"/>
      <c r="DO52" s="9"/>
      <c r="DP52" s="9"/>
      <c r="DQ52" s="9"/>
      <c r="DR52" s="9"/>
      <c r="DS52" s="9"/>
      <c r="DT52" s="9"/>
      <c r="DU52" s="9"/>
      <c r="DV52" s="9"/>
      <c r="DW52" s="9"/>
      <c r="DX52" s="9"/>
      <c r="DY52" s="9"/>
      <c r="DZ52" s="9"/>
      <c r="EA52" s="9"/>
      <c r="EB52" s="9"/>
      <c r="EC52" s="9"/>
      <c r="ED52" s="9"/>
      <c r="EE52" s="9"/>
    </row>
    <row r="53" spans="1:135" s="7" customFormat="1" ht="13" customHeight="1">
      <c r="A53" s="396"/>
      <c r="B53" s="70" t="s">
        <v>119</v>
      </c>
      <c r="C53" s="66"/>
      <c r="D53" s="66"/>
      <c r="E53" s="66"/>
      <c r="F53" s="66"/>
      <c r="G53" s="14"/>
      <c r="H53" s="148"/>
      <c r="I53" s="14"/>
      <c r="J53" s="216"/>
      <c r="K53" s="111"/>
      <c r="L53" s="72"/>
      <c r="M53" s="66"/>
      <c r="N53" s="66"/>
      <c r="O53" s="66"/>
      <c r="P53" s="73"/>
      <c r="Q53" s="66"/>
      <c r="R53" s="74"/>
      <c r="S53" s="111"/>
      <c r="T53" s="154"/>
      <c r="U53" s="155"/>
      <c r="V53" s="155"/>
      <c r="W53" s="155"/>
      <c r="X53" s="87"/>
      <c r="Y53" s="155"/>
      <c r="Z53" s="88"/>
      <c r="AA53" s="111"/>
      <c r="AB53" s="72"/>
      <c r="AC53" s="66"/>
      <c r="AD53" s="66"/>
      <c r="AE53" s="66"/>
      <c r="AF53" s="73"/>
      <c r="AG53" s="155"/>
      <c r="AH53" s="74"/>
      <c r="AI53" s="111"/>
      <c r="AJ53" s="154"/>
      <c r="AK53" s="155"/>
      <c r="AL53" s="155"/>
      <c r="AM53" s="155"/>
      <c r="AN53" s="87"/>
      <c r="AO53" s="155"/>
      <c r="AP53" s="88"/>
      <c r="AQ53" s="111"/>
      <c r="AR53" s="308"/>
      <c r="AS53" s="309"/>
      <c r="AT53" s="309"/>
      <c r="AU53" s="309"/>
      <c r="AV53" s="87"/>
      <c r="AW53" s="309"/>
      <c r="AX53" s="88"/>
      <c r="AY53" s="111"/>
      <c r="AZ53" s="308"/>
      <c r="BA53" s="309"/>
      <c r="BB53" s="309"/>
      <c r="BC53" s="309"/>
      <c r="BD53" s="87"/>
      <c r="BE53" s="309"/>
      <c r="BF53" s="88"/>
      <c r="BG53" s="111"/>
      <c r="BH53" s="308"/>
      <c r="BI53" s="309"/>
      <c r="BJ53" s="309"/>
      <c r="BK53" s="309"/>
      <c r="BL53" s="87"/>
      <c r="BM53" s="309"/>
      <c r="BN53" s="88"/>
      <c r="BO53" s="216"/>
      <c r="BP53" s="111"/>
      <c r="BQ53" s="154"/>
      <c r="BR53" s="155"/>
      <c r="BS53" s="155"/>
      <c r="BT53" s="155"/>
      <c r="BU53" s="87"/>
      <c r="BV53" s="155"/>
      <c r="BW53" s="88"/>
      <c r="BX53" s="359"/>
      <c r="BY53" s="111"/>
      <c r="BZ53" s="154"/>
      <c r="CA53" s="155"/>
      <c r="CB53" s="155"/>
      <c r="CC53" s="155"/>
      <c r="CD53" s="87"/>
      <c r="CE53" s="155"/>
      <c r="CF53" s="88"/>
      <c r="CG53" s="359"/>
      <c r="CH53" s="111"/>
      <c r="CI53" s="157"/>
      <c r="CJ53" s="158"/>
      <c r="CK53" s="158"/>
      <c r="CL53" s="158"/>
      <c r="CM53" s="143"/>
      <c r="CN53" s="158"/>
      <c r="CO53" s="144"/>
      <c r="CP53" s="111"/>
      <c r="CQ53" s="157"/>
      <c r="CR53" s="158"/>
      <c r="CS53" s="158"/>
      <c r="CT53" s="158"/>
      <c r="CU53" s="143"/>
      <c r="CV53" s="158"/>
      <c r="CW53" s="144"/>
      <c r="CX53" s="111"/>
      <c r="CY53" s="157"/>
      <c r="CZ53" s="158"/>
      <c r="DA53" s="158"/>
      <c r="DB53" s="158"/>
      <c r="DC53" s="143"/>
      <c r="DD53" s="158"/>
      <c r="DE53" s="144"/>
      <c r="DF53" s="6"/>
      <c r="DG53" s="353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</row>
    <row r="54" spans="1:135" s="7" customFormat="1" ht="13" customHeight="1">
      <c r="A54" s="396"/>
      <c r="B54" s="70" t="s">
        <v>120</v>
      </c>
      <c r="C54" s="66"/>
      <c r="D54" s="295"/>
      <c r="E54" s="66"/>
      <c r="F54" s="66"/>
      <c r="G54" s="14"/>
      <c r="H54" s="148"/>
      <c r="I54" s="14"/>
      <c r="J54" s="216"/>
      <c r="K54" s="111"/>
      <c r="L54" s="72">
        <f>L48*20%</f>
        <v>1455994.56</v>
      </c>
      <c r="M54" s="66"/>
      <c r="N54" s="66"/>
      <c r="O54" s="66"/>
      <c r="P54" s="73"/>
      <c r="Q54" s="66"/>
      <c r="R54" s="74"/>
      <c r="S54" s="111"/>
      <c r="T54" s="154"/>
      <c r="U54" s="155"/>
      <c r="V54" s="155"/>
      <c r="W54" s="155"/>
      <c r="X54" s="87"/>
      <c r="Y54" s="155"/>
      <c r="Z54" s="88"/>
      <c r="AA54" s="111"/>
      <c r="AB54" s="72"/>
      <c r="AC54" s="66"/>
      <c r="AD54" s="66"/>
      <c r="AE54" s="66"/>
      <c r="AF54" s="73"/>
      <c r="AG54" s="155"/>
      <c r="AH54" s="74"/>
      <c r="AI54" s="111"/>
      <c r="AJ54" s="154"/>
      <c r="AK54" s="155"/>
      <c r="AL54" s="155"/>
      <c r="AM54" s="155"/>
      <c r="AN54" s="87"/>
      <c r="AO54" s="155"/>
      <c r="AP54" s="88"/>
      <c r="AQ54" s="111"/>
      <c r="AR54" s="308"/>
      <c r="AS54" s="309"/>
      <c r="AT54" s="309"/>
      <c r="AU54" s="309"/>
      <c r="AV54" s="87"/>
      <c r="AW54" s="309"/>
      <c r="AX54" s="88"/>
      <c r="AY54" s="111"/>
      <c r="AZ54" s="308"/>
      <c r="BA54" s="309"/>
      <c r="BB54" s="309"/>
      <c r="BC54" s="309"/>
      <c r="BD54" s="87"/>
      <c r="BE54" s="309"/>
      <c r="BF54" s="88"/>
      <c r="BG54" s="111"/>
      <c r="BH54" s="308"/>
      <c r="BI54" s="309"/>
      <c r="BJ54" s="309"/>
      <c r="BK54" s="309"/>
      <c r="BL54" s="87"/>
      <c r="BM54" s="309"/>
      <c r="BN54" s="88"/>
      <c r="BO54" s="216"/>
      <c r="BP54" s="111"/>
      <c r="BQ54" s="154"/>
      <c r="BR54" s="155"/>
      <c r="BS54" s="155"/>
      <c r="BT54" s="155"/>
      <c r="BU54" s="87"/>
      <c r="BV54" s="155"/>
      <c r="BW54" s="88"/>
      <c r="BX54" s="359"/>
      <c r="BY54" s="111"/>
      <c r="BZ54" s="154"/>
      <c r="CA54" s="155"/>
      <c r="CB54" s="155"/>
      <c r="CC54" s="155"/>
      <c r="CD54" s="87"/>
      <c r="CE54" s="155"/>
      <c r="CF54" s="88"/>
      <c r="CG54" s="359"/>
      <c r="CH54" s="111"/>
      <c r="CI54" s="157"/>
      <c r="CJ54" s="158"/>
      <c r="CK54" s="158"/>
      <c r="CL54" s="158"/>
      <c r="CM54" s="143"/>
      <c r="CN54" s="158"/>
      <c r="CO54" s="144"/>
      <c r="CP54" s="111"/>
      <c r="CQ54" s="157"/>
      <c r="CR54" s="158"/>
      <c r="CS54" s="158"/>
      <c r="CT54" s="158"/>
      <c r="CU54" s="143"/>
      <c r="CV54" s="158"/>
      <c r="CW54" s="144"/>
      <c r="CX54" s="111"/>
      <c r="CY54" s="157"/>
      <c r="CZ54" s="158"/>
      <c r="DA54" s="158"/>
      <c r="DB54" s="158"/>
      <c r="DC54" s="143"/>
      <c r="DD54" s="158"/>
      <c r="DE54" s="144"/>
      <c r="DF54" s="6"/>
      <c r="DG54" s="353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</row>
    <row r="55" spans="1:135" s="7" customFormat="1" ht="13" customHeight="1">
      <c r="A55" s="396"/>
      <c r="B55" s="70" t="s">
        <v>121</v>
      </c>
      <c r="C55" s="66"/>
      <c r="D55" s="66"/>
      <c r="E55" s="66"/>
      <c r="F55" s="66"/>
      <c r="G55" s="14"/>
      <c r="H55" s="148"/>
      <c r="I55" s="14"/>
      <c r="J55" s="216"/>
      <c r="K55" s="111"/>
      <c r="L55" s="72"/>
      <c r="M55" s="66"/>
      <c r="N55" s="66"/>
      <c r="O55" s="66"/>
      <c r="P55" s="73"/>
      <c r="Q55" s="66"/>
      <c r="R55" s="74"/>
      <c r="S55" s="111"/>
      <c r="T55" s="154"/>
      <c r="U55" s="155"/>
      <c r="V55" s="155"/>
      <c r="W55" s="155"/>
      <c r="X55" s="87"/>
      <c r="Y55" s="155"/>
      <c r="Z55" s="88"/>
      <c r="AA55" s="111"/>
      <c r="AB55" s="72"/>
      <c r="AC55" s="66"/>
      <c r="AD55" s="66"/>
      <c r="AE55" s="66"/>
      <c r="AF55" s="73"/>
      <c r="AG55" s="155"/>
      <c r="AH55" s="74"/>
      <c r="AI55" s="111"/>
      <c r="AJ55" s="154"/>
      <c r="AK55" s="155"/>
      <c r="AL55" s="155"/>
      <c r="AM55" s="155"/>
      <c r="AN55" s="87"/>
      <c r="AO55" s="155"/>
      <c r="AP55" s="88"/>
      <c r="AQ55" s="111"/>
      <c r="AR55" s="308"/>
      <c r="AS55" s="309"/>
      <c r="AT55" s="309"/>
      <c r="AU55" s="309"/>
      <c r="AV55" s="87"/>
      <c r="AW55" s="309"/>
      <c r="AX55" s="88"/>
      <c r="AY55" s="111"/>
      <c r="AZ55" s="308"/>
      <c r="BA55" s="309"/>
      <c r="BB55" s="309"/>
      <c r="BC55" s="309"/>
      <c r="BD55" s="87"/>
      <c r="BE55" s="309"/>
      <c r="BF55" s="88"/>
      <c r="BG55" s="111"/>
      <c r="BH55" s="308"/>
      <c r="BI55" s="309"/>
      <c r="BJ55" s="309"/>
      <c r="BK55" s="309"/>
      <c r="BL55" s="87"/>
      <c r="BM55" s="309"/>
      <c r="BN55" s="88"/>
      <c r="BO55" s="216"/>
      <c r="BP55" s="111"/>
      <c r="BQ55" s="154"/>
      <c r="BR55" s="155"/>
      <c r="BS55" s="155"/>
      <c r="BT55" s="155"/>
      <c r="BU55" s="87"/>
      <c r="BV55" s="155"/>
      <c r="BW55" s="88"/>
      <c r="BX55" s="359"/>
      <c r="BY55" s="111"/>
      <c r="BZ55" s="154"/>
      <c r="CA55" s="155"/>
      <c r="CB55" s="155"/>
      <c r="CC55" s="155"/>
      <c r="CD55" s="87"/>
      <c r="CE55" s="155"/>
      <c r="CF55" s="88"/>
      <c r="CG55" s="359"/>
      <c r="CH55" s="111"/>
      <c r="CI55" s="157"/>
      <c r="CJ55" s="158"/>
      <c r="CK55" s="158"/>
      <c r="CL55" s="158"/>
      <c r="CM55" s="143"/>
      <c r="CN55" s="158"/>
      <c r="CO55" s="144"/>
      <c r="CP55" s="111"/>
      <c r="CQ55" s="157"/>
      <c r="CR55" s="158"/>
      <c r="CS55" s="158"/>
      <c r="CT55" s="158"/>
      <c r="CU55" s="143"/>
      <c r="CV55" s="158"/>
      <c r="CW55" s="144"/>
      <c r="CX55" s="111"/>
      <c r="CY55" s="157"/>
      <c r="CZ55" s="158"/>
      <c r="DA55" s="158"/>
      <c r="DB55" s="158"/>
      <c r="DC55" s="143"/>
      <c r="DD55" s="158"/>
      <c r="DE55" s="144"/>
      <c r="DF55" s="6"/>
      <c r="DG55" s="353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</row>
    <row r="56" spans="1:135" s="7" customFormat="1" ht="13" customHeight="1">
      <c r="A56" s="396"/>
      <c r="B56" s="70" t="s">
        <v>122</v>
      </c>
      <c r="C56" s="66"/>
      <c r="D56" s="66"/>
      <c r="E56" s="66"/>
      <c r="F56" s="66"/>
      <c r="G56" s="14"/>
      <c r="H56" s="148"/>
      <c r="I56" s="14"/>
      <c r="J56" s="216"/>
      <c r="K56" s="111"/>
      <c r="L56" s="72"/>
      <c r="M56" s="66"/>
      <c r="N56" s="66"/>
      <c r="O56" s="66"/>
      <c r="P56" s="73"/>
      <c r="Q56" s="66"/>
      <c r="R56" s="74"/>
      <c r="S56" s="111"/>
      <c r="T56" s="154"/>
      <c r="U56" s="155"/>
      <c r="V56" s="155"/>
      <c r="W56" s="155"/>
      <c r="X56" s="87"/>
      <c r="Y56" s="155"/>
      <c r="Z56" s="88"/>
      <c r="AA56" s="111"/>
      <c r="AB56" s="72"/>
      <c r="AC56" s="66"/>
      <c r="AD56" s="66"/>
      <c r="AE56" s="66"/>
      <c r="AF56" s="73"/>
      <c r="AG56" s="155"/>
      <c r="AH56" s="74"/>
      <c r="AI56" s="111"/>
      <c r="AJ56" s="154"/>
      <c r="AK56" s="155"/>
      <c r="AL56" s="155"/>
      <c r="AM56" s="155"/>
      <c r="AN56" s="87"/>
      <c r="AO56" s="155"/>
      <c r="AP56" s="88"/>
      <c r="AQ56" s="111"/>
      <c r="AR56" s="308"/>
      <c r="AS56" s="309"/>
      <c r="AT56" s="309"/>
      <c r="AU56" s="309"/>
      <c r="AV56" s="87"/>
      <c r="AW56" s="309"/>
      <c r="AX56" s="88"/>
      <c r="AY56" s="111"/>
      <c r="AZ56" s="308"/>
      <c r="BA56" s="309"/>
      <c r="BB56" s="309"/>
      <c r="BC56" s="309"/>
      <c r="BD56" s="87"/>
      <c r="BE56" s="309"/>
      <c r="BF56" s="88"/>
      <c r="BG56" s="111"/>
      <c r="BH56" s="308"/>
      <c r="BI56" s="309"/>
      <c r="BJ56" s="309"/>
      <c r="BK56" s="309"/>
      <c r="BL56" s="87"/>
      <c r="BM56" s="309"/>
      <c r="BN56" s="88"/>
      <c r="BO56" s="216"/>
      <c r="BP56" s="111"/>
      <c r="BQ56" s="154"/>
      <c r="BR56" s="155"/>
      <c r="BS56" s="155"/>
      <c r="BT56" s="155"/>
      <c r="BU56" s="87"/>
      <c r="BV56" s="155"/>
      <c r="BW56" s="88"/>
      <c r="BX56" s="359"/>
      <c r="BY56" s="111"/>
      <c r="BZ56" s="154"/>
      <c r="CA56" s="155"/>
      <c r="CB56" s="155"/>
      <c r="CC56" s="155"/>
      <c r="CD56" s="87"/>
      <c r="CE56" s="155"/>
      <c r="CF56" s="88"/>
      <c r="CG56" s="359"/>
      <c r="CH56" s="111"/>
      <c r="CI56" s="157"/>
      <c r="CJ56" s="158"/>
      <c r="CK56" s="158"/>
      <c r="CL56" s="158"/>
      <c r="CM56" s="143"/>
      <c r="CN56" s="158"/>
      <c r="CO56" s="144"/>
      <c r="CP56" s="111"/>
      <c r="CQ56" s="157"/>
      <c r="CR56" s="158"/>
      <c r="CS56" s="158"/>
      <c r="CT56" s="158"/>
      <c r="CU56" s="143"/>
      <c r="CV56" s="158"/>
      <c r="CW56" s="144"/>
      <c r="CX56" s="111"/>
      <c r="CY56" s="157"/>
      <c r="CZ56" s="158"/>
      <c r="DA56" s="158"/>
      <c r="DB56" s="158"/>
      <c r="DC56" s="143"/>
      <c r="DD56" s="158"/>
      <c r="DE56" s="144"/>
      <c r="DF56" s="6"/>
      <c r="DG56" s="353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</row>
    <row r="57" spans="1:135" s="11" customFormat="1" ht="13.15" customHeight="1">
      <c r="A57" s="396"/>
      <c r="B57" s="70" t="s">
        <v>14</v>
      </c>
      <c r="C57" s="148">
        <f>SUM(L57,T57,AB57,AJ57,AR57,AZ57,BH57,BQ57,BZ57,CI57,CQ57,CY57)</f>
        <v>3605463</v>
      </c>
      <c r="D57" s="148">
        <f t="shared" si="236"/>
        <v>818275.4</v>
      </c>
      <c r="E57" s="148">
        <f t="shared" si="237"/>
        <v>2787187.6</v>
      </c>
      <c r="F57" s="148">
        <f t="shared" si="238"/>
        <v>2787187.6</v>
      </c>
      <c r="G57" s="14">
        <f t="shared" si="239"/>
        <v>0.22695431904307437</v>
      </c>
      <c r="H57" s="148">
        <f t="shared" si="240"/>
        <v>0</v>
      </c>
      <c r="I57" s="14">
        <f>H57/C57</f>
        <v>0</v>
      </c>
      <c r="J57" s="216">
        <f>F57*$A$62</f>
        <v>1087003.1640000001</v>
      </c>
      <c r="K57" s="117"/>
      <c r="L57" s="77">
        <v>649649</v>
      </c>
      <c r="M57" s="68">
        <v>164081.70000000001</v>
      </c>
      <c r="N57" s="68">
        <v>485567.30000000005</v>
      </c>
      <c r="O57" s="68">
        <v>485567.30000000005</v>
      </c>
      <c r="P57" s="73">
        <f t="shared" ref="P57:P60" si="242">M57/L57</f>
        <v>0.25256977229242256</v>
      </c>
      <c r="Q57" s="68">
        <v>0</v>
      </c>
      <c r="R57" s="74">
        <f t="shared" si="193"/>
        <v>0</v>
      </c>
      <c r="S57" s="117"/>
      <c r="T57" s="77">
        <v>422030</v>
      </c>
      <c r="U57" s="68">
        <v>100909</v>
      </c>
      <c r="V57" s="68">
        <v>321121</v>
      </c>
      <c r="W57" s="68">
        <v>321121</v>
      </c>
      <c r="X57" s="73">
        <f t="shared" ref="X57:X60" si="243">U57/T57</f>
        <v>0.2391038551761723</v>
      </c>
      <c r="Y57" s="130">
        <v>0</v>
      </c>
      <c r="Z57" s="74">
        <f t="shared" si="194"/>
        <v>0</v>
      </c>
      <c r="AA57" s="117"/>
      <c r="AB57" s="77">
        <v>605409</v>
      </c>
      <c r="AC57" s="68">
        <v>158714.70000000001</v>
      </c>
      <c r="AD57" s="68">
        <v>446694.3</v>
      </c>
      <c r="AE57" s="68">
        <v>446694.3</v>
      </c>
      <c r="AF57" s="73">
        <f t="shared" ref="AF57:AF60" si="244">AC57/AB57</f>
        <v>0.26216111752550758</v>
      </c>
      <c r="AG57" s="130">
        <v>0</v>
      </c>
      <c r="AH57" s="74">
        <f t="shared" si="195"/>
        <v>0</v>
      </c>
      <c r="AI57" s="117"/>
      <c r="AJ57" s="77">
        <v>338868</v>
      </c>
      <c r="AK57" s="68">
        <v>70508</v>
      </c>
      <c r="AL57" s="68">
        <v>268360</v>
      </c>
      <c r="AM57" s="68">
        <v>268360</v>
      </c>
      <c r="AN57" s="14">
        <f t="shared" ref="AN57:AN60" si="245">AK57/AJ57</f>
        <v>0.20806921869282435</v>
      </c>
      <c r="AO57" s="68">
        <v>0</v>
      </c>
      <c r="AP57" s="17">
        <f t="shared" si="180"/>
        <v>0</v>
      </c>
      <c r="AQ57" s="117"/>
      <c r="AR57" s="306">
        <v>338868</v>
      </c>
      <c r="AS57" s="307">
        <v>70508</v>
      </c>
      <c r="AT57" s="307">
        <v>268360</v>
      </c>
      <c r="AU57" s="307">
        <v>268360</v>
      </c>
      <c r="AV57" s="73">
        <f t="shared" ref="AV57:AV60" si="246">AS57/AR57</f>
        <v>0.20806921869282435</v>
      </c>
      <c r="AW57" s="307">
        <v>0</v>
      </c>
      <c r="AX57" s="74">
        <f t="shared" si="196"/>
        <v>0</v>
      </c>
      <c r="AY57" s="117"/>
      <c r="AZ57" s="306">
        <v>338868</v>
      </c>
      <c r="BA57" s="307">
        <v>70508</v>
      </c>
      <c r="BB57" s="307">
        <v>268360</v>
      </c>
      <c r="BC57" s="307">
        <v>268360</v>
      </c>
      <c r="BD57" s="73">
        <f t="shared" ref="BD57:BD60" si="247">BA57/AZ57</f>
        <v>0.20806921869282435</v>
      </c>
      <c r="BE57" s="307">
        <v>0</v>
      </c>
      <c r="BF57" s="74">
        <f t="shared" si="197"/>
        <v>0</v>
      </c>
      <c r="BG57" s="117"/>
      <c r="BH57" s="308">
        <v>375819</v>
      </c>
      <c r="BI57" s="309">
        <v>75163</v>
      </c>
      <c r="BJ57" s="309">
        <v>300656</v>
      </c>
      <c r="BK57" s="309">
        <v>300656</v>
      </c>
      <c r="BL57" s="87">
        <f t="shared" ref="BL57:BL60" si="248">BI57/BH57</f>
        <v>0.19999787131571314</v>
      </c>
      <c r="BM57" s="309">
        <v>0</v>
      </c>
      <c r="BN57" s="88">
        <f t="shared" si="199"/>
        <v>0</v>
      </c>
      <c r="BO57" s="216">
        <f>BK57*$A$62</f>
        <v>117255.84000000001</v>
      </c>
      <c r="BP57" s="117"/>
      <c r="BQ57" s="362">
        <v>272527</v>
      </c>
      <c r="BR57" s="363">
        <v>55198</v>
      </c>
      <c r="BS57" s="363">
        <v>217329</v>
      </c>
      <c r="BT57" s="363">
        <v>217329</v>
      </c>
      <c r="BU57" s="87">
        <f t="shared" ref="BU57:BU60" si="249">BR57/BQ57</f>
        <v>0.20254139956774925</v>
      </c>
      <c r="BV57" s="363">
        <v>0</v>
      </c>
      <c r="BW57" s="88">
        <f t="shared" si="201"/>
        <v>0</v>
      </c>
      <c r="BX57" s="359">
        <f>BT57*$A$62</f>
        <v>84758.31</v>
      </c>
      <c r="BY57" s="117"/>
      <c r="BZ57" s="362">
        <v>263425</v>
      </c>
      <c r="CA57" s="363">
        <v>52685</v>
      </c>
      <c r="CB57" s="363">
        <v>210740</v>
      </c>
      <c r="CC57" s="363">
        <v>210740</v>
      </c>
      <c r="CD57" s="87">
        <f t="shared" ref="CD57:CD60" si="250">CA57/BZ57</f>
        <v>0.2</v>
      </c>
      <c r="CE57" s="363">
        <v>0</v>
      </c>
      <c r="CF57" s="88">
        <f t="shared" si="202"/>
        <v>0</v>
      </c>
      <c r="CG57" s="359">
        <f>CC57*$A$62</f>
        <v>82188.600000000006</v>
      </c>
      <c r="CH57" s="117"/>
      <c r="CI57" s="312">
        <v>0</v>
      </c>
      <c r="CJ57" s="313">
        <v>0</v>
      </c>
      <c r="CK57" s="313">
        <v>0</v>
      </c>
      <c r="CL57" s="313">
        <v>0</v>
      </c>
      <c r="CM57" s="143" t="e">
        <f t="shared" ref="CM57:CM60" si="251">CJ57/CI57</f>
        <v>#DIV/0!</v>
      </c>
      <c r="CN57" s="313">
        <v>0</v>
      </c>
      <c r="CO57" s="144" t="e">
        <f t="shared" si="203"/>
        <v>#DIV/0!</v>
      </c>
      <c r="CP57" s="117"/>
      <c r="CQ57" s="312">
        <v>0</v>
      </c>
      <c r="CR57" s="313">
        <v>0</v>
      </c>
      <c r="CS57" s="313">
        <v>0</v>
      </c>
      <c r="CT57" s="313">
        <v>0</v>
      </c>
      <c r="CU57" s="143" t="e">
        <f t="shared" ref="CU57:CU60" si="252">CR57/CQ57</f>
        <v>#DIV/0!</v>
      </c>
      <c r="CV57" s="313">
        <v>0</v>
      </c>
      <c r="CW57" s="144" t="e">
        <f t="shared" si="204"/>
        <v>#DIV/0!</v>
      </c>
      <c r="CX57" s="117"/>
      <c r="CY57" s="312">
        <v>0</v>
      </c>
      <c r="CZ57" s="313">
        <v>0</v>
      </c>
      <c r="DA57" s="313">
        <v>0</v>
      </c>
      <c r="DB57" s="313">
        <v>0</v>
      </c>
      <c r="DC57" s="143" t="e">
        <f t="shared" ref="DC57:DC60" si="253">CZ57/CY57</f>
        <v>#DIV/0!</v>
      </c>
      <c r="DD57" s="313">
        <v>0</v>
      </c>
      <c r="DE57" s="144" t="e">
        <f t="shared" si="205"/>
        <v>#DIV/0!</v>
      </c>
      <c r="DF57" s="9"/>
      <c r="DG57" s="354"/>
      <c r="DH57" s="9"/>
      <c r="DI57" s="9"/>
      <c r="DJ57" s="9"/>
      <c r="DK57" s="9"/>
      <c r="DL57" s="9"/>
      <c r="DM57" s="9"/>
      <c r="DN57" s="9"/>
      <c r="DO57" s="9"/>
      <c r="DP57" s="9"/>
      <c r="DQ57" s="9"/>
      <c r="DR57" s="9"/>
      <c r="DS57" s="9"/>
      <c r="DT57" s="9"/>
      <c r="DU57" s="9"/>
      <c r="DV57" s="9"/>
      <c r="DW57" s="9"/>
      <c r="DX57" s="9"/>
      <c r="DY57" s="9"/>
      <c r="DZ57" s="9"/>
      <c r="EA57" s="9"/>
      <c r="EB57" s="9"/>
      <c r="EC57" s="9"/>
      <c r="ED57" s="9"/>
      <c r="EE57" s="9"/>
    </row>
    <row r="58" spans="1:135" s="11" customFormat="1" ht="13.15" customHeight="1">
      <c r="A58" s="396"/>
      <c r="B58" s="70" t="s">
        <v>15</v>
      </c>
      <c r="C58" s="148">
        <f>SUM(L58,T58,AB58,AJ58,AR58,AZ58,BH58,BQ58,BZ58,CI58,CQ58,CY58)</f>
        <v>3747445.65</v>
      </c>
      <c r="D58" s="148">
        <f t="shared" si="236"/>
        <v>1635517.25</v>
      </c>
      <c r="E58" s="148">
        <f t="shared" si="237"/>
        <v>2111928.4</v>
      </c>
      <c r="F58" s="148">
        <f t="shared" si="238"/>
        <v>2111928.4</v>
      </c>
      <c r="G58" s="14">
        <f t="shared" si="239"/>
        <v>0.43643521554475379</v>
      </c>
      <c r="H58" s="148">
        <f t="shared" si="240"/>
        <v>0</v>
      </c>
      <c r="I58" s="14">
        <f>H58/C58</f>
        <v>0</v>
      </c>
      <c r="J58" s="216">
        <f>F58*$A$62</f>
        <v>823652.076</v>
      </c>
      <c r="K58" s="117"/>
      <c r="L58" s="77">
        <v>121550</v>
      </c>
      <c r="M58" s="68">
        <v>28992.5</v>
      </c>
      <c r="N58" s="68">
        <v>92557.5</v>
      </c>
      <c r="O58" s="68">
        <v>92557.5</v>
      </c>
      <c r="P58" s="73">
        <f t="shared" si="242"/>
        <v>0.23852324146441795</v>
      </c>
      <c r="Q58" s="68">
        <v>0</v>
      </c>
      <c r="R58" s="74">
        <f t="shared" si="193"/>
        <v>0</v>
      </c>
      <c r="S58" s="117"/>
      <c r="T58" s="77">
        <v>177851.15</v>
      </c>
      <c r="U58" s="68">
        <v>26991.25</v>
      </c>
      <c r="V58" s="68">
        <v>150859.9</v>
      </c>
      <c r="W58" s="68">
        <v>150859.9</v>
      </c>
      <c r="X58" s="73">
        <f t="shared" si="243"/>
        <v>0.15176314575418826</v>
      </c>
      <c r="Y58" s="130">
        <v>0</v>
      </c>
      <c r="Z58" s="74">
        <f t="shared" si="194"/>
        <v>0</v>
      </c>
      <c r="AA58" s="117"/>
      <c r="AB58" s="77">
        <v>1239625</v>
      </c>
      <c r="AC58" s="68">
        <v>356175</v>
      </c>
      <c r="AD58" s="68">
        <v>883450</v>
      </c>
      <c r="AE58" s="68">
        <v>883450</v>
      </c>
      <c r="AF58" s="73">
        <f t="shared" si="244"/>
        <v>0.287324795805183</v>
      </c>
      <c r="AG58" s="130">
        <v>0</v>
      </c>
      <c r="AH58" s="74">
        <f t="shared" si="195"/>
        <v>0</v>
      </c>
      <c r="AI58" s="117"/>
      <c r="AJ58" s="77">
        <v>608024</v>
      </c>
      <c r="AK58" s="68">
        <v>393606</v>
      </c>
      <c r="AL58" s="68">
        <v>214418</v>
      </c>
      <c r="AM58" s="68">
        <v>214418</v>
      </c>
      <c r="AN58" s="14">
        <f t="shared" si="245"/>
        <v>0.64735273607620747</v>
      </c>
      <c r="AO58" s="68">
        <v>0</v>
      </c>
      <c r="AP58" s="17">
        <f t="shared" si="180"/>
        <v>0</v>
      </c>
      <c r="AQ58" s="117"/>
      <c r="AR58" s="306">
        <v>608024</v>
      </c>
      <c r="AS58" s="307">
        <v>393606</v>
      </c>
      <c r="AT58" s="307">
        <v>214418</v>
      </c>
      <c r="AU58" s="307">
        <v>214418</v>
      </c>
      <c r="AV58" s="73">
        <f t="shared" si="246"/>
        <v>0.64735273607620747</v>
      </c>
      <c r="AW58" s="307">
        <v>0</v>
      </c>
      <c r="AX58" s="74">
        <f t="shared" si="196"/>
        <v>0</v>
      </c>
      <c r="AY58" s="117"/>
      <c r="AZ58" s="306">
        <v>608024</v>
      </c>
      <c r="BA58" s="307">
        <v>393606</v>
      </c>
      <c r="BB58" s="307">
        <v>214418</v>
      </c>
      <c r="BC58" s="307">
        <v>214418</v>
      </c>
      <c r="BD58" s="73">
        <f t="shared" si="247"/>
        <v>0.64735273607620747</v>
      </c>
      <c r="BE58" s="307">
        <v>0</v>
      </c>
      <c r="BF58" s="74">
        <f t="shared" si="197"/>
        <v>0</v>
      </c>
      <c r="BG58" s="117"/>
      <c r="BH58" s="308">
        <v>55362</v>
      </c>
      <c r="BI58" s="309">
        <v>7872</v>
      </c>
      <c r="BJ58" s="309">
        <v>47490</v>
      </c>
      <c r="BK58" s="309">
        <v>47490</v>
      </c>
      <c r="BL58" s="87">
        <f t="shared" si="248"/>
        <v>0.14219139481955131</v>
      </c>
      <c r="BM58" s="309">
        <v>0</v>
      </c>
      <c r="BN58" s="88">
        <f t="shared" si="199"/>
        <v>0</v>
      </c>
      <c r="BO58" s="216">
        <f>BK58*$A$62</f>
        <v>18521.100000000002</v>
      </c>
      <c r="BP58" s="117"/>
      <c r="BQ58" s="362">
        <v>29531</v>
      </c>
      <c r="BR58" s="363">
        <v>5906</v>
      </c>
      <c r="BS58" s="363">
        <v>23625</v>
      </c>
      <c r="BT58" s="363">
        <v>23625</v>
      </c>
      <c r="BU58" s="87">
        <f t="shared" si="249"/>
        <v>0.19999322745589382</v>
      </c>
      <c r="BV58" s="363">
        <v>0</v>
      </c>
      <c r="BW58" s="88">
        <f t="shared" si="201"/>
        <v>0</v>
      </c>
      <c r="BX58" s="359">
        <f>BT58*$A$62</f>
        <v>9213.75</v>
      </c>
      <c r="BY58" s="117"/>
      <c r="BZ58" s="362">
        <v>299454.5</v>
      </c>
      <c r="CA58" s="363">
        <v>28762.5</v>
      </c>
      <c r="CB58" s="363">
        <v>270692</v>
      </c>
      <c r="CC58" s="363">
        <v>270692</v>
      </c>
      <c r="CD58" s="87">
        <f t="shared" si="250"/>
        <v>9.6049650280760512E-2</v>
      </c>
      <c r="CE58" s="363">
        <v>0</v>
      </c>
      <c r="CF58" s="88">
        <f t="shared" si="202"/>
        <v>0</v>
      </c>
      <c r="CG58" s="359">
        <f>CC58*$A$62</f>
        <v>105569.88</v>
      </c>
      <c r="CH58" s="117"/>
      <c r="CI58" s="312">
        <v>0</v>
      </c>
      <c r="CJ58" s="313">
        <v>0</v>
      </c>
      <c r="CK58" s="313">
        <v>0</v>
      </c>
      <c r="CL58" s="313">
        <v>0</v>
      </c>
      <c r="CM58" s="143" t="e">
        <f t="shared" si="251"/>
        <v>#DIV/0!</v>
      </c>
      <c r="CN58" s="313">
        <v>0</v>
      </c>
      <c r="CO58" s="144" t="e">
        <f t="shared" si="203"/>
        <v>#DIV/0!</v>
      </c>
      <c r="CP58" s="117"/>
      <c r="CQ58" s="312">
        <v>0</v>
      </c>
      <c r="CR58" s="313">
        <v>0</v>
      </c>
      <c r="CS58" s="313">
        <v>0</v>
      </c>
      <c r="CT58" s="313">
        <v>0</v>
      </c>
      <c r="CU58" s="143" t="e">
        <f t="shared" si="252"/>
        <v>#DIV/0!</v>
      </c>
      <c r="CV58" s="313">
        <v>0</v>
      </c>
      <c r="CW58" s="144" t="e">
        <f t="shared" si="204"/>
        <v>#DIV/0!</v>
      </c>
      <c r="CX58" s="117"/>
      <c r="CY58" s="312">
        <v>0</v>
      </c>
      <c r="CZ58" s="313">
        <v>0</v>
      </c>
      <c r="DA58" s="313">
        <v>0</v>
      </c>
      <c r="DB58" s="313">
        <v>0</v>
      </c>
      <c r="DC58" s="143" t="e">
        <f t="shared" si="253"/>
        <v>#DIV/0!</v>
      </c>
      <c r="DD58" s="313">
        <v>0</v>
      </c>
      <c r="DE58" s="144" t="e">
        <f t="shared" si="205"/>
        <v>#DIV/0!</v>
      </c>
      <c r="DF58" s="9"/>
      <c r="DG58" s="354"/>
      <c r="DH58" s="9"/>
      <c r="DI58" s="9"/>
      <c r="DJ58" s="9"/>
      <c r="DK58" s="9"/>
      <c r="DL58" s="9"/>
      <c r="DM58" s="9"/>
      <c r="DN58" s="9"/>
      <c r="DO58" s="9"/>
      <c r="DP58" s="9"/>
      <c r="DQ58" s="9"/>
      <c r="DR58" s="9"/>
      <c r="DS58" s="9"/>
      <c r="DT58" s="9"/>
      <c r="DU58" s="9"/>
      <c r="DV58" s="9"/>
      <c r="DW58" s="9"/>
      <c r="DX58" s="9"/>
      <c r="DY58" s="9"/>
      <c r="DZ58" s="9"/>
      <c r="EA58" s="9"/>
      <c r="EB58" s="9"/>
      <c r="EC58" s="9"/>
      <c r="ED58" s="9"/>
      <c r="EE58" s="9"/>
    </row>
    <row r="59" spans="1:135" s="11" customFormat="1" ht="13.15" customHeight="1">
      <c r="A59" s="396"/>
      <c r="B59" s="70" t="s">
        <v>16</v>
      </c>
      <c r="C59" s="148">
        <f>SUM(L59,T59,AB59,AJ59,AR59,AZ59,BH59,BQ59,BZ59,CI59,CQ59,CY59)</f>
        <v>4388890.0033333339</v>
      </c>
      <c r="D59" s="148">
        <f t="shared" si="236"/>
        <v>803970.5</v>
      </c>
      <c r="E59" s="148">
        <f t="shared" si="237"/>
        <v>3582002.5033333334</v>
      </c>
      <c r="F59" s="148">
        <f t="shared" si="238"/>
        <v>3582002.5033333334</v>
      </c>
      <c r="G59" s="14">
        <f t="shared" si="239"/>
        <v>0.18318310538413804</v>
      </c>
      <c r="H59" s="148">
        <f t="shared" si="240"/>
        <v>0</v>
      </c>
      <c r="I59" s="14">
        <f t="shared" ref="I59:I60" si="254">H59/C59</f>
        <v>0</v>
      </c>
      <c r="J59" s="216">
        <f>F59*$A$62</f>
        <v>1396980.9763</v>
      </c>
      <c r="K59" s="117"/>
      <c r="L59" s="77">
        <v>870699</v>
      </c>
      <c r="M59" s="68">
        <v>93250</v>
      </c>
      <c r="N59" s="68">
        <v>774532</v>
      </c>
      <c r="O59" s="68">
        <v>774532</v>
      </c>
      <c r="P59" s="73">
        <f t="shared" si="242"/>
        <v>0.10709786045464621</v>
      </c>
      <c r="Q59" s="68">
        <v>0</v>
      </c>
      <c r="R59" s="74">
        <f t="shared" si="193"/>
        <v>0</v>
      </c>
      <c r="S59" s="117"/>
      <c r="T59" s="77">
        <v>1167917</v>
      </c>
      <c r="U59" s="68">
        <v>317000</v>
      </c>
      <c r="V59" s="68">
        <v>850917</v>
      </c>
      <c r="W59" s="68">
        <v>850917</v>
      </c>
      <c r="X59" s="73">
        <f t="shared" si="243"/>
        <v>0.27142339738183452</v>
      </c>
      <c r="Y59" s="130">
        <v>0</v>
      </c>
      <c r="Z59" s="74">
        <f t="shared" si="194"/>
        <v>0</v>
      </c>
      <c r="AA59" s="117"/>
      <c r="AB59" s="77">
        <v>417345.0033333333</v>
      </c>
      <c r="AC59" s="68">
        <v>36067.5</v>
      </c>
      <c r="AD59" s="68">
        <v>381277.5033333333</v>
      </c>
      <c r="AE59" s="68">
        <v>381277.5033333333</v>
      </c>
      <c r="AF59" s="73">
        <f t="shared" si="244"/>
        <v>8.6421305423400263E-2</v>
      </c>
      <c r="AG59" s="130">
        <v>0</v>
      </c>
      <c r="AH59" s="74">
        <f t="shared" si="195"/>
        <v>0</v>
      </c>
      <c r="AI59" s="117"/>
      <c r="AJ59" s="77">
        <v>323745</v>
      </c>
      <c r="AK59" s="68">
        <v>64749</v>
      </c>
      <c r="AL59" s="68">
        <v>258996</v>
      </c>
      <c r="AM59" s="68">
        <v>258996</v>
      </c>
      <c r="AN59" s="14">
        <f t="shared" si="245"/>
        <v>0.2</v>
      </c>
      <c r="AO59" s="68">
        <v>0</v>
      </c>
      <c r="AP59" s="17">
        <f t="shared" si="180"/>
        <v>0</v>
      </c>
      <c r="AQ59" s="117"/>
      <c r="AR59" s="306">
        <v>323745</v>
      </c>
      <c r="AS59" s="307">
        <v>64749</v>
      </c>
      <c r="AT59" s="307">
        <v>258996</v>
      </c>
      <c r="AU59" s="307">
        <v>258996</v>
      </c>
      <c r="AV59" s="73">
        <f t="shared" si="246"/>
        <v>0.2</v>
      </c>
      <c r="AW59" s="307">
        <v>0</v>
      </c>
      <c r="AX59" s="74">
        <f t="shared" si="196"/>
        <v>0</v>
      </c>
      <c r="AY59" s="117"/>
      <c r="AZ59" s="306">
        <v>323745</v>
      </c>
      <c r="BA59" s="307">
        <v>64749</v>
      </c>
      <c r="BB59" s="307">
        <v>258996</v>
      </c>
      <c r="BC59" s="307">
        <v>258996</v>
      </c>
      <c r="BD59" s="73">
        <f t="shared" si="247"/>
        <v>0.2</v>
      </c>
      <c r="BE59" s="307">
        <v>0</v>
      </c>
      <c r="BF59" s="74">
        <f t="shared" si="197"/>
        <v>0</v>
      </c>
      <c r="BG59" s="117"/>
      <c r="BH59" s="308">
        <v>617601</v>
      </c>
      <c r="BI59" s="309">
        <v>100513</v>
      </c>
      <c r="BJ59" s="309">
        <v>517088</v>
      </c>
      <c r="BK59" s="309">
        <v>517088</v>
      </c>
      <c r="BL59" s="87">
        <f t="shared" si="248"/>
        <v>0.16274746964464112</v>
      </c>
      <c r="BM59" s="309">
        <v>0</v>
      </c>
      <c r="BN59" s="88">
        <f t="shared" si="199"/>
        <v>0</v>
      </c>
      <c r="BO59" s="216">
        <f>BK59*$A$62</f>
        <v>201664.32</v>
      </c>
      <c r="BP59" s="117"/>
      <c r="BQ59" s="362">
        <v>77562</v>
      </c>
      <c r="BR59" s="363">
        <v>15512</v>
      </c>
      <c r="BS59" s="363">
        <v>62050</v>
      </c>
      <c r="BT59" s="363">
        <v>62050</v>
      </c>
      <c r="BU59" s="87">
        <f t="shared" si="249"/>
        <v>0.19999484283540908</v>
      </c>
      <c r="BV59" s="363">
        <v>0</v>
      </c>
      <c r="BW59" s="88">
        <f t="shared" si="201"/>
        <v>0</v>
      </c>
      <c r="BX59" s="359">
        <f>BT59*$A$62</f>
        <v>24199.5</v>
      </c>
      <c r="BY59" s="117"/>
      <c r="BZ59" s="362">
        <v>266531</v>
      </c>
      <c r="CA59" s="363">
        <v>47381</v>
      </c>
      <c r="CB59" s="363">
        <v>219150</v>
      </c>
      <c r="CC59" s="363">
        <v>219150</v>
      </c>
      <c r="CD59" s="87">
        <f t="shared" si="250"/>
        <v>0.17776919007545089</v>
      </c>
      <c r="CE59" s="363">
        <v>0</v>
      </c>
      <c r="CF59" s="88">
        <f t="shared" si="202"/>
        <v>0</v>
      </c>
      <c r="CG59" s="359">
        <f>CC59*$A$62</f>
        <v>85468.5</v>
      </c>
      <c r="CH59" s="117"/>
      <c r="CI59" s="312">
        <v>0</v>
      </c>
      <c r="CJ59" s="313">
        <v>0</v>
      </c>
      <c r="CK59" s="313">
        <v>0</v>
      </c>
      <c r="CL59" s="313">
        <v>0</v>
      </c>
      <c r="CM59" s="143" t="e">
        <f t="shared" si="251"/>
        <v>#DIV/0!</v>
      </c>
      <c r="CN59" s="313">
        <v>0</v>
      </c>
      <c r="CO59" s="144" t="e">
        <f t="shared" si="203"/>
        <v>#DIV/0!</v>
      </c>
      <c r="CP59" s="117"/>
      <c r="CQ59" s="312">
        <v>0</v>
      </c>
      <c r="CR59" s="313">
        <v>0</v>
      </c>
      <c r="CS59" s="313">
        <v>0</v>
      </c>
      <c r="CT59" s="313">
        <v>0</v>
      </c>
      <c r="CU59" s="143" t="e">
        <f t="shared" si="252"/>
        <v>#DIV/0!</v>
      </c>
      <c r="CV59" s="313">
        <v>0</v>
      </c>
      <c r="CW59" s="144" t="e">
        <f t="shared" si="204"/>
        <v>#DIV/0!</v>
      </c>
      <c r="CX59" s="117"/>
      <c r="CY59" s="312">
        <v>0</v>
      </c>
      <c r="CZ59" s="313">
        <v>0</v>
      </c>
      <c r="DA59" s="313">
        <v>0</v>
      </c>
      <c r="DB59" s="313">
        <v>0</v>
      </c>
      <c r="DC59" s="143" t="e">
        <f t="shared" si="253"/>
        <v>#DIV/0!</v>
      </c>
      <c r="DD59" s="313">
        <v>0</v>
      </c>
      <c r="DE59" s="144" t="e">
        <f t="shared" si="205"/>
        <v>#DIV/0!</v>
      </c>
      <c r="DF59" s="9"/>
      <c r="DG59" s="354"/>
      <c r="DH59" s="9"/>
      <c r="DI59" s="9"/>
      <c r="DJ59" s="9"/>
      <c r="DK59" s="9"/>
      <c r="DL59" s="9"/>
      <c r="DM59" s="9"/>
      <c r="DN59" s="9"/>
      <c r="DO59" s="9"/>
      <c r="DP59" s="9"/>
      <c r="DQ59" s="9"/>
      <c r="DR59" s="9"/>
      <c r="DS59" s="9"/>
      <c r="DT59" s="9"/>
      <c r="DU59" s="9"/>
      <c r="DV59" s="9"/>
      <c r="DW59" s="9"/>
      <c r="DX59" s="9"/>
      <c r="DY59" s="9"/>
      <c r="DZ59" s="9"/>
      <c r="EA59" s="9"/>
      <c r="EB59" s="9"/>
      <c r="EC59" s="9"/>
      <c r="ED59" s="9"/>
      <c r="EE59" s="9"/>
    </row>
    <row r="60" spans="1:135" s="11" customFormat="1" ht="13.15" customHeight="1">
      <c r="A60" s="396"/>
      <c r="B60" s="70" t="s">
        <v>17</v>
      </c>
      <c r="C60" s="148">
        <f>SUM(L60,T60,AB60,AJ60,AR60,AZ60,BH60,BQ60,BZ60,CI60,CQ60,CY60)</f>
        <v>5631482</v>
      </c>
      <c r="D60" s="148">
        <f t="shared" si="236"/>
        <v>642834</v>
      </c>
      <c r="E60" s="148">
        <f t="shared" si="237"/>
        <v>4988648</v>
      </c>
      <c r="F60" s="148">
        <f t="shared" si="238"/>
        <v>4988648</v>
      </c>
      <c r="G60" s="14">
        <f t="shared" si="239"/>
        <v>0.11415005854586768</v>
      </c>
      <c r="H60" s="148">
        <f t="shared" si="240"/>
        <v>88000</v>
      </c>
      <c r="I60" s="14">
        <f t="shared" si="254"/>
        <v>1.5626437232685818E-2</v>
      </c>
      <c r="J60" s="216">
        <f>F60*$A$62</f>
        <v>1945572.72</v>
      </c>
      <c r="K60" s="117"/>
      <c r="L60" s="77">
        <v>236250</v>
      </c>
      <c r="M60" s="68">
        <v>47250</v>
      </c>
      <c r="N60" s="68">
        <v>189000</v>
      </c>
      <c r="O60" s="68">
        <v>189000</v>
      </c>
      <c r="P60" s="73">
        <f t="shared" si="242"/>
        <v>0.2</v>
      </c>
      <c r="Q60" s="68">
        <v>88000</v>
      </c>
      <c r="R60" s="74">
        <f t="shared" si="193"/>
        <v>0.37248677248677248</v>
      </c>
      <c r="S60" s="117"/>
      <c r="T60" s="77">
        <v>0</v>
      </c>
      <c r="U60" s="68">
        <v>0</v>
      </c>
      <c r="V60" s="68">
        <v>0</v>
      </c>
      <c r="W60" s="68">
        <v>0</v>
      </c>
      <c r="X60" s="73" t="e">
        <f t="shared" si="243"/>
        <v>#DIV/0!</v>
      </c>
      <c r="Y60" s="130">
        <v>0</v>
      </c>
      <c r="Z60" s="74" t="e">
        <f t="shared" si="194"/>
        <v>#DIV/0!</v>
      </c>
      <c r="AA60" s="117"/>
      <c r="AB60" s="77">
        <v>285000</v>
      </c>
      <c r="AC60" s="68">
        <v>0</v>
      </c>
      <c r="AD60" s="68">
        <v>285000</v>
      </c>
      <c r="AE60" s="68">
        <v>285000</v>
      </c>
      <c r="AF60" s="73">
        <f t="shared" si="244"/>
        <v>0</v>
      </c>
      <c r="AG60" s="130">
        <v>0</v>
      </c>
      <c r="AH60" s="74">
        <f t="shared" si="195"/>
        <v>0</v>
      </c>
      <c r="AI60" s="117"/>
      <c r="AJ60" s="77">
        <v>741875</v>
      </c>
      <c r="AK60" s="68">
        <v>91375</v>
      </c>
      <c r="AL60" s="68">
        <v>650500</v>
      </c>
      <c r="AM60" s="68">
        <v>650500</v>
      </c>
      <c r="AN60" s="14">
        <f t="shared" si="245"/>
        <v>0.12316764953664701</v>
      </c>
      <c r="AO60" s="68">
        <v>0</v>
      </c>
      <c r="AP60" s="17">
        <f t="shared" si="180"/>
        <v>0</v>
      </c>
      <c r="AQ60" s="117"/>
      <c r="AR60" s="306">
        <v>741875</v>
      </c>
      <c r="AS60" s="307">
        <v>91375</v>
      </c>
      <c r="AT60" s="307">
        <v>650500</v>
      </c>
      <c r="AU60" s="307">
        <v>650500</v>
      </c>
      <c r="AV60" s="73">
        <f t="shared" si="246"/>
        <v>0.12316764953664701</v>
      </c>
      <c r="AW60" s="307">
        <v>0</v>
      </c>
      <c r="AX60" s="74">
        <f t="shared" si="196"/>
        <v>0</v>
      </c>
      <c r="AY60" s="117"/>
      <c r="AZ60" s="306">
        <v>741875</v>
      </c>
      <c r="BA60" s="307">
        <v>91375</v>
      </c>
      <c r="BB60" s="307">
        <v>650500</v>
      </c>
      <c r="BC60" s="307">
        <v>650500</v>
      </c>
      <c r="BD60" s="73">
        <f t="shared" si="247"/>
        <v>0.12316764953664701</v>
      </c>
      <c r="BE60" s="307">
        <v>0</v>
      </c>
      <c r="BF60" s="74">
        <f t="shared" si="197"/>
        <v>0</v>
      </c>
      <c r="BG60" s="117"/>
      <c r="BH60" s="308">
        <v>685000</v>
      </c>
      <c r="BI60" s="309">
        <v>0</v>
      </c>
      <c r="BJ60" s="309">
        <v>685000</v>
      </c>
      <c r="BK60" s="309">
        <v>685000</v>
      </c>
      <c r="BL60" s="87">
        <f t="shared" si="248"/>
        <v>0</v>
      </c>
      <c r="BM60" s="309">
        <v>0</v>
      </c>
      <c r="BN60" s="88">
        <f t="shared" si="199"/>
        <v>0</v>
      </c>
      <c r="BO60" s="216">
        <f>BK60*$A$62</f>
        <v>267150</v>
      </c>
      <c r="BP60" s="117"/>
      <c r="BQ60" s="362">
        <v>886968</v>
      </c>
      <c r="BR60" s="363">
        <v>120394</v>
      </c>
      <c r="BS60" s="363">
        <v>766574</v>
      </c>
      <c r="BT60" s="363">
        <v>766574</v>
      </c>
      <c r="BU60" s="87">
        <f t="shared" si="249"/>
        <v>0.13573657674234019</v>
      </c>
      <c r="BV60" s="363">
        <v>0</v>
      </c>
      <c r="BW60" s="88">
        <f t="shared" si="201"/>
        <v>0</v>
      </c>
      <c r="BX60" s="359">
        <f>BT60*$A$62</f>
        <v>298963.86</v>
      </c>
      <c r="BY60" s="117"/>
      <c r="BZ60" s="362">
        <v>1312639</v>
      </c>
      <c r="CA60" s="363">
        <v>201065</v>
      </c>
      <c r="CB60" s="363">
        <v>1111574</v>
      </c>
      <c r="CC60" s="363">
        <v>1111574</v>
      </c>
      <c r="CD60" s="87">
        <f t="shared" si="250"/>
        <v>0.15317615886774658</v>
      </c>
      <c r="CE60" s="363">
        <v>0</v>
      </c>
      <c r="CF60" s="88">
        <f t="shared" si="202"/>
        <v>0</v>
      </c>
      <c r="CG60" s="359">
        <f>CC60*$A$62</f>
        <v>433513.86</v>
      </c>
      <c r="CH60" s="117"/>
      <c r="CI60" s="312">
        <v>0</v>
      </c>
      <c r="CJ60" s="313">
        <v>0</v>
      </c>
      <c r="CK60" s="313">
        <v>0</v>
      </c>
      <c r="CL60" s="313">
        <v>0</v>
      </c>
      <c r="CM60" s="143" t="e">
        <f t="shared" si="251"/>
        <v>#DIV/0!</v>
      </c>
      <c r="CN60" s="313">
        <v>0</v>
      </c>
      <c r="CO60" s="144" t="e">
        <f t="shared" si="203"/>
        <v>#DIV/0!</v>
      </c>
      <c r="CP60" s="117"/>
      <c r="CQ60" s="312">
        <v>0</v>
      </c>
      <c r="CR60" s="313">
        <v>0</v>
      </c>
      <c r="CS60" s="313">
        <v>0</v>
      </c>
      <c r="CT60" s="313">
        <v>0</v>
      </c>
      <c r="CU60" s="143" t="e">
        <f t="shared" si="252"/>
        <v>#DIV/0!</v>
      </c>
      <c r="CV60" s="313">
        <v>0</v>
      </c>
      <c r="CW60" s="144" t="e">
        <f t="shared" si="204"/>
        <v>#DIV/0!</v>
      </c>
      <c r="CX60" s="117"/>
      <c r="CY60" s="312">
        <v>0</v>
      </c>
      <c r="CZ60" s="313">
        <v>0</v>
      </c>
      <c r="DA60" s="313">
        <v>0</v>
      </c>
      <c r="DB60" s="313">
        <v>0</v>
      </c>
      <c r="DC60" s="143" t="e">
        <f t="shared" si="253"/>
        <v>#DIV/0!</v>
      </c>
      <c r="DD60" s="313">
        <v>0</v>
      </c>
      <c r="DE60" s="144" t="e">
        <f t="shared" si="205"/>
        <v>#DIV/0!</v>
      </c>
      <c r="DF60" s="9"/>
      <c r="DG60" s="354"/>
      <c r="DH60" s="9"/>
      <c r="DI60" s="9"/>
      <c r="DJ60" s="9"/>
      <c r="DK60" s="9"/>
      <c r="DL60" s="9"/>
      <c r="DM60" s="9"/>
      <c r="DN60" s="9"/>
      <c r="DO60" s="9"/>
      <c r="DP60" s="9"/>
      <c r="DQ60" s="9"/>
      <c r="DR60" s="9"/>
      <c r="DS60" s="9"/>
      <c r="DT60" s="9"/>
      <c r="DU60" s="9"/>
      <c r="DV60" s="9"/>
      <c r="DW60" s="9"/>
      <c r="DX60" s="9"/>
      <c r="DY60" s="9"/>
      <c r="DZ60" s="9"/>
      <c r="EA60" s="9"/>
      <c r="EB60" s="9"/>
      <c r="EC60" s="9"/>
      <c r="ED60" s="9"/>
      <c r="EE60" s="9"/>
    </row>
    <row r="61" spans="1:135" s="27" customFormat="1" ht="13" customHeight="1">
      <c r="A61" s="396"/>
      <c r="B61" s="194" t="s">
        <v>18</v>
      </c>
      <c r="C61" s="149">
        <f>SUM(C50:C60)</f>
        <v>22616173.871333335</v>
      </c>
      <c r="D61" s="149">
        <f>SUM(D50:D60)</f>
        <v>4212084.1500000004</v>
      </c>
      <c r="E61" s="149">
        <f>SUM(E50:E60)</f>
        <v>18401102.721333332</v>
      </c>
      <c r="F61" s="149">
        <f>SUM(F50:F60)</f>
        <v>18401102.721333332</v>
      </c>
      <c r="G61" s="15">
        <f>D61/C61</f>
        <v>0.18624211920031888</v>
      </c>
      <c r="H61" s="149">
        <f>SUM(H50:H60)</f>
        <v>98000</v>
      </c>
      <c r="I61" s="15">
        <f>H61/C61</f>
        <v>4.3331821092964752E-3</v>
      </c>
      <c r="J61" s="221" t="b">
        <f>J62=F62</f>
        <v>1</v>
      </c>
      <c r="K61" s="118"/>
      <c r="L61" s="203">
        <f>SUM(L50:L60)</f>
        <v>4317946.9984999998</v>
      </c>
      <c r="M61" s="37">
        <f>SUM(M50:M60)</f>
        <v>434554.2</v>
      </c>
      <c r="N61" s="37">
        <f>SUM(N50:N60)</f>
        <v>2424481.2385</v>
      </c>
      <c r="O61" s="37">
        <f>SUM(O50:O60)</f>
        <v>2424481.2385</v>
      </c>
      <c r="P61" s="15">
        <f>(L61-O61)/L61</f>
        <v>0.43851065347901813</v>
      </c>
      <c r="Q61" s="37">
        <f>SUM(Q50:Q60)</f>
        <v>98000</v>
      </c>
      <c r="R61" s="83">
        <f t="shared" si="193"/>
        <v>2.2695971033003408E-2</v>
      </c>
      <c r="S61" s="118"/>
      <c r="T61" s="95">
        <f>SUM(T50:T60)</f>
        <v>2083568.1600000001</v>
      </c>
      <c r="U61" s="96">
        <f>SUM(U50:U60)</f>
        <v>514740.25</v>
      </c>
      <c r="V61" s="96">
        <f>SUM(V50:V60)</f>
        <v>1568827.9100000001</v>
      </c>
      <c r="W61" s="96">
        <f>SUM(W50:W60)</f>
        <v>1568827.9100000001</v>
      </c>
      <c r="X61" s="15">
        <f>(T61-W61)/T61</f>
        <v>0.24704747359932777</v>
      </c>
      <c r="Y61" s="96">
        <f>SUM(Y50:Y60)</f>
        <v>0</v>
      </c>
      <c r="Z61" s="83">
        <f t="shared" si="194"/>
        <v>0</v>
      </c>
      <c r="AA61" s="118"/>
      <c r="AB61" s="95">
        <f>SUM(AB50:AB60)</f>
        <v>3794273.9228333333</v>
      </c>
      <c r="AC61" s="96">
        <f>SUM(AC50:AC60)</f>
        <v>653017.19999999995</v>
      </c>
      <c r="AD61" s="96">
        <f>SUM(AD50:AD60)</f>
        <v>3141256.7228333331</v>
      </c>
      <c r="AE61" s="96">
        <f>SUM(AE50:AE60)</f>
        <v>3141256.7228333331</v>
      </c>
      <c r="AF61" s="15">
        <f>(AB61-AE61)/AB61</f>
        <v>0.17210597159847821</v>
      </c>
      <c r="AG61" s="96">
        <f>SUM(AG50:AG60)</f>
        <v>0</v>
      </c>
      <c r="AH61" s="83">
        <f t="shared" si="195"/>
        <v>0</v>
      </c>
      <c r="AI61" s="118"/>
      <c r="AJ61" s="95">
        <f>SUM(AJ50:AJ60)</f>
        <v>2419351.4500000002</v>
      </c>
      <c r="AK61" s="96">
        <f>SUM(AK50:AK60)</f>
        <v>620238</v>
      </c>
      <c r="AL61" s="96">
        <f>SUM(AL50:AL60)</f>
        <v>1799113.45</v>
      </c>
      <c r="AM61" s="96">
        <f>SUM(AM50:AM60)</f>
        <v>1799113.45</v>
      </c>
      <c r="AN61" s="15">
        <f>(AJ61-AM61)/AJ61</f>
        <v>0.25636539908246908</v>
      </c>
      <c r="AO61" s="96">
        <f>SUM(AO50:AO60)</f>
        <v>0</v>
      </c>
      <c r="AP61" s="83">
        <f t="shared" si="180"/>
        <v>0</v>
      </c>
      <c r="AQ61" s="118"/>
      <c r="AR61" s="311">
        <f>SUM(AR50:AR60)</f>
        <v>2419351.4500000002</v>
      </c>
      <c r="AS61" s="310">
        <f>SUM(AS50:AS60)</f>
        <v>620238</v>
      </c>
      <c r="AT61" s="310">
        <f>SUM(AT50:AT60)</f>
        <v>1799113.45</v>
      </c>
      <c r="AU61" s="310">
        <f>SUM(AU50:AU60)</f>
        <v>1799113.45</v>
      </c>
      <c r="AV61" s="15">
        <f>(AR61-AU61)/AR61</f>
        <v>0.25636539908246908</v>
      </c>
      <c r="AW61" s="310">
        <f>SUM(AW50:AW60)</f>
        <v>0</v>
      </c>
      <c r="AX61" s="83">
        <f t="shared" si="196"/>
        <v>0</v>
      </c>
      <c r="AY61" s="118"/>
      <c r="AZ61" s="311">
        <f>SUM(AZ50:AZ60)</f>
        <v>2419351.4500000002</v>
      </c>
      <c r="BA61" s="310">
        <f>SUM(BA50:BA60)</f>
        <v>620238</v>
      </c>
      <c r="BB61" s="310">
        <f>SUM(BB50:BB60)</f>
        <v>1799113.45</v>
      </c>
      <c r="BC61" s="310">
        <f>SUM(BC50:BC60)</f>
        <v>1799113.45</v>
      </c>
      <c r="BD61" s="15">
        <f>(AZ61-BC61)/AZ61</f>
        <v>0.25636539908246908</v>
      </c>
      <c r="BE61" s="310">
        <f>SUM(BE50:BE60)</f>
        <v>0</v>
      </c>
      <c r="BF61" s="83">
        <f t="shared" si="197"/>
        <v>0</v>
      </c>
      <c r="BG61" s="118"/>
      <c r="BH61" s="311">
        <f>SUM(BH50:BH60)</f>
        <v>2227252</v>
      </c>
      <c r="BI61" s="310">
        <f>SUM(BI50:BI60)</f>
        <v>202111</v>
      </c>
      <c r="BJ61" s="310">
        <f>SUM(BJ50:BJ60)</f>
        <v>2025141</v>
      </c>
      <c r="BK61" s="310">
        <f>SUM(BK50:BK60)</f>
        <v>2025141</v>
      </c>
      <c r="BL61" s="15">
        <f>(BH61-BK61)/BH61</f>
        <v>9.0744558765689737E-2</v>
      </c>
      <c r="BM61" s="310">
        <f>SUM(BM50:BM60)</f>
        <v>0</v>
      </c>
      <c r="BN61" s="83">
        <f t="shared" si="199"/>
        <v>0</v>
      </c>
      <c r="BO61" s="221" t="b">
        <f>BO62=BK62</f>
        <v>1</v>
      </c>
      <c r="BP61" s="118"/>
      <c r="BQ61" s="95">
        <f>SUM(BQ50:BQ60)</f>
        <v>1715158</v>
      </c>
      <c r="BR61" s="96">
        <f>SUM(BR50:BR60)</f>
        <v>206583</v>
      </c>
      <c r="BS61" s="96">
        <f>SUM(BS50:BS60)</f>
        <v>1508575</v>
      </c>
      <c r="BT61" s="96">
        <f>SUM(BT50:BT60)</f>
        <v>1508575</v>
      </c>
      <c r="BU61" s="15">
        <f>(BQ61-BT61)/BQ61</f>
        <v>0.12044546333340718</v>
      </c>
      <c r="BV61" s="96">
        <f>SUM(BV50:BV60)</f>
        <v>0</v>
      </c>
      <c r="BW61" s="83">
        <f t="shared" si="201"/>
        <v>0</v>
      </c>
      <c r="BX61" s="221" t="b">
        <f>BX62=BT62</f>
        <v>1</v>
      </c>
      <c r="BY61" s="118"/>
      <c r="BZ61" s="95">
        <f>SUM(BZ50:BZ60)</f>
        <v>2675915</v>
      </c>
      <c r="CA61" s="96">
        <f>SUM(CA50:CA60)</f>
        <v>340364.5</v>
      </c>
      <c r="CB61" s="96">
        <f>SUM(CB50:CB60)</f>
        <v>2335480.5</v>
      </c>
      <c r="CC61" s="96">
        <f>SUM(CC50:CC60)</f>
        <v>2335480.5</v>
      </c>
      <c r="CD61" s="15">
        <f>(BZ61-CC61)/BZ61</f>
        <v>0.1272217166838259</v>
      </c>
      <c r="CE61" s="96">
        <f>SUM(CE50:CE60)</f>
        <v>0</v>
      </c>
      <c r="CF61" s="83">
        <f t="shared" si="202"/>
        <v>0</v>
      </c>
      <c r="CG61" s="221" t="b">
        <f>CG62=CC62</f>
        <v>1</v>
      </c>
      <c r="CH61" s="118"/>
      <c r="CI61" s="95">
        <f>SUM(CI50:CI60)</f>
        <v>0</v>
      </c>
      <c r="CJ61" s="96">
        <f>SUM(CJ50:CJ60)</f>
        <v>0</v>
      </c>
      <c r="CK61" s="96">
        <f>SUM(CK50:CK60)</f>
        <v>0</v>
      </c>
      <c r="CL61" s="96">
        <f>SUM(CL50:CL60)</f>
        <v>0</v>
      </c>
      <c r="CM61" s="15" t="e">
        <f>(CI61-CL61)/CI61</f>
        <v>#DIV/0!</v>
      </c>
      <c r="CN61" s="96">
        <f>SUM(CN50:CN60)</f>
        <v>0</v>
      </c>
      <c r="CO61" s="83" t="e">
        <f t="shared" si="203"/>
        <v>#DIV/0!</v>
      </c>
      <c r="CP61" s="118"/>
      <c r="CQ61" s="95">
        <f>SUM(CQ50:CQ60)</f>
        <v>0</v>
      </c>
      <c r="CR61" s="96">
        <f>SUM(CR50:CR60)</f>
        <v>0</v>
      </c>
      <c r="CS61" s="96">
        <f>SUM(CS50:CS60)</f>
        <v>0</v>
      </c>
      <c r="CT61" s="96">
        <f>SUM(CT50:CT60)</f>
        <v>0</v>
      </c>
      <c r="CU61" s="15" t="e">
        <f>(CQ61-CT61)/CQ61</f>
        <v>#DIV/0!</v>
      </c>
      <c r="CV61" s="96">
        <f>SUM(CV50:CV60)</f>
        <v>0</v>
      </c>
      <c r="CW61" s="83" t="e">
        <f t="shared" si="204"/>
        <v>#DIV/0!</v>
      </c>
      <c r="CX61" s="118"/>
      <c r="CY61" s="95">
        <f>SUM(CY50:CY60)</f>
        <v>0</v>
      </c>
      <c r="CZ61" s="96">
        <f>SUM(CZ50:CZ60)</f>
        <v>0</v>
      </c>
      <c r="DA61" s="96">
        <f>SUM(DA50:DA60)</f>
        <v>0</v>
      </c>
      <c r="DB61" s="96">
        <f>SUM(DB50:DB60)</f>
        <v>0</v>
      </c>
      <c r="DC61" s="15" t="e">
        <f>(CY61-DB61)/CY61</f>
        <v>#DIV/0!</v>
      </c>
      <c r="DD61" s="96">
        <f>SUM(DD50:DD60)</f>
        <v>0</v>
      </c>
      <c r="DE61" s="83" t="e">
        <f t="shared" si="205"/>
        <v>#DIV/0!</v>
      </c>
      <c r="DF61" s="19"/>
      <c r="DG61" s="351"/>
      <c r="DH61" s="19"/>
      <c r="DI61" s="19"/>
      <c r="DJ61" s="19"/>
      <c r="DK61" s="19"/>
      <c r="DL61" s="19"/>
      <c r="DM61" s="19"/>
      <c r="DN61" s="19"/>
      <c r="DO61" s="19"/>
      <c r="DP61" s="19"/>
      <c r="DQ61" s="19"/>
      <c r="DR61" s="19"/>
      <c r="DS61" s="19"/>
      <c r="DT61" s="19"/>
      <c r="DU61" s="19"/>
      <c r="DV61" s="19"/>
      <c r="DW61" s="19"/>
      <c r="DX61" s="19"/>
      <c r="DY61" s="19"/>
      <c r="DZ61" s="19"/>
      <c r="EA61" s="19"/>
      <c r="EB61" s="19"/>
      <c r="EC61" s="19"/>
      <c r="ED61" s="19"/>
      <c r="EE61" s="19"/>
    </row>
    <row r="62" spans="1:135" s="22" customFormat="1" ht="13" customHeight="1">
      <c r="A62" s="214">
        <v>0.39</v>
      </c>
      <c r="B62" s="191" t="s">
        <v>19</v>
      </c>
      <c r="C62" s="212">
        <f>C61*$A$62</f>
        <v>8820307.8098200001</v>
      </c>
      <c r="D62" s="212">
        <f t="shared" ref="D62:E62" si="255">D61*$A$62</f>
        <v>1642712.8185000003</v>
      </c>
      <c r="E62" s="212">
        <f t="shared" si="255"/>
        <v>7176430.0613200003</v>
      </c>
      <c r="F62" s="212">
        <f>F61*$A$62</f>
        <v>7176430.0613200003</v>
      </c>
      <c r="G62" s="181"/>
      <c r="H62" s="213">
        <f>H61*A62</f>
        <v>38220</v>
      </c>
      <c r="I62" s="181"/>
      <c r="J62" s="217">
        <f>SUM(J50:J60)</f>
        <v>7176430.0613199994</v>
      </c>
      <c r="K62" s="112"/>
      <c r="L62" s="245">
        <f>L61*$A$62</f>
        <v>1683999.329415</v>
      </c>
      <c r="M62" s="213">
        <f t="shared" ref="M62" si="256">M61*$A$62</f>
        <v>169476.13800000001</v>
      </c>
      <c r="N62" s="213">
        <f>N61*$A$62</f>
        <v>945547.68301500008</v>
      </c>
      <c r="O62" s="213">
        <f t="shared" ref="O62" si="257">O61*$A$62</f>
        <v>945547.68301500008</v>
      </c>
      <c r="P62" s="243"/>
      <c r="Q62" s="213">
        <f>Q61*J62</f>
        <v>703290146009.35999</v>
      </c>
      <c r="R62" s="246"/>
      <c r="S62" s="112"/>
      <c r="T62" s="245">
        <f>T61*$A$62</f>
        <v>812591.58240000007</v>
      </c>
      <c r="U62" s="213">
        <f t="shared" ref="U62" si="258">U61*$A$62</f>
        <v>200748.69750000001</v>
      </c>
      <c r="V62" s="213">
        <f t="shared" ref="V62" si="259">V61*$A$62</f>
        <v>611842.88490000006</v>
      </c>
      <c r="W62" s="213">
        <f t="shared" ref="W62" si="260">W61*$A$62</f>
        <v>611842.88490000006</v>
      </c>
      <c r="X62" s="243"/>
      <c r="Y62" s="213">
        <f>Y61*R62</f>
        <v>0</v>
      </c>
      <c r="Z62" s="246"/>
      <c r="AA62" s="112"/>
      <c r="AB62" s="245">
        <f>AB61*$A$62</f>
        <v>1479766.829905</v>
      </c>
      <c r="AC62" s="213">
        <f t="shared" ref="AC62" si="261">AC61*$A$62</f>
        <v>254676.70799999998</v>
      </c>
      <c r="AD62" s="213">
        <f t="shared" ref="AD62" si="262">AD61*$A$62</f>
        <v>1225090.1219049999</v>
      </c>
      <c r="AE62" s="213">
        <f t="shared" ref="AE62" si="263">AE61*$A$62</f>
        <v>1225090.1219049999</v>
      </c>
      <c r="AF62" s="243"/>
      <c r="AG62" s="213">
        <f>AG61*Z62</f>
        <v>0</v>
      </c>
      <c r="AH62" s="246"/>
      <c r="AI62" s="112"/>
      <c r="AJ62" s="245">
        <f>AJ61*$A$62</f>
        <v>943547.06550000014</v>
      </c>
      <c r="AK62" s="213">
        <f t="shared" ref="AK62" si="264">AK61*$A$62</f>
        <v>241892.82</v>
      </c>
      <c r="AL62" s="213">
        <f t="shared" ref="AL62" si="265">AL61*$A$62</f>
        <v>701654.24549999996</v>
      </c>
      <c r="AM62" s="213">
        <f t="shared" ref="AM62" si="266">AM61*$A$62</f>
        <v>701654.24549999996</v>
      </c>
      <c r="AN62" s="243"/>
      <c r="AO62" s="213">
        <f>AO61*AH62</f>
        <v>0</v>
      </c>
      <c r="AP62" s="246"/>
      <c r="AQ62" s="112"/>
      <c r="AR62" s="245">
        <f>AR61*$A$62</f>
        <v>943547.06550000014</v>
      </c>
      <c r="AS62" s="213">
        <f t="shared" ref="AS62" si="267">AS61*$A$62</f>
        <v>241892.82</v>
      </c>
      <c r="AT62" s="213">
        <f t="shared" ref="AT62" si="268">AT61*$A$62</f>
        <v>701654.24549999996</v>
      </c>
      <c r="AU62" s="213">
        <f t="shared" ref="AU62" si="269">AU61*$A$62</f>
        <v>701654.24549999996</v>
      </c>
      <c r="AV62" s="243"/>
      <c r="AW62" s="213">
        <f>AW61*AP62</f>
        <v>0</v>
      </c>
      <c r="AX62" s="246"/>
      <c r="AY62" s="112"/>
      <c r="AZ62" s="245">
        <f>AZ61*$A$62</f>
        <v>943547.06550000014</v>
      </c>
      <c r="BA62" s="213">
        <f t="shared" ref="BA62" si="270">BA61*$A$62</f>
        <v>241892.82</v>
      </c>
      <c r="BB62" s="213">
        <f t="shared" ref="BB62" si="271">BB61*$A$62</f>
        <v>701654.24549999996</v>
      </c>
      <c r="BC62" s="213">
        <f t="shared" ref="BC62" si="272">BC61*$A$62</f>
        <v>701654.24549999996</v>
      </c>
      <c r="BD62" s="243"/>
      <c r="BE62" s="213">
        <f>BE61*AX62</f>
        <v>0</v>
      </c>
      <c r="BF62" s="246"/>
      <c r="BG62" s="112"/>
      <c r="BH62" s="245">
        <f>BH61*$A$62</f>
        <v>868628.28</v>
      </c>
      <c r="BI62" s="213">
        <f t="shared" ref="BI62" si="273">BI61*$A$62</f>
        <v>78823.290000000008</v>
      </c>
      <c r="BJ62" s="213">
        <f t="shared" ref="BJ62" si="274">BJ61*$A$62</f>
        <v>789804.99</v>
      </c>
      <c r="BK62" s="213">
        <f t="shared" ref="BK62" si="275">BK61*$A$62</f>
        <v>789804.99</v>
      </c>
      <c r="BL62" s="243"/>
      <c r="BM62" s="213">
        <f>BM61*BF62</f>
        <v>0</v>
      </c>
      <c r="BN62" s="246"/>
      <c r="BO62" s="217">
        <f>SUM(BO50:BO60)</f>
        <v>789804.99</v>
      </c>
      <c r="BP62" s="112"/>
      <c r="BQ62" s="245">
        <f>BQ61*$A$62</f>
        <v>668911.62</v>
      </c>
      <c r="BR62" s="213">
        <f t="shared" ref="BR62" si="276">BR61*$A$62</f>
        <v>80567.37000000001</v>
      </c>
      <c r="BS62" s="213">
        <f t="shared" ref="BS62" si="277">BS61*$A$62</f>
        <v>588344.25</v>
      </c>
      <c r="BT62" s="213">
        <f>BT61*$A$62</f>
        <v>588344.25</v>
      </c>
      <c r="BU62" s="243"/>
      <c r="BV62" s="213">
        <f>BV61*BN62</f>
        <v>0</v>
      </c>
      <c r="BW62" s="246"/>
      <c r="BX62" s="217">
        <f>SUM(BX50:BX60)</f>
        <v>588344.25</v>
      </c>
      <c r="BY62" s="112"/>
      <c r="BZ62" s="245">
        <f>BZ61*$A$62</f>
        <v>1043606.8500000001</v>
      </c>
      <c r="CA62" s="213">
        <f t="shared" ref="CA62" si="278">CA61*$A$62</f>
        <v>132742.155</v>
      </c>
      <c r="CB62" s="213">
        <f t="shared" ref="CB62" si="279">CB61*$A$62</f>
        <v>910837.39500000002</v>
      </c>
      <c r="CC62" s="213">
        <f t="shared" ref="CC62" si="280">CC61*$A$62</f>
        <v>910837.39500000002</v>
      </c>
      <c r="CD62" s="243"/>
      <c r="CE62" s="213">
        <f>CE61*A62</f>
        <v>0</v>
      </c>
      <c r="CF62" s="246"/>
      <c r="CG62" s="217">
        <f>SUM(CG50:CG60)</f>
        <v>910837.39500000002</v>
      </c>
      <c r="CH62" s="112"/>
      <c r="CI62" s="245">
        <f>CI61*$A$62</f>
        <v>0</v>
      </c>
      <c r="CJ62" s="213">
        <f t="shared" ref="CJ62" si="281">CJ61*$A$62</f>
        <v>0</v>
      </c>
      <c r="CK62" s="213">
        <f t="shared" ref="CK62" si="282">CK61*$A$62</f>
        <v>0</v>
      </c>
      <c r="CL62" s="213">
        <f t="shared" ref="CL62" si="283">CL61*$A$62</f>
        <v>0</v>
      </c>
      <c r="CM62" s="243"/>
      <c r="CN62" s="213">
        <f>CN61*CF62</f>
        <v>0</v>
      </c>
      <c r="CO62" s="246"/>
      <c r="CP62" s="112"/>
      <c r="CQ62" s="245">
        <f>CQ61*$A$62</f>
        <v>0</v>
      </c>
      <c r="CR62" s="213">
        <f t="shared" ref="CR62" si="284">CR61*$A$62</f>
        <v>0</v>
      </c>
      <c r="CS62" s="213">
        <f t="shared" ref="CS62" si="285">CS61*$A$62</f>
        <v>0</v>
      </c>
      <c r="CT62" s="213">
        <f t="shared" ref="CT62" si="286">CT61*$A$62</f>
        <v>0</v>
      </c>
      <c r="CU62" s="243"/>
      <c r="CV62" s="213">
        <f>CV61*CO62</f>
        <v>0</v>
      </c>
      <c r="CW62" s="246"/>
      <c r="CX62" s="112"/>
      <c r="CY62" s="245">
        <f>CY61*$A$62</f>
        <v>0</v>
      </c>
      <c r="CZ62" s="213">
        <f t="shared" ref="CZ62" si="287">CZ61*$A$62</f>
        <v>0</v>
      </c>
      <c r="DA62" s="213">
        <f t="shared" ref="DA62" si="288">DA61*$A$62</f>
        <v>0</v>
      </c>
      <c r="DB62" s="213">
        <f t="shared" ref="DB62" si="289">DB61*$A$62</f>
        <v>0</v>
      </c>
      <c r="DC62" s="243"/>
      <c r="DD62" s="213">
        <f>DD61*CW62</f>
        <v>0</v>
      </c>
      <c r="DE62" s="246"/>
      <c r="DF62" s="8"/>
      <c r="DG62" s="351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</row>
    <row r="63" spans="1:135" s="11" customFormat="1" ht="13.15" customHeight="1">
      <c r="A63" s="395" t="s">
        <v>23</v>
      </c>
      <c r="B63" s="69" t="s">
        <v>12</v>
      </c>
      <c r="C63" s="148">
        <f>SUM(L63,T63,AB63,AJ63,AR63,AZ63,BH63,BQ63,BZ63,CI63,CQ63,CY63)</f>
        <v>0</v>
      </c>
      <c r="D63" s="148">
        <f t="shared" ref="D63:D73" si="290">SUM(M63,U63,AC63,AK63,AS63,BA63,BI63,BR63,CA63,CJ63,CR63,CZ63)</f>
        <v>0</v>
      </c>
      <c r="E63" s="148">
        <f>SUM(N63,V63,AD63,AL63,AT63,BB63,BJ63,BS63,CB63,CK63,CS63,DA63)</f>
        <v>0</v>
      </c>
      <c r="F63" s="148">
        <f t="shared" ref="F63:F73" si="291">SUM(O63,W63,AE63,AM63,AU63,BC63,BK63,BT63,CC63,CL63,CT63,DB63)</f>
        <v>0</v>
      </c>
      <c r="G63" s="14" t="e">
        <f>D63/C63</f>
        <v>#DIV/0!</v>
      </c>
      <c r="H63" s="148">
        <f>SUM(Q63,Y63,AG63,AO63,AW63,BE63,BM63,BV63,CE63,CN63,CV63,DD63)</f>
        <v>0</v>
      </c>
      <c r="I63" s="14" t="e">
        <f>H63/C63</f>
        <v>#DIV/0!</v>
      </c>
      <c r="J63" s="220">
        <f>F63*$A$75</f>
        <v>0</v>
      </c>
      <c r="K63" s="119"/>
      <c r="L63" s="78">
        <v>0</v>
      </c>
      <c r="M63" s="21">
        <v>0</v>
      </c>
      <c r="N63" s="21">
        <v>0</v>
      </c>
      <c r="O63" s="21">
        <v>0</v>
      </c>
      <c r="P63" s="73" t="e">
        <f>M63/L63</f>
        <v>#DIV/0!</v>
      </c>
      <c r="Q63" s="84">
        <v>0</v>
      </c>
      <c r="R63" s="74" t="e">
        <f t="shared" si="193"/>
        <v>#DIV/0!</v>
      </c>
      <c r="S63" s="119">
        <v>0</v>
      </c>
      <c r="T63" s="86">
        <v>0</v>
      </c>
      <c r="U63" s="84">
        <v>0</v>
      </c>
      <c r="V63" s="84">
        <v>0</v>
      </c>
      <c r="W63" s="84">
        <v>0</v>
      </c>
      <c r="X63" s="87" t="e">
        <f>U63/T63</f>
        <v>#DIV/0!</v>
      </c>
      <c r="Y63" s="85">
        <v>0</v>
      </c>
      <c r="Z63" s="17" t="e">
        <f t="shared" si="194"/>
        <v>#DIV/0!</v>
      </c>
      <c r="AA63" s="119">
        <v>0</v>
      </c>
      <c r="AB63" s="86">
        <v>0</v>
      </c>
      <c r="AC63" s="84">
        <v>0</v>
      </c>
      <c r="AD63" s="84">
        <v>0</v>
      </c>
      <c r="AE63" s="84">
        <v>0</v>
      </c>
      <c r="AF63" s="87" t="e">
        <f>AC63/AB63</f>
        <v>#DIV/0!</v>
      </c>
      <c r="AG63" s="84">
        <v>0</v>
      </c>
      <c r="AH63" s="88" t="e">
        <f t="shared" si="195"/>
        <v>#DIV/0!</v>
      </c>
      <c r="AI63" s="119"/>
      <c r="AJ63" s="78">
        <v>0</v>
      </c>
      <c r="AK63" s="21">
        <f t="shared" ref="AK63:AK70" si="292">AJ63-AL63</f>
        <v>0</v>
      </c>
      <c r="AL63" s="21">
        <v>0</v>
      </c>
      <c r="AM63" s="21">
        <v>0</v>
      </c>
      <c r="AN63" s="73" t="e">
        <f t="shared" ref="AN63:AN73" si="293">AK63/AJ63</f>
        <v>#DIV/0!</v>
      </c>
      <c r="AO63" s="21">
        <v>0</v>
      </c>
      <c r="AP63" s="74" t="e">
        <f t="shared" si="180"/>
        <v>#DIV/0!</v>
      </c>
      <c r="AQ63" s="119"/>
      <c r="AR63" s="78">
        <v>0</v>
      </c>
      <c r="AS63" s="21">
        <f t="shared" ref="AS63:AS73" si="294">AR63-AT63</f>
        <v>0</v>
      </c>
      <c r="AT63" s="21">
        <v>0</v>
      </c>
      <c r="AU63" s="21">
        <v>0</v>
      </c>
      <c r="AV63" s="73" t="e">
        <f t="shared" ref="AV63:AV73" si="295">AS63/AR63</f>
        <v>#DIV/0!</v>
      </c>
      <c r="AW63" s="21">
        <v>0</v>
      </c>
      <c r="AX63" s="74" t="e">
        <f t="shared" si="196"/>
        <v>#DIV/0!</v>
      </c>
      <c r="AY63" s="119"/>
      <c r="AZ63" s="78">
        <v>0</v>
      </c>
      <c r="BA63" s="21">
        <v>0</v>
      </c>
      <c r="BB63" s="21">
        <f>AZ63-BA63</f>
        <v>0</v>
      </c>
      <c r="BC63" s="21">
        <v>0</v>
      </c>
      <c r="BD63" s="73" t="e">
        <f t="shared" ref="BD63:BD73" si="296">BA63/AZ63</f>
        <v>#DIV/0!</v>
      </c>
      <c r="BE63" s="21">
        <v>0</v>
      </c>
      <c r="BF63" s="74" t="e">
        <f t="shared" si="197"/>
        <v>#DIV/0!</v>
      </c>
      <c r="BG63" s="119"/>
      <c r="BH63" s="78">
        <v>0</v>
      </c>
      <c r="BI63" s="21">
        <v>0</v>
      </c>
      <c r="BJ63" s="21">
        <v>0</v>
      </c>
      <c r="BK63" s="21">
        <v>0</v>
      </c>
      <c r="BL63" s="73" t="e">
        <f t="shared" ref="BL63:BL73" si="297">BI63/BH63</f>
        <v>#DIV/0!</v>
      </c>
      <c r="BM63" s="21">
        <v>0</v>
      </c>
      <c r="BN63" s="74" t="e">
        <f t="shared" si="199"/>
        <v>#DIV/0!</v>
      </c>
      <c r="BO63" s="220">
        <f>BK63*$A$75</f>
        <v>0</v>
      </c>
      <c r="BP63" s="119"/>
      <c r="BQ63" s="78">
        <v>0</v>
      </c>
      <c r="BR63" s="21">
        <v>0</v>
      </c>
      <c r="BS63" s="21">
        <v>0</v>
      </c>
      <c r="BT63" s="21">
        <v>0</v>
      </c>
      <c r="BU63" s="73" t="e">
        <f t="shared" ref="BU63:BU73" si="298">BR63/BQ63</f>
        <v>#DIV/0!</v>
      </c>
      <c r="BV63" s="21">
        <v>0</v>
      </c>
      <c r="BW63" s="74" t="e">
        <f t="shared" si="201"/>
        <v>#DIV/0!</v>
      </c>
      <c r="BX63" s="359">
        <f>BT63*$A$75</f>
        <v>0</v>
      </c>
      <c r="BY63" s="119"/>
      <c r="BZ63" s="78">
        <v>0</v>
      </c>
      <c r="CA63" s="21">
        <f>BZ63-CB63</f>
        <v>0</v>
      </c>
      <c r="CB63" s="21">
        <v>0</v>
      </c>
      <c r="CC63" s="21">
        <v>0</v>
      </c>
      <c r="CD63" s="73" t="e">
        <f t="shared" ref="CD63:CD73" si="299">CA63/BZ63</f>
        <v>#DIV/0!</v>
      </c>
      <c r="CE63" s="84">
        <v>0</v>
      </c>
      <c r="CF63" s="74" t="e">
        <f t="shared" si="202"/>
        <v>#DIV/0!</v>
      </c>
      <c r="CG63" s="359">
        <f>CC63*$A$75</f>
        <v>0</v>
      </c>
      <c r="CH63" s="119"/>
      <c r="CI63" s="314"/>
      <c r="CJ63" s="315"/>
      <c r="CK63" s="315"/>
      <c r="CL63" s="315"/>
      <c r="CM63" s="133" t="e">
        <f t="shared" ref="CM63:CM73" si="300">CJ63/CI63</f>
        <v>#DIV/0!</v>
      </c>
      <c r="CN63" s="316"/>
      <c r="CO63" s="135" t="e">
        <f t="shared" si="203"/>
        <v>#DIV/0!</v>
      </c>
      <c r="CP63" s="119"/>
      <c r="CQ63" s="314"/>
      <c r="CR63" s="315"/>
      <c r="CS63" s="315"/>
      <c r="CT63" s="315"/>
      <c r="CU63" s="133" t="e">
        <f t="shared" ref="CU63:CU73" si="301">CR63/CQ63</f>
        <v>#DIV/0!</v>
      </c>
      <c r="CV63" s="316"/>
      <c r="CW63" s="135" t="e">
        <f t="shared" si="204"/>
        <v>#DIV/0!</v>
      </c>
      <c r="CX63" s="119"/>
      <c r="CY63" s="314"/>
      <c r="CZ63" s="315"/>
      <c r="DA63" s="315"/>
      <c r="DB63" s="315"/>
      <c r="DC63" s="133" t="e">
        <f t="shared" ref="DC63:DC73" si="302">CZ63/CY63</f>
        <v>#DIV/0!</v>
      </c>
      <c r="DD63" s="316"/>
      <c r="DE63" s="135" t="e">
        <f t="shared" si="205"/>
        <v>#DIV/0!</v>
      </c>
      <c r="DF63" s="9"/>
      <c r="DG63" s="354"/>
      <c r="DH63" s="9"/>
      <c r="DI63" s="9"/>
      <c r="DJ63" s="9"/>
      <c r="DK63" s="9"/>
      <c r="DL63" s="9"/>
      <c r="DM63" s="9"/>
      <c r="DN63" s="9"/>
      <c r="DO63" s="9"/>
      <c r="DP63" s="9"/>
      <c r="DQ63" s="9"/>
      <c r="DR63" s="9"/>
      <c r="DS63" s="9"/>
      <c r="DT63" s="9"/>
      <c r="DU63" s="9"/>
      <c r="DV63" s="9"/>
      <c r="DW63" s="9"/>
      <c r="DX63" s="9"/>
      <c r="DY63" s="9"/>
      <c r="DZ63" s="9"/>
      <c r="EA63" s="9"/>
      <c r="EB63" s="9"/>
      <c r="EC63" s="9"/>
      <c r="ED63" s="9"/>
      <c r="EE63" s="9"/>
    </row>
    <row r="64" spans="1:135" s="11" customFormat="1" ht="13.15" customHeight="1">
      <c r="A64" s="396"/>
      <c r="B64" s="70" t="s">
        <v>13</v>
      </c>
      <c r="C64" s="148">
        <f>SUM(L64,T64,AB64,AJ64,AR64,AZ64,BH64,BQ64,BZ64,CI64,CQ64,CY64)</f>
        <v>6138162.4500000011</v>
      </c>
      <c r="D64" s="148">
        <f>SUM(M64,U64,AC64,AK64,AS64,BA64,BI64,BR64,CA64,CJ64,CR64,CZ64)</f>
        <v>785419.75</v>
      </c>
      <c r="E64" s="148">
        <f>SUM(N64,V64,AD64,AL64,AT64,BB64,BJ64,BS64,CB64,CK64,CS64,DA64)</f>
        <v>5300620.6999999993</v>
      </c>
      <c r="F64" s="148">
        <f t="shared" si="291"/>
        <v>5300620.6999999993</v>
      </c>
      <c r="G64" s="14">
        <f>D64/C64</f>
        <v>0.12795682036730713</v>
      </c>
      <c r="H64" s="148">
        <f t="shared" ref="H64:H71" si="303">SUM(Q64,Y64,AG64,AO64,AW64,BE64,BM64,BV64,CE64,CN64,CV64,DD64)</f>
        <v>267948</v>
      </c>
      <c r="I64" s="14">
        <f t="shared" ref="I64" si="304">H64/C64</f>
        <v>4.3652803617147663E-2</v>
      </c>
      <c r="J64" s="220">
        <f>F64*$A$75</f>
        <v>1484173.7959999999</v>
      </c>
      <c r="K64" s="119"/>
      <c r="L64" s="78">
        <v>566629.75</v>
      </c>
      <c r="M64" s="21">
        <v>0</v>
      </c>
      <c r="N64" s="21">
        <v>566629.75</v>
      </c>
      <c r="O64" s="21">
        <v>566629.75</v>
      </c>
      <c r="P64" s="73">
        <f>M64/L64</f>
        <v>0</v>
      </c>
      <c r="Q64" s="84">
        <v>0</v>
      </c>
      <c r="R64" s="74">
        <f t="shared" si="193"/>
        <v>0</v>
      </c>
      <c r="S64" s="119">
        <v>681175.75</v>
      </c>
      <c r="T64" s="86">
        <v>681175.75</v>
      </c>
      <c r="U64" s="84">
        <v>681175.75</v>
      </c>
      <c r="V64" s="84">
        <v>0</v>
      </c>
      <c r="W64" s="84">
        <v>0</v>
      </c>
      <c r="X64" s="87">
        <f>U64/T64</f>
        <v>1</v>
      </c>
      <c r="Y64" s="85">
        <v>0</v>
      </c>
      <c r="Z64" s="17">
        <f t="shared" si="194"/>
        <v>0</v>
      </c>
      <c r="AA64" s="119">
        <v>-267948</v>
      </c>
      <c r="AB64" s="86">
        <v>681175.75</v>
      </c>
      <c r="AC64" s="84">
        <v>0</v>
      </c>
      <c r="AD64" s="84">
        <f>AB64</f>
        <v>681175.75</v>
      </c>
      <c r="AE64" s="84">
        <f>AB64</f>
        <v>681175.75</v>
      </c>
      <c r="AF64" s="87">
        <f>AC64/AB64</f>
        <v>0</v>
      </c>
      <c r="AG64" s="84">
        <v>267948</v>
      </c>
      <c r="AH64" s="88">
        <f t="shared" si="195"/>
        <v>0.39336103788192694</v>
      </c>
      <c r="AI64" s="119"/>
      <c r="AJ64" s="78">
        <v>949123.75</v>
      </c>
      <c r="AK64" s="21">
        <f t="shared" si="292"/>
        <v>0</v>
      </c>
      <c r="AL64" s="21">
        <v>949123.75</v>
      </c>
      <c r="AM64" s="21">
        <v>949123.75</v>
      </c>
      <c r="AN64" s="73">
        <f t="shared" si="293"/>
        <v>0</v>
      </c>
      <c r="AO64" s="21">
        <v>0</v>
      </c>
      <c r="AP64" s="74">
        <f t="shared" si="180"/>
        <v>0</v>
      </c>
      <c r="AQ64" s="119"/>
      <c r="AR64" s="78">
        <v>663617</v>
      </c>
      <c r="AS64" s="21">
        <f t="shared" si="294"/>
        <v>0</v>
      </c>
      <c r="AT64" s="21">
        <v>663617</v>
      </c>
      <c r="AU64" s="21">
        <v>663617</v>
      </c>
      <c r="AV64" s="73">
        <f t="shared" si="295"/>
        <v>0</v>
      </c>
      <c r="AW64" s="21">
        <v>0</v>
      </c>
      <c r="AX64" s="74">
        <f t="shared" si="196"/>
        <v>0</v>
      </c>
      <c r="AY64" s="119"/>
      <c r="AZ64" s="78">
        <v>788828.48</v>
      </c>
      <c r="BA64" s="21">
        <v>52122</v>
      </c>
      <c r="BB64" s="21">
        <f t="shared" ref="BB64:BB73" si="305">AZ64-BA64</f>
        <v>736706.48</v>
      </c>
      <c r="BC64" s="21">
        <v>736706.48</v>
      </c>
      <c r="BD64" s="73">
        <f t="shared" si="296"/>
        <v>6.6075200530285108E-2</v>
      </c>
      <c r="BE64" s="21">
        <v>0</v>
      </c>
      <c r="BF64" s="74">
        <f t="shared" si="197"/>
        <v>0</v>
      </c>
      <c r="BG64" s="119"/>
      <c r="BH64" s="78">
        <v>788828.48</v>
      </c>
      <c r="BI64" s="21">
        <v>52122</v>
      </c>
      <c r="BJ64" s="21">
        <v>736706.48</v>
      </c>
      <c r="BK64" s="21">
        <v>736706.48</v>
      </c>
      <c r="BL64" s="73">
        <f t="shared" si="297"/>
        <v>6.6075200530285108E-2</v>
      </c>
      <c r="BM64" s="21">
        <v>0</v>
      </c>
      <c r="BN64" s="74">
        <f>BM64/BH64</f>
        <v>0</v>
      </c>
      <c r="BO64" s="220">
        <f>BK64*$A$75</f>
        <v>206277.8144</v>
      </c>
      <c r="BP64" s="119"/>
      <c r="BQ64" s="78">
        <v>788828.48</v>
      </c>
      <c r="BR64" s="21">
        <v>0</v>
      </c>
      <c r="BS64" s="21">
        <v>736706.48</v>
      </c>
      <c r="BT64" s="21">
        <v>736706.48</v>
      </c>
      <c r="BU64" s="73">
        <f t="shared" si="298"/>
        <v>0</v>
      </c>
      <c r="BV64" s="21">
        <v>0</v>
      </c>
      <c r="BW64" s="74">
        <f t="shared" si="201"/>
        <v>0</v>
      </c>
      <c r="BX64" s="359">
        <f>BT64*$A$75</f>
        <v>206277.8144</v>
      </c>
      <c r="BY64" s="119"/>
      <c r="BZ64" s="78">
        <v>229955.01</v>
      </c>
      <c r="CA64" s="21">
        <f t="shared" ref="CA64:CA72" si="306">BZ64-CB64</f>
        <v>0</v>
      </c>
      <c r="CB64" s="21">
        <v>229955.01</v>
      </c>
      <c r="CC64" s="21">
        <v>229955.01</v>
      </c>
      <c r="CD64" s="73">
        <f t="shared" si="299"/>
        <v>0</v>
      </c>
      <c r="CE64" s="84">
        <v>0</v>
      </c>
      <c r="CF64" s="74">
        <f t="shared" si="202"/>
        <v>0</v>
      </c>
      <c r="CG64" s="359">
        <f>CC64*$A$75</f>
        <v>64387.402800000011</v>
      </c>
      <c r="CH64" s="119"/>
      <c r="CI64" s="314"/>
      <c r="CJ64" s="315"/>
      <c r="CK64" s="315"/>
      <c r="CL64" s="315"/>
      <c r="CM64" s="133" t="e">
        <f t="shared" si="300"/>
        <v>#DIV/0!</v>
      </c>
      <c r="CN64" s="316"/>
      <c r="CO64" s="135" t="e">
        <f t="shared" si="203"/>
        <v>#DIV/0!</v>
      </c>
      <c r="CP64" s="119"/>
      <c r="CQ64" s="314"/>
      <c r="CR64" s="315"/>
      <c r="CS64" s="315"/>
      <c r="CT64" s="315"/>
      <c r="CU64" s="133" t="e">
        <f t="shared" si="301"/>
        <v>#DIV/0!</v>
      </c>
      <c r="CV64" s="316"/>
      <c r="CW64" s="135" t="e">
        <f t="shared" si="204"/>
        <v>#DIV/0!</v>
      </c>
      <c r="CX64" s="119"/>
      <c r="CY64" s="314"/>
      <c r="CZ64" s="315"/>
      <c r="DA64" s="315"/>
      <c r="DB64" s="315"/>
      <c r="DC64" s="133" t="e">
        <f t="shared" si="302"/>
        <v>#DIV/0!</v>
      </c>
      <c r="DD64" s="316"/>
      <c r="DE64" s="135" t="e">
        <f t="shared" si="205"/>
        <v>#DIV/0!</v>
      </c>
      <c r="DF64" s="9"/>
      <c r="DG64" s="354"/>
      <c r="DH64" s="9"/>
      <c r="DI64" s="9"/>
      <c r="DJ64" s="9"/>
      <c r="DK64" s="9"/>
      <c r="DL64" s="9"/>
      <c r="DM64" s="9"/>
      <c r="DN64" s="9"/>
      <c r="DO64" s="9"/>
      <c r="DP64" s="9"/>
      <c r="DQ64" s="9"/>
      <c r="DR64" s="9"/>
      <c r="DS64" s="9"/>
      <c r="DT64" s="9"/>
      <c r="DU64" s="9"/>
      <c r="DV64" s="9"/>
      <c r="DW64" s="9"/>
      <c r="DX64" s="9"/>
      <c r="DY64" s="9"/>
      <c r="DZ64" s="9"/>
      <c r="EA64" s="9"/>
      <c r="EB64" s="9"/>
      <c r="EC64" s="9"/>
      <c r="ED64" s="9"/>
      <c r="EE64" s="9"/>
    </row>
    <row r="65" spans="1:135" s="11" customFormat="1" ht="13.15" customHeight="1">
      <c r="A65" s="396"/>
      <c r="B65" s="70" t="s">
        <v>188</v>
      </c>
      <c r="C65" s="148"/>
      <c r="D65" s="148"/>
      <c r="E65" s="148"/>
      <c r="F65" s="148"/>
      <c r="G65" s="14"/>
      <c r="H65" s="148"/>
      <c r="I65" s="14"/>
      <c r="J65" s="220"/>
      <c r="K65" s="119"/>
      <c r="L65" s="78"/>
      <c r="M65" s="21"/>
      <c r="N65" s="21"/>
      <c r="O65" s="21"/>
      <c r="P65" s="73"/>
      <c r="Q65" s="84"/>
      <c r="R65" s="74"/>
      <c r="S65" s="119"/>
      <c r="T65" s="86"/>
      <c r="U65" s="84"/>
      <c r="V65" s="84"/>
      <c r="W65" s="84"/>
      <c r="X65" s="87"/>
      <c r="Y65" s="85"/>
      <c r="Z65" s="17"/>
      <c r="AA65" s="119"/>
      <c r="AB65" s="86"/>
      <c r="AC65" s="84"/>
      <c r="AD65" s="84"/>
      <c r="AE65" s="84"/>
      <c r="AF65" s="87"/>
      <c r="AG65" s="84"/>
      <c r="AH65" s="88"/>
      <c r="AI65" s="119"/>
      <c r="AJ65" s="78"/>
      <c r="AK65" s="21"/>
      <c r="AL65" s="21"/>
      <c r="AM65" s="21"/>
      <c r="AN65" s="73"/>
      <c r="AO65" s="21"/>
      <c r="AP65" s="74"/>
      <c r="AQ65" s="119"/>
      <c r="AR65" s="78"/>
      <c r="AS65" s="21"/>
      <c r="AT65" s="21"/>
      <c r="AU65" s="21"/>
      <c r="AV65" s="73"/>
      <c r="AW65" s="21"/>
      <c r="AX65" s="74"/>
      <c r="AY65" s="119"/>
      <c r="AZ65" s="78"/>
      <c r="BA65" s="21"/>
      <c r="BB65" s="21"/>
      <c r="BC65" s="21"/>
      <c r="BD65" s="73"/>
      <c r="BE65" s="21"/>
      <c r="BF65" s="74"/>
      <c r="BG65" s="119"/>
      <c r="BH65" s="78"/>
      <c r="BI65" s="21"/>
      <c r="BJ65" s="21"/>
      <c r="BK65" s="21"/>
      <c r="BL65" s="73"/>
      <c r="BM65" s="21"/>
      <c r="BN65" s="74"/>
      <c r="BO65" s="220"/>
      <c r="BP65" s="119"/>
      <c r="BQ65" s="78"/>
      <c r="BR65" s="21"/>
      <c r="BS65" s="21"/>
      <c r="BT65" s="21"/>
      <c r="BU65" s="73"/>
      <c r="BV65" s="21"/>
      <c r="BW65" s="74"/>
      <c r="BX65" s="359"/>
      <c r="BY65" s="119"/>
      <c r="BZ65" s="78"/>
      <c r="CA65" s="21"/>
      <c r="CB65" s="21"/>
      <c r="CC65" s="21"/>
      <c r="CD65" s="73"/>
      <c r="CE65" s="84"/>
      <c r="CF65" s="74"/>
      <c r="CG65" s="359"/>
      <c r="CH65" s="119"/>
      <c r="CI65" s="314"/>
      <c r="CJ65" s="315"/>
      <c r="CK65" s="315"/>
      <c r="CL65" s="315"/>
      <c r="CM65" s="133"/>
      <c r="CN65" s="316"/>
      <c r="CO65" s="135"/>
      <c r="CP65" s="119"/>
      <c r="CQ65" s="314"/>
      <c r="CR65" s="315"/>
      <c r="CS65" s="315"/>
      <c r="CT65" s="315"/>
      <c r="CU65" s="133"/>
      <c r="CV65" s="316"/>
      <c r="CW65" s="135"/>
      <c r="CX65" s="119"/>
      <c r="CY65" s="314"/>
      <c r="CZ65" s="315"/>
      <c r="DA65" s="315"/>
      <c r="DB65" s="315"/>
      <c r="DC65" s="133"/>
      <c r="DD65" s="316"/>
      <c r="DE65" s="135"/>
      <c r="DF65" s="9"/>
      <c r="DG65" s="354"/>
      <c r="DH65" s="9"/>
      <c r="DI65" s="9"/>
      <c r="DJ65" s="9"/>
      <c r="DK65" s="9"/>
      <c r="DL65" s="9"/>
      <c r="DM65" s="9"/>
      <c r="DN65" s="9"/>
      <c r="DO65" s="9"/>
      <c r="DP65" s="9"/>
      <c r="DQ65" s="9"/>
      <c r="DR65" s="9"/>
      <c r="DS65" s="9"/>
      <c r="DT65" s="9"/>
      <c r="DU65" s="9"/>
      <c r="DV65" s="9"/>
      <c r="DW65" s="9"/>
      <c r="DX65" s="9"/>
      <c r="DY65" s="9"/>
      <c r="DZ65" s="9"/>
      <c r="EA65" s="9"/>
      <c r="EB65" s="9"/>
      <c r="EC65" s="9"/>
      <c r="ED65" s="9"/>
      <c r="EE65" s="9"/>
    </row>
    <row r="66" spans="1:135" s="7" customFormat="1" ht="13" customHeight="1">
      <c r="A66" s="396"/>
      <c r="B66" s="70" t="s">
        <v>119</v>
      </c>
      <c r="C66" s="66"/>
      <c r="D66" s="66"/>
      <c r="E66" s="66"/>
      <c r="F66" s="66"/>
      <c r="G66" s="14"/>
      <c r="H66" s="66"/>
      <c r="I66" s="14"/>
      <c r="J66" s="216"/>
      <c r="K66" s="111"/>
      <c r="L66" s="72"/>
      <c r="M66" s="66"/>
      <c r="N66" s="66"/>
      <c r="O66" s="66"/>
      <c r="P66" s="73"/>
      <c r="Q66" s="66"/>
      <c r="R66" s="74"/>
      <c r="S66" s="111"/>
      <c r="T66" s="154"/>
      <c r="U66" s="155"/>
      <c r="V66" s="155"/>
      <c r="W66" s="155"/>
      <c r="X66" s="87"/>
      <c r="Y66" s="155"/>
      <c r="Z66" s="88"/>
      <c r="AA66" s="111"/>
      <c r="AB66" s="72"/>
      <c r="AC66" s="66"/>
      <c r="AD66" s="66"/>
      <c r="AE66" s="66"/>
      <c r="AF66" s="73"/>
      <c r="AG66" s="155"/>
      <c r="AH66" s="74"/>
      <c r="AI66" s="111"/>
      <c r="AJ66" s="154"/>
      <c r="AK66" s="155"/>
      <c r="AL66" s="155"/>
      <c r="AM66" s="155"/>
      <c r="AN66" s="87"/>
      <c r="AO66" s="155"/>
      <c r="AP66" s="88"/>
      <c r="AQ66" s="111"/>
      <c r="AR66" s="154"/>
      <c r="AS66" s="155"/>
      <c r="AT66" s="155"/>
      <c r="AU66" s="155"/>
      <c r="AV66" s="87"/>
      <c r="AW66" s="155"/>
      <c r="AX66" s="88"/>
      <c r="AY66" s="111"/>
      <c r="AZ66" s="154"/>
      <c r="BA66" s="155"/>
      <c r="BB66" s="155"/>
      <c r="BC66" s="155"/>
      <c r="BD66" s="87"/>
      <c r="BE66" s="155"/>
      <c r="BF66" s="88"/>
      <c r="BG66" s="111"/>
      <c r="BH66" s="72"/>
      <c r="BI66" s="66"/>
      <c r="BJ66" s="66"/>
      <c r="BK66" s="66"/>
      <c r="BL66" s="73"/>
      <c r="BM66" s="66"/>
      <c r="BN66" s="74"/>
      <c r="BO66" s="216"/>
      <c r="BP66" s="111"/>
      <c r="BQ66" s="154"/>
      <c r="BR66" s="155"/>
      <c r="BS66" s="155"/>
      <c r="BT66" s="155"/>
      <c r="BU66" s="87"/>
      <c r="BV66" s="155"/>
      <c r="BW66" s="88"/>
      <c r="BX66" s="359"/>
      <c r="BY66" s="111"/>
      <c r="BZ66" s="78">
        <v>41642.36</v>
      </c>
      <c r="CA66" s="21">
        <f t="shared" si="306"/>
        <v>1.0000000002037268E-2</v>
      </c>
      <c r="CB66" s="21">
        <v>41642.35</v>
      </c>
      <c r="CC66" s="21">
        <v>41642.35</v>
      </c>
      <c r="CD66" s="73">
        <f t="shared" si="299"/>
        <v>2.4014008817072969E-7</v>
      </c>
      <c r="CE66" s="84">
        <v>0</v>
      </c>
      <c r="CF66" s="74">
        <f t="shared" si="202"/>
        <v>0</v>
      </c>
      <c r="CG66" s="359">
        <f t="shared" ref="CG66:CG70" si="307">CC66*$A$75</f>
        <v>11659.858</v>
      </c>
      <c r="CH66" s="111"/>
      <c r="CI66" s="157"/>
      <c r="CJ66" s="158"/>
      <c r="CK66" s="158"/>
      <c r="CL66" s="158"/>
      <c r="CM66" s="143"/>
      <c r="CN66" s="158"/>
      <c r="CO66" s="144"/>
      <c r="CP66" s="111"/>
      <c r="CQ66" s="157"/>
      <c r="CR66" s="158"/>
      <c r="CS66" s="158"/>
      <c r="CT66" s="158"/>
      <c r="CU66" s="143"/>
      <c r="CV66" s="158"/>
      <c r="CW66" s="144"/>
      <c r="CX66" s="111"/>
      <c r="CY66" s="157"/>
      <c r="CZ66" s="158"/>
      <c r="DA66" s="158"/>
      <c r="DB66" s="158"/>
      <c r="DC66" s="143"/>
      <c r="DD66" s="158"/>
      <c r="DE66" s="144"/>
      <c r="DF66" s="6"/>
      <c r="DG66" s="353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</row>
    <row r="67" spans="1:135" s="7" customFormat="1" ht="13" customHeight="1">
      <c r="A67" s="396"/>
      <c r="B67" s="70" t="s">
        <v>120</v>
      </c>
      <c r="C67" s="66"/>
      <c r="D67" s="66"/>
      <c r="E67" s="66"/>
      <c r="F67" s="66"/>
      <c r="G67" s="14"/>
      <c r="H67" s="66"/>
      <c r="I67" s="14"/>
      <c r="J67" s="216"/>
      <c r="K67" s="111"/>
      <c r="L67" s="72"/>
      <c r="M67" s="66"/>
      <c r="N67" s="66"/>
      <c r="O67" s="66"/>
      <c r="P67" s="73"/>
      <c r="Q67" s="66"/>
      <c r="R67" s="74"/>
      <c r="S67" s="111"/>
      <c r="T67" s="154"/>
      <c r="U67" s="155"/>
      <c r="V67" s="155"/>
      <c r="W67" s="155"/>
      <c r="X67" s="87"/>
      <c r="Y67" s="155"/>
      <c r="Z67" s="88"/>
      <c r="AA67" s="111"/>
      <c r="AB67" s="72"/>
      <c r="AC67" s="66"/>
      <c r="AD67" s="66"/>
      <c r="AE67" s="66"/>
      <c r="AF67" s="73"/>
      <c r="AG67" s="155"/>
      <c r="AH67" s="74"/>
      <c r="AI67" s="111"/>
      <c r="AJ67" s="154"/>
      <c r="AK67" s="155"/>
      <c r="AL67" s="155"/>
      <c r="AM67" s="155"/>
      <c r="AN67" s="87"/>
      <c r="AO67" s="155"/>
      <c r="AP67" s="88"/>
      <c r="AQ67" s="111"/>
      <c r="AR67" s="154"/>
      <c r="AS67" s="155"/>
      <c r="AT67" s="155"/>
      <c r="AU67" s="155"/>
      <c r="AV67" s="87"/>
      <c r="AW67" s="155"/>
      <c r="AX67" s="88"/>
      <c r="AY67" s="111"/>
      <c r="AZ67" s="154"/>
      <c r="BA67" s="155"/>
      <c r="BB67" s="155"/>
      <c r="BC67" s="155"/>
      <c r="BD67" s="87"/>
      <c r="BE67" s="155"/>
      <c r="BF67" s="88"/>
      <c r="BG67" s="111"/>
      <c r="BH67" s="72"/>
      <c r="BI67" s="66"/>
      <c r="BJ67" s="66"/>
      <c r="BK67" s="66"/>
      <c r="BL67" s="73"/>
      <c r="BM67" s="66"/>
      <c r="BN67" s="74"/>
      <c r="BO67" s="216"/>
      <c r="BP67" s="111"/>
      <c r="BQ67" s="154"/>
      <c r="BR67" s="155"/>
      <c r="BS67" s="155"/>
      <c r="BT67" s="155"/>
      <c r="BU67" s="87"/>
      <c r="BV67" s="155"/>
      <c r="BW67" s="88"/>
      <c r="BX67" s="359"/>
      <c r="BY67" s="111"/>
      <c r="BZ67" s="78">
        <v>118693.61</v>
      </c>
      <c r="CA67" s="21">
        <v>0</v>
      </c>
      <c r="CB67" s="21">
        <v>118693.81</v>
      </c>
      <c r="CC67" s="21">
        <v>118693.81</v>
      </c>
      <c r="CD67" s="73">
        <f t="shared" si="299"/>
        <v>0</v>
      </c>
      <c r="CE67" s="84">
        <v>0</v>
      </c>
      <c r="CF67" s="74">
        <f t="shared" si="202"/>
        <v>0</v>
      </c>
      <c r="CG67" s="359">
        <f t="shared" si="307"/>
        <v>33234.266800000005</v>
      </c>
      <c r="CH67" s="111"/>
      <c r="CI67" s="157"/>
      <c r="CJ67" s="158"/>
      <c r="CK67" s="158"/>
      <c r="CL67" s="158"/>
      <c r="CM67" s="143"/>
      <c r="CN67" s="158"/>
      <c r="CO67" s="144"/>
      <c r="CP67" s="111"/>
      <c r="CQ67" s="157"/>
      <c r="CR67" s="158"/>
      <c r="CS67" s="158"/>
      <c r="CT67" s="158"/>
      <c r="CU67" s="143"/>
      <c r="CV67" s="158"/>
      <c r="CW67" s="144"/>
      <c r="CX67" s="111"/>
      <c r="CY67" s="157"/>
      <c r="CZ67" s="158"/>
      <c r="DA67" s="158"/>
      <c r="DB67" s="158"/>
      <c r="DC67" s="143"/>
      <c r="DD67" s="158"/>
      <c r="DE67" s="144"/>
      <c r="DF67" s="6"/>
      <c r="DG67" s="353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</row>
    <row r="68" spans="1:135" s="7" customFormat="1" ht="13" customHeight="1">
      <c r="A68" s="396"/>
      <c r="B68" s="70" t="s">
        <v>121</v>
      </c>
      <c r="C68" s="66"/>
      <c r="D68" s="66"/>
      <c r="E68" s="66"/>
      <c r="F68" s="66"/>
      <c r="G68" s="14"/>
      <c r="H68" s="66"/>
      <c r="I68" s="14"/>
      <c r="J68" s="216"/>
      <c r="K68" s="111"/>
      <c r="L68" s="72"/>
      <c r="M68" s="66"/>
      <c r="N68" s="66"/>
      <c r="O68" s="66"/>
      <c r="P68" s="73"/>
      <c r="Q68" s="66"/>
      <c r="R68" s="74"/>
      <c r="S68" s="111"/>
      <c r="T68" s="154"/>
      <c r="U68" s="155"/>
      <c r="V68" s="155"/>
      <c r="W68" s="155"/>
      <c r="X68" s="87"/>
      <c r="Y68" s="155"/>
      <c r="Z68" s="88"/>
      <c r="AA68" s="111"/>
      <c r="AB68" s="72"/>
      <c r="AC68" s="66"/>
      <c r="AD68" s="66"/>
      <c r="AE68" s="66"/>
      <c r="AF68" s="73"/>
      <c r="AG68" s="155"/>
      <c r="AH68" s="74"/>
      <c r="AI68" s="111"/>
      <c r="AJ68" s="154"/>
      <c r="AK68" s="155"/>
      <c r="AL68" s="155"/>
      <c r="AM68" s="155"/>
      <c r="AN68" s="87"/>
      <c r="AO68" s="155"/>
      <c r="AP68" s="88"/>
      <c r="AQ68" s="111"/>
      <c r="AR68" s="154"/>
      <c r="AS68" s="155"/>
      <c r="AT68" s="155"/>
      <c r="AU68" s="155"/>
      <c r="AV68" s="87"/>
      <c r="AW68" s="155"/>
      <c r="AX68" s="88"/>
      <c r="AY68" s="111"/>
      <c r="AZ68" s="154"/>
      <c r="BA68" s="155"/>
      <c r="BB68" s="155"/>
      <c r="BC68" s="155"/>
      <c r="BD68" s="87"/>
      <c r="BE68" s="155"/>
      <c r="BF68" s="88"/>
      <c r="BG68" s="111"/>
      <c r="BH68" s="72"/>
      <c r="BI68" s="66"/>
      <c r="BJ68" s="66"/>
      <c r="BK68" s="66"/>
      <c r="BL68" s="73"/>
      <c r="BM68" s="66"/>
      <c r="BN68" s="74"/>
      <c r="BO68" s="216"/>
      <c r="BP68" s="111"/>
      <c r="BQ68" s="154"/>
      <c r="BR68" s="155"/>
      <c r="BS68" s="155"/>
      <c r="BT68" s="155"/>
      <c r="BU68" s="87"/>
      <c r="BV68" s="155"/>
      <c r="BW68" s="88"/>
      <c r="BX68" s="359"/>
      <c r="BY68" s="111"/>
      <c r="BZ68" s="78">
        <v>0</v>
      </c>
      <c r="CA68" s="21">
        <f t="shared" si="306"/>
        <v>0</v>
      </c>
      <c r="CB68" s="21">
        <v>0</v>
      </c>
      <c r="CC68" s="21">
        <v>0</v>
      </c>
      <c r="CD68" s="73" t="e">
        <f t="shared" si="299"/>
        <v>#DIV/0!</v>
      </c>
      <c r="CE68" s="84">
        <v>0</v>
      </c>
      <c r="CF68" s="74" t="e">
        <f t="shared" si="202"/>
        <v>#DIV/0!</v>
      </c>
      <c r="CG68" s="359">
        <f t="shared" si="307"/>
        <v>0</v>
      </c>
      <c r="CH68" s="111"/>
      <c r="CI68" s="157"/>
      <c r="CJ68" s="158"/>
      <c r="CK68" s="158"/>
      <c r="CL68" s="158"/>
      <c r="CM68" s="143"/>
      <c r="CN68" s="158"/>
      <c r="CO68" s="144"/>
      <c r="CP68" s="111"/>
      <c r="CQ68" s="157"/>
      <c r="CR68" s="158"/>
      <c r="CS68" s="158"/>
      <c r="CT68" s="158"/>
      <c r="CU68" s="143"/>
      <c r="CV68" s="158"/>
      <c r="CW68" s="144"/>
      <c r="CX68" s="111"/>
      <c r="CY68" s="157"/>
      <c r="CZ68" s="158"/>
      <c r="DA68" s="158"/>
      <c r="DB68" s="158"/>
      <c r="DC68" s="143"/>
      <c r="DD68" s="158"/>
      <c r="DE68" s="144"/>
      <c r="DF68" s="6"/>
      <c r="DG68" s="353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</row>
    <row r="69" spans="1:135" s="7" customFormat="1" ht="13" customHeight="1">
      <c r="A69" s="396"/>
      <c r="B69" s="70" t="s">
        <v>122</v>
      </c>
      <c r="C69" s="66"/>
      <c r="D69" s="66"/>
      <c r="E69" s="66"/>
      <c r="F69" s="66"/>
      <c r="G69" s="14"/>
      <c r="H69" s="66"/>
      <c r="I69" s="14"/>
      <c r="J69" s="216"/>
      <c r="K69" s="111"/>
      <c r="L69" s="72"/>
      <c r="M69" s="66"/>
      <c r="N69" s="66"/>
      <c r="O69" s="66"/>
      <c r="P69" s="73"/>
      <c r="Q69" s="66"/>
      <c r="R69" s="74"/>
      <c r="S69" s="111"/>
      <c r="T69" s="154"/>
      <c r="U69" s="155"/>
      <c r="V69" s="155"/>
      <c r="W69" s="155"/>
      <c r="X69" s="87"/>
      <c r="Y69" s="155"/>
      <c r="Z69" s="88"/>
      <c r="AA69" s="111"/>
      <c r="AB69" s="72"/>
      <c r="AC69" s="66"/>
      <c r="AD69" s="66"/>
      <c r="AE69" s="66"/>
      <c r="AF69" s="73"/>
      <c r="AG69" s="155"/>
      <c r="AH69" s="74"/>
      <c r="AI69" s="111"/>
      <c r="AJ69" s="154"/>
      <c r="AK69" s="155"/>
      <c r="AL69" s="155"/>
      <c r="AM69" s="155"/>
      <c r="AN69" s="87"/>
      <c r="AO69" s="155"/>
      <c r="AP69" s="88"/>
      <c r="AQ69" s="111"/>
      <c r="AR69" s="154"/>
      <c r="AS69" s="155"/>
      <c r="AT69" s="155"/>
      <c r="AU69" s="155"/>
      <c r="AV69" s="87"/>
      <c r="AW69" s="155"/>
      <c r="AX69" s="88"/>
      <c r="AY69" s="111"/>
      <c r="AZ69" s="154"/>
      <c r="BA69" s="155"/>
      <c r="BB69" s="155"/>
      <c r="BC69" s="155"/>
      <c r="BD69" s="87"/>
      <c r="BE69" s="155"/>
      <c r="BF69" s="88"/>
      <c r="BG69" s="111"/>
      <c r="BH69" s="72"/>
      <c r="BI69" s="66"/>
      <c r="BJ69" s="66"/>
      <c r="BK69" s="66"/>
      <c r="BL69" s="73"/>
      <c r="BM69" s="66"/>
      <c r="BN69" s="74"/>
      <c r="BO69" s="216"/>
      <c r="BP69" s="111"/>
      <c r="BQ69" s="154"/>
      <c r="BR69" s="155"/>
      <c r="BS69" s="155"/>
      <c r="BT69" s="155"/>
      <c r="BU69" s="87"/>
      <c r="BV69" s="155"/>
      <c r="BW69" s="88"/>
      <c r="BX69" s="359"/>
      <c r="BY69" s="111"/>
      <c r="BZ69" s="78">
        <v>69619.05</v>
      </c>
      <c r="CA69" s="21">
        <f t="shared" si="306"/>
        <v>0</v>
      </c>
      <c r="CB69" s="21">
        <v>69619.05</v>
      </c>
      <c r="CC69" s="21">
        <v>69619.05</v>
      </c>
      <c r="CD69" s="73">
        <f t="shared" si="299"/>
        <v>0</v>
      </c>
      <c r="CE69" s="84">
        <v>0</v>
      </c>
      <c r="CF69" s="74">
        <f t="shared" si="202"/>
        <v>0</v>
      </c>
      <c r="CG69" s="359">
        <f t="shared" si="307"/>
        <v>19493.334000000003</v>
      </c>
      <c r="CH69" s="111"/>
      <c r="CI69" s="157"/>
      <c r="CJ69" s="158"/>
      <c r="CK69" s="158"/>
      <c r="CL69" s="158"/>
      <c r="CM69" s="143"/>
      <c r="CN69" s="158"/>
      <c r="CO69" s="144"/>
      <c r="CP69" s="111"/>
      <c r="CQ69" s="157"/>
      <c r="CR69" s="158"/>
      <c r="CS69" s="158"/>
      <c r="CT69" s="158"/>
      <c r="CU69" s="143"/>
      <c r="CV69" s="158"/>
      <c r="CW69" s="144"/>
      <c r="CX69" s="111"/>
      <c r="CY69" s="157"/>
      <c r="CZ69" s="158"/>
      <c r="DA69" s="158"/>
      <c r="DB69" s="158"/>
      <c r="DC69" s="143"/>
      <c r="DD69" s="158"/>
      <c r="DE69" s="144"/>
      <c r="DF69" s="6"/>
      <c r="DG69" s="353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</row>
    <row r="70" spans="1:135" s="11" customFormat="1" ht="13.15" customHeight="1">
      <c r="A70" s="396"/>
      <c r="B70" s="70" t="s">
        <v>14</v>
      </c>
      <c r="C70" s="148">
        <f>SUM(L70,T70,AB70,AJ70,AR70,AZ70,BH70,BQ70,BZ70,CI70,CQ70,CY70)</f>
        <v>324689.2</v>
      </c>
      <c r="D70" s="148">
        <f t="shared" si="290"/>
        <v>54206.200000000012</v>
      </c>
      <c r="E70" s="148">
        <f t="shared" ref="E70:E73" si="308">SUM(N70,V70,AD70,AL70,AT70,BB70,BJ70,BS70,CB70,CK70,CS70,DA70)</f>
        <v>270483</v>
      </c>
      <c r="F70" s="148">
        <f>SUM(O70,W70,AE70,AM70,AU70,BC70,BK70,BT70,CC70,CL70,CT70,DB70)</f>
        <v>270483</v>
      </c>
      <c r="G70" s="14">
        <f>D70/C70</f>
        <v>0.16694796131192541</v>
      </c>
      <c r="H70" s="148">
        <f t="shared" si="303"/>
        <v>0</v>
      </c>
      <c r="I70" s="14">
        <f>H70/C70</f>
        <v>0</v>
      </c>
      <c r="J70" s="220">
        <f>F70*$A$75</f>
        <v>75735.240000000005</v>
      </c>
      <c r="K70" s="119"/>
      <c r="L70" s="78">
        <v>0</v>
      </c>
      <c r="M70" s="21">
        <v>0</v>
      </c>
      <c r="N70" s="21">
        <v>0</v>
      </c>
      <c r="O70" s="21">
        <v>0</v>
      </c>
      <c r="P70" s="73" t="e">
        <f t="shared" ref="P70:P73" si="309">M70/L70</f>
        <v>#DIV/0!</v>
      </c>
      <c r="Q70" s="84">
        <v>0</v>
      </c>
      <c r="R70" s="74" t="e">
        <f t="shared" si="193"/>
        <v>#DIV/0!</v>
      </c>
      <c r="S70" s="119">
        <v>0</v>
      </c>
      <c r="T70" s="86">
        <v>53116</v>
      </c>
      <c r="U70" s="84">
        <f>T70-V70</f>
        <v>8944</v>
      </c>
      <c r="V70" s="84">
        <v>44172</v>
      </c>
      <c r="W70" s="84">
        <v>44172</v>
      </c>
      <c r="X70" s="87">
        <f>U70/T70</f>
        <v>0.16838617365765493</v>
      </c>
      <c r="Y70" s="85">
        <v>0</v>
      </c>
      <c r="Z70" s="17">
        <f t="shared" si="194"/>
        <v>0</v>
      </c>
      <c r="AA70" s="119">
        <v>0</v>
      </c>
      <c r="AB70" s="86">
        <v>0</v>
      </c>
      <c r="AC70" s="84">
        <v>0</v>
      </c>
      <c r="AD70" s="84">
        <v>0</v>
      </c>
      <c r="AE70" s="84">
        <v>0</v>
      </c>
      <c r="AF70" s="87" t="e">
        <f>AC70/AB70</f>
        <v>#DIV/0!</v>
      </c>
      <c r="AG70" s="84">
        <v>0</v>
      </c>
      <c r="AH70" s="88" t="e">
        <f t="shared" si="195"/>
        <v>#DIV/0!</v>
      </c>
      <c r="AI70" s="119"/>
      <c r="AJ70" s="78">
        <v>0</v>
      </c>
      <c r="AK70" s="21">
        <f t="shared" si="292"/>
        <v>0</v>
      </c>
      <c r="AL70" s="21">
        <v>0</v>
      </c>
      <c r="AM70" s="21">
        <v>0</v>
      </c>
      <c r="AN70" s="73" t="e">
        <f t="shared" si="293"/>
        <v>#DIV/0!</v>
      </c>
      <c r="AO70" s="21">
        <v>0</v>
      </c>
      <c r="AP70" s="74" t="e">
        <f t="shared" si="180"/>
        <v>#DIV/0!</v>
      </c>
      <c r="AQ70" s="119"/>
      <c r="AR70" s="78">
        <v>271573.2</v>
      </c>
      <c r="AS70" s="21">
        <f t="shared" si="294"/>
        <v>45262.200000000012</v>
      </c>
      <c r="AT70" s="21">
        <v>226311</v>
      </c>
      <c r="AU70" s="21">
        <v>226311</v>
      </c>
      <c r="AV70" s="73">
        <f t="shared" si="295"/>
        <v>0.16666666666666671</v>
      </c>
      <c r="AW70" s="21">
        <v>0</v>
      </c>
      <c r="AX70" s="74">
        <f t="shared" si="196"/>
        <v>0</v>
      </c>
      <c r="AY70" s="119"/>
      <c r="AZ70" s="78">
        <v>0</v>
      </c>
      <c r="BA70" s="21">
        <v>0</v>
      </c>
      <c r="BB70" s="21">
        <f t="shared" si="305"/>
        <v>0</v>
      </c>
      <c r="BC70" s="21">
        <v>0</v>
      </c>
      <c r="BD70" s="73" t="e">
        <f t="shared" si="296"/>
        <v>#DIV/0!</v>
      </c>
      <c r="BE70" s="21">
        <v>0</v>
      </c>
      <c r="BF70" s="74" t="e">
        <f t="shared" si="197"/>
        <v>#DIV/0!</v>
      </c>
      <c r="BG70" s="119"/>
      <c r="BH70" s="78"/>
      <c r="BI70" s="21"/>
      <c r="BJ70" s="21"/>
      <c r="BK70" s="21"/>
      <c r="BL70" s="73"/>
      <c r="BM70" s="21"/>
      <c r="BN70" s="74"/>
      <c r="BO70" s="220">
        <f>BK70*$A$75</f>
        <v>0</v>
      </c>
      <c r="BP70" s="119"/>
      <c r="BQ70" s="78">
        <v>0</v>
      </c>
      <c r="BR70" s="21">
        <v>0</v>
      </c>
      <c r="BS70" s="21">
        <v>0</v>
      </c>
      <c r="BT70" s="21">
        <v>0</v>
      </c>
      <c r="BU70" s="73" t="e">
        <f t="shared" si="298"/>
        <v>#DIV/0!</v>
      </c>
      <c r="BV70" s="21">
        <v>0</v>
      </c>
      <c r="BW70" s="74" t="e">
        <f t="shared" si="201"/>
        <v>#DIV/0!</v>
      </c>
      <c r="BX70" s="359">
        <f>BT70*$A$75</f>
        <v>0</v>
      </c>
      <c r="BY70" s="119"/>
      <c r="BZ70" s="78">
        <v>0</v>
      </c>
      <c r="CA70" s="21">
        <f t="shared" si="306"/>
        <v>0</v>
      </c>
      <c r="CB70" s="21">
        <v>0</v>
      </c>
      <c r="CC70" s="21">
        <v>0</v>
      </c>
      <c r="CD70" s="73" t="e">
        <f t="shared" si="299"/>
        <v>#DIV/0!</v>
      </c>
      <c r="CE70" s="84">
        <v>0</v>
      </c>
      <c r="CF70" s="74" t="e">
        <f t="shared" si="202"/>
        <v>#DIV/0!</v>
      </c>
      <c r="CG70" s="359">
        <f t="shared" si="307"/>
        <v>0</v>
      </c>
      <c r="CH70" s="111"/>
      <c r="CI70" s="157"/>
      <c r="CJ70" s="158"/>
      <c r="CK70" s="158"/>
      <c r="CL70" s="158"/>
      <c r="CM70" s="143"/>
      <c r="CN70" s="158"/>
      <c r="CO70" s="144"/>
      <c r="CP70" s="111"/>
      <c r="CQ70" s="157"/>
      <c r="CR70" s="158"/>
      <c r="CS70" s="158"/>
      <c r="CT70" s="158"/>
      <c r="CU70" s="143"/>
      <c r="CV70" s="158"/>
      <c r="CW70" s="144"/>
      <c r="CX70" s="111"/>
      <c r="CY70" s="157"/>
      <c r="CZ70" s="158"/>
      <c r="DA70" s="158"/>
      <c r="DB70" s="158"/>
      <c r="DC70" s="143"/>
      <c r="DD70" s="158"/>
      <c r="DE70" s="144"/>
      <c r="DF70" s="9"/>
      <c r="DG70" s="354"/>
      <c r="DH70" s="9"/>
      <c r="DI70" s="9"/>
      <c r="DJ70" s="9"/>
      <c r="DK70" s="9"/>
      <c r="DL70" s="9"/>
      <c r="DM70" s="9"/>
      <c r="DN70" s="9"/>
      <c r="DO70" s="9"/>
      <c r="DP70" s="9"/>
      <c r="DQ70" s="9"/>
      <c r="DR70" s="9"/>
      <c r="DS70" s="9"/>
      <c r="DT70" s="9"/>
      <c r="DU70" s="9"/>
      <c r="DV70" s="9"/>
      <c r="DW70" s="9"/>
      <c r="DX70" s="9"/>
      <c r="DY70" s="9"/>
      <c r="DZ70" s="9"/>
      <c r="EA70" s="9"/>
      <c r="EB70" s="9"/>
      <c r="EC70" s="9"/>
      <c r="ED70" s="9"/>
      <c r="EE70" s="9"/>
    </row>
    <row r="71" spans="1:135" s="11" customFormat="1" ht="13.15" customHeight="1">
      <c r="A71" s="396"/>
      <c r="B71" s="70" t="s">
        <v>15</v>
      </c>
      <c r="C71" s="148">
        <f>SUM(L71,T71,AB71,AJ71,AR71,AZ71,BH71,BQ71,BZ71,CI71,CQ71,CY71)</f>
        <v>2297696.88</v>
      </c>
      <c r="D71" s="148">
        <f t="shared" si="290"/>
        <v>224517.88</v>
      </c>
      <c r="E71" s="148">
        <f t="shared" si="308"/>
        <v>1862491.2</v>
      </c>
      <c r="F71" s="148">
        <f t="shared" si="291"/>
        <v>2012619.2</v>
      </c>
      <c r="G71" s="14">
        <f t="shared" ref="G71:G73" si="310">D71/C71</f>
        <v>9.7714316433245116E-2</v>
      </c>
      <c r="H71" s="148">
        <f t="shared" si="303"/>
        <v>770608.2</v>
      </c>
      <c r="I71" s="14">
        <f>H71/C71</f>
        <v>0.33538288131374405</v>
      </c>
      <c r="J71" s="220">
        <f>F71*$A$75</f>
        <v>563533.37600000005</v>
      </c>
      <c r="K71" s="119"/>
      <c r="L71" s="78">
        <v>334172</v>
      </c>
      <c r="M71" s="21">
        <v>66834.400000000023</v>
      </c>
      <c r="N71" s="21">
        <v>267337.59999999998</v>
      </c>
      <c r="O71" s="21">
        <v>267337.59999999998</v>
      </c>
      <c r="P71" s="73">
        <f t="shared" si="309"/>
        <v>0.20000000000000007</v>
      </c>
      <c r="Q71" s="84">
        <v>0</v>
      </c>
      <c r="R71" s="74">
        <f t="shared" si="193"/>
        <v>0</v>
      </c>
      <c r="S71" s="119">
        <v>405625.2</v>
      </c>
      <c r="T71" s="86">
        <v>150128</v>
      </c>
      <c r="U71" s="84">
        <v>0</v>
      </c>
      <c r="V71" s="84">
        <v>0</v>
      </c>
      <c r="W71" s="84">
        <f>T71</f>
        <v>150128</v>
      </c>
      <c r="X71" s="87">
        <f t="shared" ref="X71:X73" si="311">U71/T71</f>
        <v>0</v>
      </c>
      <c r="Y71" s="85">
        <v>255497.2</v>
      </c>
      <c r="Z71" s="17">
        <f t="shared" si="194"/>
        <v>1.7018624107428328</v>
      </c>
      <c r="AA71" s="119">
        <v>-515111</v>
      </c>
      <c r="AB71" s="86">
        <v>150128</v>
      </c>
      <c r="AC71" s="84">
        <v>0</v>
      </c>
      <c r="AD71" s="84">
        <f>AB71</f>
        <v>150128</v>
      </c>
      <c r="AE71" s="84">
        <f>AB71</f>
        <v>150128</v>
      </c>
      <c r="AF71" s="87">
        <f>AC71/AB71</f>
        <v>0</v>
      </c>
      <c r="AG71" s="84">
        <v>515111</v>
      </c>
      <c r="AH71" s="88">
        <f t="shared" si="195"/>
        <v>3.431145422572738</v>
      </c>
      <c r="AI71" s="119"/>
      <c r="AJ71" s="78">
        <v>464663.03999999998</v>
      </c>
      <c r="AK71" s="21">
        <f>AJ71-AL71</f>
        <v>77443.839999999967</v>
      </c>
      <c r="AL71" s="21">
        <v>387219.20000000001</v>
      </c>
      <c r="AM71" s="21">
        <v>387219.20000000001</v>
      </c>
      <c r="AN71" s="73">
        <f t="shared" si="293"/>
        <v>0.1666666666666666</v>
      </c>
      <c r="AO71" s="21">
        <v>0</v>
      </c>
      <c r="AP71" s="74">
        <f t="shared" si="180"/>
        <v>0</v>
      </c>
      <c r="AQ71" s="119"/>
      <c r="AR71" s="78">
        <v>381357.84</v>
      </c>
      <c r="AS71" s="21">
        <f t="shared" si="294"/>
        <v>63559.640000000014</v>
      </c>
      <c r="AT71" s="21">
        <v>317798.2</v>
      </c>
      <c r="AU71" s="21">
        <v>317798.2</v>
      </c>
      <c r="AV71" s="73">
        <f t="shared" si="295"/>
        <v>0.16666666666666669</v>
      </c>
      <c r="AW71" s="21">
        <v>0</v>
      </c>
      <c r="AX71" s="74">
        <f t="shared" si="196"/>
        <v>0</v>
      </c>
      <c r="AY71" s="119"/>
      <c r="AZ71" s="78">
        <v>6000</v>
      </c>
      <c r="BA71" s="21">
        <v>300</v>
      </c>
      <c r="BB71" s="21">
        <f>AZ71-BA71</f>
        <v>5700</v>
      </c>
      <c r="BC71" s="21">
        <v>5700</v>
      </c>
      <c r="BD71" s="73">
        <f t="shared" si="296"/>
        <v>0.05</v>
      </c>
      <c r="BE71" s="21">
        <v>0</v>
      </c>
      <c r="BF71" s="74">
        <f t="shared" si="197"/>
        <v>0</v>
      </c>
      <c r="BG71" s="119"/>
      <c r="BH71" s="78"/>
      <c r="BI71" s="21"/>
      <c r="BJ71" s="21"/>
      <c r="BK71" s="21"/>
      <c r="BL71" s="73"/>
      <c r="BM71" s="21"/>
      <c r="BN71" s="74"/>
      <c r="BO71" s="220">
        <f>BK71*$A$75</f>
        <v>0</v>
      </c>
      <c r="BP71" s="119"/>
      <c r="BQ71" s="78">
        <v>605598</v>
      </c>
      <c r="BR71" s="21">
        <v>0</v>
      </c>
      <c r="BS71" s="21">
        <v>545038.19999999995</v>
      </c>
      <c r="BT71" s="21">
        <v>545038.19999999995</v>
      </c>
      <c r="BU71" s="73">
        <f t="shared" si="298"/>
        <v>0</v>
      </c>
      <c r="BV71" s="21">
        <v>0</v>
      </c>
      <c r="BW71" s="74">
        <f t="shared" si="201"/>
        <v>0</v>
      </c>
      <c r="BX71" s="359">
        <f>BT71*$A$75</f>
        <v>152610.696</v>
      </c>
      <c r="BY71" s="119"/>
      <c r="BZ71" s="78">
        <v>205650</v>
      </c>
      <c r="CA71" s="21">
        <f t="shared" si="306"/>
        <v>16380</v>
      </c>
      <c r="CB71" s="21">
        <v>189270</v>
      </c>
      <c r="CC71" s="21">
        <v>189270</v>
      </c>
      <c r="CD71" s="73">
        <f t="shared" si="299"/>
        <v>7.9649890590809624E-2</v>
      </c>
      <c r="CE71" s="84">
        <v>0</v>
      </c>
      <c r="CF71" s="74">
        <f t="shared" si="202"/>
        <v>0</v>
      </c>
      <c r="CG71" s="359">
        <f>CC71*$A$75</f>
        <v>52995.600000000006</v>
      </c>
      <c r="CH71" s="111"/>
      <c r="CI71" s="314"/>
      <c r="CJ71" s="315"/>
      <c r="CK71" s="315"/>
      <c r="CL71" s="315"/>
      <c r="CM71" s="133" t="e">
        <f t="shared" si="300"/>
        <v>#DIV/0!</v>
      </c>
      <c r="CN71" s="316"/>
      <c r="CO71" s="135" t="e">
        <f t="shared" si="203"/>
        <v>#DIV/0!</v>
      </c>
      <c r="CP71" s="111"/>
      <c r="CQ71" s="314"/>
      <c r="CR71" s="315"/>
      <c r="CS71" s="315"/>
      <c r="CT71" s="315"/>
      <c r="CU71" s="133" t="e">
        <f t="shared" si="301"/>
        <v>#DIV/0!</v>
      </c>
      <c r="CV71" s="316"/>
      <c r="CW71" s="135" t="e">
        <f t="shared" si="204"/>
        <v>#DIV/0!</v>
      </c>
      <c r="CX71" s="119"/>
      <c r="CY71" s="314"/>
      <c r="CZ71" s="315"/>
      <c r="DA71" s="315"/>
      <c r="DB71" s="315"/>
      <c r="DC71" s="133" t="e">
        <f t="shared" si="302"/>
        <v>#DIV/0!</v>
      </c>
      <c r="DD71" s="316"/>
      <c r="DE71" s="135" t="e">
        <f t="shared" si="205"/>
        <v>#DIV/0!</v>
      </c>
      <c r="DF71" s="9"/>
      <c r="DG71" s="354"/>
      <c r="DH71" s="9"/>
      <c r="DI71" s="9"/>
      <c r="DJ71" s="9"/>
      <c r="DK71" s="9"/>
      <c r="DL71" s="9"/>
      <c r="DM71" s="9"/>
      <c r="DN71" s="9"/>
      <c r="DO71" s="9"/>
      <c r="DP71" s="9"/>
      <c r="DQ71" s="9"/>
      <c r="DR71" s="9"/>
      <c r="DS71" s="9"/>
      <c r="DT71" s="9"/>
      <c r="DU71" s="9"/>
      <c r="DV71" s="9"/>
      <c r="DW71" s="9"/>
      <c r="DX71" s="9"/>
      <c r="DY71" s="9"/>
      <c r="DZ71" s="9"/>
      <c r="EA71" s="9"/>
      <c r="EB71" s="9"/>
      <c r="EC71" s="9"/>
      <c r="ED71" s="9"/>
      <c r="EE71" s="9"/>
    </row>
    <row r="72" spans="1:135" s="11" customFormat="1" ht="13.15" customHeight="1">
      <c r="A72" s="396"/>
      <c r="B72" s="70" t="s">
        <v>16</v>
      </c>
      <c r="C72" s="148">
        <f>SUM(L72,T72,AB72,AJ72,AR72,AZ72,BH72,BQ72,BZ72,CI72,CQ72,CY72)</f>
        <v>12457813.68</v>
      </c>
      <c r="D72" s="148">
        <f t="shared" si="290"/>
        <v>913400.39199999976</v>
      </c>
      <c r="E72" s="148">
        <f t="shared" si="308"/>
        <v>11516621.088000001</v>
      </c>
      <c r="F72" s="148">
        <f t="shared" si="291"/>
        <v>11516621.088000001</v>
      </c>
      <c r="G72" s="14">
        <f t="shared" si="310"/>
        <v>7.3319477675797107E-2</v>
      </c>
      <c r="H72" s="148">
        <f>SUM(Q72,Y72,AG72,AO72,AW72,BE72,BM73,BV72,CE72,CN72,CV72,DD72)</f>
        <v>844357.8</v>
      </c>
      <c r="I72" s="14">
        <f t="shared" ref="I72:I73" si="312">H72/C72</f>
        <v>6.7777366212784781E-2</v>
      </c>
      <c r="J72" s="220">
        <f>F72*$A$75</f>
        <v>3224653.9046400008</v>
      </c>
      <c r="K72" s="119"/>
      <c r="L72" s="78">
        <v>642250</v>
      </c>
      <c r="M72" s="21">
        <v>129250</v>
      </c>
      <c r="N72" s="21">
        <v>513000</v>
      </c>
      <c r="O72" s="21">
        <v>513000</v>
      </c>
      <c r="P72" s="73">
        <f t="shared" si="309"/>
        <v>0.20124562086414949</v>
      </c>
      <c r="Q72" s="84">
        <v>0</v>
      </c>
      <c r="R72" s="74">
        <f t="shared" si="193"/>
        <v>0</v>
      </c>
      <c r="S72" s="119">
        <v>27500</v>
      </c>
      <c r="T72" s="86">
        <v>901375</v>
      </c>
      <c r="U72" s="84">
        <v>27500</v>
      </c>
      <c r="V72" s="84">
        <v>873875</v>
      </c>
      <c r="W72" s="84">
        <v>873875</v>
      </c>
      <c r="X72" s="87">
        <f>U72/T72</f>
        <v>3.0508944667868534E-2</v>
      </c>
      <c r="Y72" s="85">
        <v>0</v>
      </c>
      <c r="Z72" s="17">
        <f t="shared" si="194"/>
        <v>0</v>
      </c>
      <c r="AA72" s="119">
        <v>-844357.79999999981</v>
      </c>
      <c r="AB72" s="86">
        <v>1062237</v>
      </c>
      <c r="AC72" s="84">
        <v>0</v>
      </c>
      <c r="AD72" s="84">
        <f>AB72</f>
        <v>1062237</v>
      </c>
      <c r="AE72" s="84">
        <f>AB72</f>
        <v>1062237</v>
      </c>
      <c r="AF72" s="87">
        <f>AC72/AB72</f>
        <v>0</v>
      </c>
      <c r="AG72" s="84">
        <v>844357.8</v>
      </c>
      <c r="AH72" s="88">
        <f t="shared" si="195"/>
        <v>0.79488645189350404</v>
      </c>
      <c r="AI72" s="119"/>
      <c r="AJ72" s="78">
        <v>1906594.7999999998</v>
      </c>
      <c r="AK72" s="21">
        <f t="shared" ref="AK72:AK73" si="313">AJ72-AL72</f>
        <v>317765.79999999981</v>
      </c>
      <c r="AL72" s="21">
        <v>1588829</v>
      </c>
      <c r="AM72" s="21">
        <v>1588829</v>
      </c>
      <c r="AN72" s="73">
        <f t="shared" si="293"/>
        <v>0.16666666666666657</v>
      </c>
      <c r="AO72" s="21">
        <v>0</v>
      </c>
      <c r="AP72" s="74">
        <f t="shared" si="180"/>
        <v>0</v>
      </c>
      <c r="AQ72" s="119"/>
      <c r="AR72" s="78">
        <v>1906594.7999999998</v>
      </c>
      <c r="AS72" s="21">
        <f t="shared" si="294"/>
        <v>317765.79999999981</v>
      </c>
      <c r="AT72" s="21">
        <v>1588829</v>
      </c>
      <c r="AU72" s="21">
        <v>1588829</v>
      </c>
      <c r="AV72" s="73">
        <f t="shared" si="295"/>
        <v>0.16666666666666657</v>
      </c>
      <c r="AW72" s="21">
        <v>0</v>
      </c>
      <c r="AX72" s="74">
        <f t="shared" si="196"/>
        <v>0</v>
      </c>
      <c r="AY72" s="119"/>
      <c r="AZ72" s="78">
        <v>1949662</v>
      </c>
      <c r="BA72" s="21">
        <v>69327.592000000179</v>
      </c>
      <c r="BB72" s="21">
        <f t="shared" si="305"/>
        <v>1880334.4079999998</v>
      </c>
      <c r="BC72" s="21">
        <v>1880334.4079999998</v>
      </c>
      <c r="BD72" s="73">
        <f t="shared" si="296"/>
        <v>3.555877480301723E-2</v>
      </c>
      <c r="BE72" s="21">
        <v>0</v>
      </c>
      <c r="BF72" s="74">
        <f t="shared" si="197"/>
        <v>0</v>
      </c>
      <c r="BG72" s="119"/>
      <c r="BH72" s="78">
        <v>1559596.08</v>
      </c>
      <c r="BI72" s="21">
        <v>23999</v>
      </c>
      <c r="BJ72" s="21">
        <v>1535597.08</v>
      </c>
      <c r="BK72" s="21">
        <v>1535597.08</v>
      </c>
      <c r="BL72" s="73">
        <f t="shared" si="297"/>
        <v>1.5387958656577284E-2</v>
      </c>
      <c r="BM72" s="333">
        <v>0</v>
      </c>
      <c r="BN72" s="74">
        <f>BM73/BH72</f>
        <v>0</v>
      </c>
      <c r="BO72" s="220">
        <f>BK72*$A$75</f>
        <v>429967.18240000005</v>
      </c>
      <c r="BP72" s="119"/>
      <c r="BQ72" s="78">
        <v>1395022</v>
      </c>
      <c r="BR72" s="21">
        <v>0</v>
      </c>
      <c r="BS72" s="21">
        <v>1367229.8</v>
      </c>
      <c r="BT72" s="21">
        <v>1367229.8</v>
      </c>
      <c r="BU72" s="73">
        <f t="shared" si="298"/>
        <v>0</v>
      </c>
      <c r="BV72" s="21">
        <v>0</v>
      </c>
      <c r="BW72" s="74">
        <f t="shared" si="201"/>
        <v>0</v>
      </c>
      <c r="BX72" s="359">
        <f>BT72*$A$75</f>
        <v>382824.34400000004</v>
      </c>
      <c r="BY72" s="119"/>
      <c r="BZ72" s="78">
        <v>1134482</v>
      </c>
      <c r="CA72" s="21">
        <f t="shared" si="306"/>
        <v>27792.199999999953</v>
      </c>
      <c r="CB72" s="21">
        <v>1106689.8</v>
      </c>
      <c r="CC72" s="21">
        <v>1106689.8</v>
      </c>
      <c r="CD72" s="73">
        <f t="shared" si="299"/>
        <v>2.4497700272018377E-2</v>
      </c>
      <c r="CE72" s="84">
        <v>0</v>
      </c>
      <c r="CF72" s="74">
        <f t="shared" si="202"/>
        <v>0</v>
      </c>
      <c r="CG72" s="359">
        <f>CC72*$A$75</f>
        <v>309873.14400000003</v>
      </c>
      <c r="CH72" s="119"/>
      <c r="CI72" s="314"/>
      <c r="CJ72" s="315"/>
      <c r="CK72" s="315"/>
      <c r="CL72" s="315"/>
      <c r="CM72" s="133" t="e">
        <f t="shared" si="300"/>
        <v>#DIV/0!</v>
      </c>
      <c r="CN72" s="316"/>
      <c r="CO72" s="135" t="e">
        <f t="shared" si="203"/>
        <v>#DIV/0!</v>
      </c>
      <c r="CP72" s="119"/>
      <c r="CQ72" s="314"/>
      <c r="CR72" s="315"/>
      <c r="CS72" s="315"/>
      <c r="CT72" s="315"/>
      <c r="CU72" s="133" t="e">
        <f t="shared" si="301"/>
        <v>#DIV/0!</v>
      </c>
      <c r="CV72" s="316"/>
      <c r="CW72" s="135" t="e">
        <f t="shared" si="204"/>
        <v>#DIV/0!</v>
      </c>
      <c r="CX72" s="119"/>
      <c r="CY72" s="314"/>
      <c r="CZ72" s="315"/>
      <c r="DA72" s="315"/>
      <c r="DB72" s="315"/>
      <c r="DC72" s="133" t="e">
        <f t="shared" si="302"/>
        <v>#DIV/0!</v>
      </c>
      <c r="DD72" s="316"/>
      <c r="DE72" s="135" t="e">
        <f t="shared" si="205"/>
        <v>#DIV/0!</v>
      </c>
      <c r="DF72" s="9"/>
      <c r="DG72" s="354"/>
      <c r="DH72" s="9"/>
      <c r="DI72" s="9"/>
      <c r="DJ72" s="9"/>
      <c r="DK72" s="9"/>
      <c r="DL72" s="9"/>
      <c r="DM72" s="9"/>
      <c r="DN72" s="9"/>
      <c r="DO72" s="9"/>
      <c r="DP72" s="9"/>
      <c r="DQ72" s="9"/>
      <c r="DR72" s="9"/>
      <c r="DS72" s="9"/>
      <c r="DT72" s="9"/>
      <c r="DU72" s="9"/>
      <c r="DV72" s="9"/>
      <c r="DW72" s="9"/>
      <c r="DX72" s="9"/>
      <c r="DY72" s="9"/>
      <c r="DZ72" s="9"/>
      <c r="EA72" s="9"/>
      <c r="EB72" s="9"/>
      <c r="EC72" s="9"/>
      <c r="ED72" s="9"/>
      <c r="EE72" s="9"/>
    </row>
    <row r="73" spans="1:135" s="11" customFormat="1" ht="13.15" customHeight="1">
      <c r="A73" s="396"/>
      <c r="B73" s="70" t="s">
        <v>17</v>
      </c>
      <c r="C73" s="148">
        <f>SUM(L73,T73,AB73,AJ73,AR73,AZ73,BH73,BQ73,BZ73,CI73,CQ73,CY73)</f>
        <v>3935299.1599999997</v>
      </c>
      <c r="D73" s="148">
        <f t="shared" si="290"/>
        <v>439582.97999999992</v>
      </c>
      <c r="E73" s="148">
        <f t="shared" si="308"/>
        <v>3450387.5900000003</v>
      </c>
      <c r="F73" s="148">
        <f t="shared" si="291"/>
        <v>3450387.5900000003</v>
      </c>
      <c r="G73" s="14">
        <f t="shared" si="310"/>
        <v>0.11170255732222401</v>
      </c>
      <c r="H73" s="148">
        <f>SUM(Q73,Y73,AG73,AO73,AW73,BE73,BM74,BV73,CE73,CN73,CV73,DD73)</f>
        <v>460265.8</v>
      </c>
      <c r="I73" s="14">
        <f t="shared" si="312"/>
        <v>0.1169582746537623</v>
      </c>
      <c r="J73" s="220">
        <f>F73*$A$75</f>
        <v>966108.52520000015</v>
      </c>
      <c r="K73" s="119"/>
      <c r="L73" s="78">
        <v>418000</v>
      </c>
      <c r="M73" s="21">
        <v>83600</v>
      </c>
      <c r="N73" s="21">
        <v>334400</v>
      </c>
      <c r="O73" s="21">
        <v>334400</v>
      </c>
      <c r="P73" s="73">
        <f t="shared" si="309"/>
        <v>0.2</v>
      </c>
      <c r="Q73" s="84">
        <v>0</v>
      </c>
      <c r="R73" s="74">
        <f t="shared" si="193"/>
        <v>0</v>
      </c>
      <c r="S73" s="119">
        <v>66834.400000000023</v>
      </c>
      <c r="T73" s="86">
        <v>334172</v>
      </c>
      <c r="U73" s="84">
        <v>66834.400000000023</v>
      </c>
      <c r="V73" s="84">
        <v>267337.59999999998</v>
      </c>
      <c r="W73" s="84">
        <v>267337.59999999998</v>
      </c>
      <c r="X73" s="87">
        <f t="shared" si="311"/>
        <v>0.20000000000000007</v>
      </c>
      <c r="Y73" s="85">
        <v>0</v>
      </c>
      <c r="Z73" s="17">
        <f t="shared" si="194"/>
        <v>0</v>
      </c>
      <c r="AA73" s="119">
        <v>-460265.79999999993</v>
      </c>
      <c r="AB73" s="86">
        <v>338021</v>
      </c>
      <c r="AC73" s="84">
        <v>0</v>
      </c>
      <c r="AD73" s="84">
        <f>AB73</f>
        <v>338021</v>
      </c>
      <c r="AE73" s="84">
        <f>AB73</f>
        <v>338021</v>
      </c>
      <c r="AF73" s="87">
        <f t="shared" ref="AF73" si="314">AC73/AB73</f>
        <v>0</v>
      </c>
      <c r="AG73" s="84">
        <v>460265.8</v>
      </c>
      <c r="AH73" s="88">
        <f t="shared" si="195"/>
        <v>1.3616485366293809</v>
      </c>
      <c r="AI73" s="119"/>
      <c r="AJ73" s="78">
        <v>798286.79999999993</v>
      </c>
      <c r="AK73" s="21">
        <f t="shared" si="313"/>
        <v>133047.79999999993</v>
      </c>
      <c r="AL73" s="21">
        <v>665239</v>
      </c>
      <c r="AM73" s="21">
        <v>665239</v>
      </c>
      <c r="AN73" s="73">
        <f t="shared" si="293"/>
        <v>0.1666666666666666</v>
      </c>
      <c r="AO73" s="21">
        <v>0</v>
      </c>
      <c r="AP73" s="74">
        <f t="shared" si="180"/>
        <v>0</v>
      </c>
      <c r="AQ73" s="119"/>
      <c r="AR73" s="78">
        <v>392661.6</v>
      </c>
      <c r="AS73" s="21">
        <f t="shared" si="294"/>
        <v>65443.599999999977</v>
      </c>
      <c r="AT73" s="21">
        <v>327218</v>
      </c>
      <c r="AU73" s="21">
        <v>327218</v>
      </c>
      <c r="AV73" s="73">
        <f t="shared" si="295"/>
        <v>0.16666666666666663</v>
      </c>
      <c r="AW73" s="21">
        <v>0</v>
      </c>
      <c r="AX73" s="74">
        <f t="shared" si="196"/>
        <v>0</v>
      </c>
      <c r="AY73" s="119"/>
      <c r="AZ73" s="78">
        <v>0</v>
      </c>
      <c r="BA73" s="21">
        <v>0</v>
      </c>
      <c r="BB73" s="21">
        <f t="shared" si="305"/>
        <v>0</v>
      </c>
      <c r="BC73" s="21">
        <v>0</v>
      </c>
      <c r="BD73" s="73" t="e">
        <f t="shared" si="296"/>
        <v>#DIV/0!</v>
      </c>
      <c r="BE73" s="21">
        <v>0</v>
      </c>
      <c r="BF73" s="74" t="e">
        <f t="shared" si="197"/>
        <v>#DIV/0!</v>
      </c>
      <c r="BG73" s="119"/>
      <c r="BH73" s="78">
        <v>551385.92000000004</v>
      </c>
      <c r="BI73" s="21">
        <v>45328.59</v>
      </c>
      <c r="BJ73" s="21">
        <v>506057.33</v>
      </c>
      <c r="BK73" s="21">
        <v>506057.33</v>
      </c>
      <c r="BL73" s="73">
        <f t="shared" si="297"/>
        <v>8.220846480809664E-2</v>
      </c>
      <c r="BM73" s="21">
        <v>0</v>
      </c>
      <c r="BN73" s="74">
        <f>BM74/BH73</f>
        <v>0</v>
      </c>
      <c r="BO73" s="220">
        <f>BK73*$A$75</f>
        <v>141696.05240000002</v>
      </c>
      <c r="BP73" s="119"/>
      <c r="BQ73" s="78">
        <v>551385.92000000004</v>
      </c>
      <c r="BR73" s="21">
        <v>0</v>
      </c>
      <c r="BS73" s="21">
        <v>506057.33</v>
      </c>
      <c r="BT73" s="21">
        <v>506057.33</v>
      </c>
      <c r="BU73" s="73">
        <f t="shared" si="298"/>
        <v>0</v>
      </c>
      <c r="BV73" s="21">
        <v>0</v>
      </c>
      <c r="BW73" s="74">
        <f t="shared" si="201"/>
        <v>0</v>
      </c>
      <c r="BX73" s="359">
        <f>BT73*$A$75</f>
        <v>141696.05240000002</v>
      </c>
      <c r="BY73" s="119"/>
      <c r="BZ73" s="78">
        <v>551385.92000000004</v>
      </c>
      <c r="CA73" s="21">
        <f>BZ73-CB73</f>
        <v>45328.590000000026</v>
      </c>
      <c r="CB73" s="21">
        <v>506057.33</v>
      </c>
      <c r="CC73" s="21">
        <v>506057.33</v>
      </c>
      <c r="CD73" s="73">
        <f t="shared" si="299"/>
        <v>8.2208464808096696E-2</v>
      </c>
      <c r="CE73" s="84">
        <v>0</v>
      </c>
      <c r="CF73" s="74">
        <f t="shared" si="202"/>
        <v>0</v>
      </c>
      <c r="CG73" s="359">
        <f>CC73*$A$75</f>
        <v>141696.05240000002</v>
      </c>
      <c r="CH73" s="119"/>
      <c r="CI73" s="314"/>
      <c r="CJ73" s="315"/>
      <c r="CK73" s="315"/>
      <c r="CL73" s="315"/>
      <c r="CM73" s="133" t="e">
        <f t="shared" si="300"/>
        <v>#DIV/0!</v>
      </c>
      <c r="CN73" s="316"/>
      <c r="CO73" s="135" t="e">
        <f t="shared" si="203"/>
        <v>#DIV/0!</v>
      </c>
      <c r="CP73" s="119"/>
      <c r="CQ73" s="314"/>
      <c r="CR73" s="315"/>
      <c r="CS73" s="315"/>
      <c r="CT73" s="315"/>
      <c r="CU73" s="133" t="e">
        <f t="shared" si="301"/>
        <v>#DIV/0!</v>
      </c>
      <c r="CV73" s="316"/>
      <c r="CW73" s="135" t="e">
        <f t="shared" si="204"/>
        <v>#DIV/0!</v>
      </c>
      <c r="CX73" s="119"/>
      <c r="CY73" s="314"/>
      <c r="CZ73" s="315"/>
      <c r="DA73" s="315"/>
      <c r="DB73" s="315"/>
      <c r="DC73" s="133" t="e">
        <f t="shared" si="302"/>
        <v>#DIV/0!</v>
      </c>
      <c r="DD73" s="316"/>
      <c r="DE73" s="135" t="e">
        <f t="shared" si="205"/>
        <v>#DIV/0!</v>
      </c>
      <c r="DF73" s="9"/>
      <c r="DG73" s="354"/>
      <c r="DH73" s="9"/>
      <c r="DI73" s="9"/>
      <c r="DJ73" s="9"/>
      <c r="DK73" s="9"/>
      <c r="DL73" s="9"/>
      <c r="DM73" s="9"/>
      <c r="DN73" s="9"/>
      <c r="DO73" s="9"/>
      <c r="DP73" s="9"/>
      <c r="DQ73" s="9"/>
      <c r="DR73" s="9"/>
      <c r="DS73" s="9"/>
      <c r="DT73" s="9"/>
      <c r="DU73" s="9"/>
      <c r="DV73" s="9"/>
      <c r="DW73" s="9"/>
      <c r="DX73" s="9"/>
      <c r="DY73" s="9"/>
      <c r="DZ73" s="9"/>
      <c r="EA73" s="9"/>
      <c r="EB73" s="9"/>
      <c r="EC73" s="9"/>
      <c r="ED73" s="9"/>
      <c r="EE73" s="9"/>
    </row>
    <row r="74" spans="1:135" s="36" customFormat="1" ht="13" customHeight="1">
      <c r="A74" s="396"/>
      <c r="B74" s="195" t="s">
        <v>18</v>
      </c>
      <c r="C74" s="149">
        <f>SUM(C63:C73)</f>
        <v>25153661.370000001</v>
      </c>
      <c r="D74" s="149">
        <f t="shared" ref="D74:E74" si="315">SUM(D63:D73)</f>
        <v>2417127.2019999996</v>
      </c>
      <c r="E74" s="149">
        <f t="shared" si="315"/>
        <v>22400603.578000002</v>
      </c>
      <c r="F74" s="149">
        <f>SUM(F63:F73)</f>
        <v>22550731.578000002</v>
      </c>
      <c r="G74" s="15">
        <f>D74/C74</f>
        <v>9.6094447899455024E-2</v>
      </c>
      <c r="H74" s="149">
        <f>SUM(H63:H73)</f>
        <v>2343179.7999999998</v>
      </c>
      <c r="I74" s="15">
        <f>H74/C74</f>
        <v>9.3154621330580459E-2</v>
      </c>
      <c r="J74" s="221" t="b">
        <f>J75=F75</f>
        <v>1</v>
      </c>
      <c r="K74" s="120"/>
      <c r="L74" s="204">
        <f>SUM(L63:L73)</f>
        <v>1961051.75</v>
      </c>
      <c r="M74" s="199">
        <f>SUM(M63:M73)</f>
        <v>279684.40000000002</v>
      </c>
      <c r="N74" s="199">
        <f>SUM(N63:N73)</f>
        <v>1681367.35</v>
      </c>
      <c r="O74" s="199">
        <f>SUM(O63:O73)</f>
        <v>1681367.35</v>
      </c>
      <c r="P74" s="15">
        <f>(L74-O74)/L74</f>
        <v>0.14261959175733119</v>
      </c>
      <c r="Q74" s="199">
        <f>SUM(Q63:Q73)</f>
        <v>0</v>
      </c>
      <c r="R74" s="83">
        <f t="shared" si="193"/>
        <v>0</v>
      </c>
      <c r="S74" s="120">
        <v>1181135.3500000001</v>
      </c>
      <c r="T74" s="97">
        <f>SUM(T63:T73)</f>
        <v>2119966.75</v>
      </c>
      <c r="U74" s="98">
        <f t="shared" ref="U74:W74" si="316">SUM(U63:U73)</f>
        <v>784454.15</v>
      </c>
      <c r="V74" s="98">
        <f t="shared" si="316"/>
        <v>1185384.6000000001</v>
      </c>
      <c r="W74" s="98">
        <f t="shared" si="316"/>
        <v>1335512.6000000001</v>
      </c>
      <c r="X74" s="15">
        <f>(T74-W74)/T74</f>
        <v>0.37003134601049753</v>
      </c>
      <c r="Y74" s="98">
        <f>SUM(Y63:Y73)</f>
        <v>255497.2</v>
      </c>
      <c r="Z74" s="83">
        <f t="shared" si="194"/>
        <v>0.12051943739211948</v>
      </c>
      <c r="AA74" s="120">
        <v>-2087682.5999999996</v>
      </c>
      <c r="AB74" s="97">
        <f>SUM(AB63:AB73)</f>
        <v>2231561.75</v>
      </c>
      <c r="AC74" s="98">
        <f t="shared" ref="AC74:AE74" si="317">SUM(AC63:AC73)</f>
        <v>0</v>
      </c>
      <c r="AD74" s="98">
        <f t="shared" si="317"/>
        <v>2231561.75</v>
      </c>
      <c r="AE74" s="98">
        <f t="shared" si="317"/>
        <v>2231561.75</v>
      </c>
      <c r="AF74" s="15">
        <f>(AB74-AE74)/AB74</f>
        <v>0</v>
      </c>
      <c r="AG74" s="98">
        <f>SUM(AG63:AG73)</f>
        <v>2087682.6</v>
      </c>
      <c r="AH74" s="83">
        <f t="shared" si="195"/>
        <v>0.93552535572900908</v>
      </c>
      <c r="AI74" s="120"/>
      <c r="AJ74" s="97">
        <f>SUM(AJ63:AJ73)</f>
        <v>4118668.3899999997</v>
      </c>
      <c r="AK74" s="98">
        <f t="shared" ref="AK74" si="318">SUM(AK63:AK73)</f>
        <v>528257.43999999971</v>
      </c>
      <c r="AL74" s="98">
        <f t="shared" ref="AL74" si="319">SUM(AL63:AL73)</f>
        <v>3590410.95</v>
      </c>
      <c r="AM74" s="98">
        <f t="shared" ref="AM74" si="320">SUM(AM63:AM73)</f>
        <v>3590410.95</v>
      </c>
      <c r="AN74" s="15">
        <f>(AJ74-AM74)/AJ74</f>
        <v>0.12825927945124019</v>
      </c>
      <c r="AO74" s="98">
        <f>SUM(AO63:AO73)</f>
        <v>0</v>
      </c>
      <c r="AP74" s="83">
        <f t="shared" si="180"/>
        <v>0</v>
      </c>
      <c r="AQ74" s="120"/>
      <c r="AR74" s="97">
        <f>SUM(AR63:AR73)</f>
        <v>3615804.44</v>
      </c>
      <c r="AS74" s="98">
        <f t="shared" ref="AS74" si="321">AR74-AT74</f>
        <v>492031.23999999976</v>
      </c>
      <c r="AT74" s="98">
        <f t="shared" ref="AT74" si="322">SUM(AT63:AT73)</f>
        <v>3123773.2</v>
      </c>
      <c r="AU74" s="98">
        <f t="shared" ref="AU74" si="323">SUM(AU63:AU73)</f>
        <v>3123773.2</v>
      </c>
      <c r="AV74" s="15">
        <f>(AR74-AU74)/AR74</f>
        <v>0.13607794563137374</v>
      </c>
      <c r="AW74" s="98">
        <f>SUM(AW63:AW73)</f>
        <v>0</v>
      </c>
      <c r="AX74" s="83">
        <f t="shared" si="196"/>
        <v>0</v>
      </c>
      <c r="AY74" s="120"/>
      <c r="AZ74" s="97">
        <f>SUM(AZ63:AZ73)</f>
        <v>2744490.48</v>
      </c>
      <c r="BA74" s="210">
        <f t="shared" ref="BA74" si="324">AZ74-BB74</f>
        <v>121749.59200000018</v>
      </c>
      <c r="BB74" s="98">
        <f>SUM(BB63:BB73)</f>
        <v>2622740.8879999998</v>
      </c>
      <c r="BC74" s="98">
        <f t="shared" ref="BC74" si="325">SUM(BC63:BC73)</f>
        <v>2622740.8879999998</v>
      </c>
      <c r="BD74" s="15">
        <f>(AZ74-BC74)/AZ74</f>
        <v>4.4361455391166149E-2</v>
      </c>
      <c r="BE74" s="98">
        <f>SUM(BE63:BE73)</f>
        <v>0</v>
      </c>
      <c r="BF74" s="83">
        <f t="shared" si="197"/>
        <v>0</v>
      </c>
      <c r="BG74" s="120"/>
      <c r="BH74" s="97">
        <f>SUM(BH63:BH73)</f>
        <v>2899810.48</v>
      </c>
      <c r="BI74" s="98">
        <f t="shared" ref="BI74" si="326">BH74-BJ74</f>
        <v>121449.58999999985</v>
      </c>
      <c r="BJ74" s="98">
        <f>SUM(BJ63:BJ73)</f>
        <v>2778360.89</v>
      </c>
      <c r="BK74" s="98">
        <f t="shared" ref="BK74" si="327">SUM(BK63:BK73)</f>
        <v>2778360.89</v>
      </c>
      <c r="BL74" s="15">
        <f>(BH74-BK74)/BH74</f>
        <v>4.1881906020285797E-2</v>
      </c>
      <c r="BM74" s="98">
        <f>SUM(BM63:BM73)</f>
        <v>0</v>
      </c>
      <c r="BN74" s="83">
        <f t="shared" si="199"/>
        <v>0</v>
      </c>
      <c r="BO74" s="221" t="b">
        <f>BO75=BK75</f>
        <v>1</v>
      </c>
      <c r="BP74" s="120"/>
      <c r="BQ74" s="97">
        <f>SUM(BQ63:BQ73)</f>
        <v>3340834.4</v>
      </c>
      <c r="BR74" s="98">
        <f t="shared" ref="BR74" si="328">BQ74-BS74</f>
        <v>185802.58999999985</v>
      </c>
      <c r="BS74" s="98">
        <f>SUM(BS63:BS73)</f>
        <v>3155031.81</v>
      </c>
      <c r="BT74" s="98">
        <f>SUM(BT63:BT73)</f>
        <v>3155031.81</v>
      </c>
      <c r="BU74" s="15">
        <f>(BQ74-BT74)/BQ74</f>
        <v>5.5615624048890255E-2</v>
      </c>
      <c r="BV74" s="98">
        <f>SUM(BV63:BV73)</f>
        <v>0</v>
      </c>
      <c r="BW74" s="83">
        <f t="shared" si="201"/>
        <v>0</v>
      </c>
      <c r="BX74" s="221" t="b">
        <f>BX75=BT75</f>
        <v>1</v>
      </c>
      <c r="BY74" s="120"/>
      <c r="BZ74" s="97">
        <f>SUM(BZ63:BZ73)</f>
        <v>2351427.9500000002</v>
      </c>
      <c r="CA74" s="98">
        <f>BZ74-CB74</f>
        <v>89500.600000000093</v>
      </c>
      <c r="CB74" s="98">
        <f>SUM(CB63:CB73)</f>
        <v>2261927.35</v>
      </c>
      <c r="CC74" s="98">
        <f>SUM(CC63:CC64,CC70:CC73)</f>
        <v>2031972.1400000001</v>
      </c>
      <c r="CD74" s="15">
        <f>(BZ74-CC74)/BZ74</f>
        <v>0.13585609118918571</v>
      </c>
      <c r="CE74" s="98">
        <f>SUM(CE63:CE73)</f>
        <v>0</v>
      </c>
      <c r="CF74" s="83">
        <f t="shared" si="202"/>
        <v>0</v>
      </c>
      <c r="CG74" s="221" t="b">
        <f>CG75=CC75</f>
        <v>1</v>
      </c>
      <c r="CH74" s="120"/>
      <c r="CI74" s="97">
        <f>SUM(CI63:CI73)</f>
        <v>0</v>
      </c>
      <c r="CJ74" s="98">
        <f t="shared" ref="CJ74" si="329">CI74-CK74</f>
        <v>0</v>
      </c>
      <c r="CK74" s="98">
        <f>SUM(CK63:CK73)</f>
        <v>0</v>
      </c>
      <c r="CL74" s="98">
        <f t="shared" ref="CL74" si="330">SUM(CL63:CL73)</f>
        <v>0</v>
      </c>
      <c r="CM74" s="15" t="e">
        <f>(CI74-CL74)/CI74</f>
        <v>#DIV/0!</v>
      </c>
      <c r="CN74" s="98">
        <f>SUM(CN63:CN73)</f>
        <v>0</v>
      </c>
      <c r="CO74" s="83" t="e">
        <f t="shared" si="203"/>
        <v>#DIV/0!</v>
      </c>
      <c r="CP74" s="120"/>
      <c r="CQ74" s="97">
        <f>SUM(CQ63:CQ73)</f>
        <v>0</v>
      </c>
      <c r="CR74" s="98">
        <f t="shared" ref="CR74" si="331">CQ74-CS74</f>
        <v>0</v>
      </c>
      <c r="CS74" s="98">
        <f>SUM(CS63:CS73)</f>
        <v>0</v>
      </c>
      <c r="CT74" s="98">
        <f t="shared" ref="CT74" si="332">SUM(CT63:CT73)</f>
        <v>0</v>
      </c>
      <c r="CU74" s="15" t="e">
        <f>(CQ74-CT74)/CQ74</f>
        <v>#DIV/0!</v>
      </c>
      <c r="CV74" s="98">
        <f>SUM(CV63:CV73)</f>
        <v>0</v>
      </c>
      <c r="CW74" s="83" t="e">
        <f t="shared" si="204"/>
        <v>#DIV/0!</v>
      </c>
      <c r="CX74" s="120"/>
      <c r="CY74" s="97">
        <f>SUM(CY63:CY73)</f>
        <v>0</v>
      </c>
      <c r="CZ74" s="98">
        <f t="shared" ref="CZ74" si="333">CY74-DA74</f>
        <v>0</v>
      </c>
      <c r="DA74" s="98">
        <f>SUM(DA63:DA73)</f>
        <v>0</v>
      </c>
      <c r="DB74" s="98">
        <f t="shared" ref="DB74" si="334">SUM(DB63:DB73)</f>
        <v>0</v>
      </c>
      <c r="DC74" s="15" t="e">
        <f>(CY74-DB74)/CY74</f>
        <v>#DIV/0!</v>
      </c>
      <c r="DD74" s="98">
        <f>SUM(DD63:DD73)</f>
        <v>0</v>
      </c>
      <c r="DE74" s="83" t="e">
        <f t="shared" si="205"/>
        <v>#DIV/0!</v>
      </c>
      <c r="DF74" s="35"/>
      <c r="DG74" s="351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  <c r="DT74" s="35"/>
      <c r="DU74" s="35"/>
      <c r="DV74" s="35"/>
      <c r="DW74" s="35"/>
      <c r="DX74" s="35"/>
      <c r="DY74" s="35"/>
      <c r="DZ74" s="35"/>
      <c r="EA74" s="35"/>
      <c r="EB74" s="35"/>
      <c r="EC74" s="35"/>
      <c r="ED74" s="35"/>
      <c r="EE74" s="35"/>
    </row>
    <row r="75" spans="1:135" s="22" customFormat="1" ht="13" customHeight="1">
      <c r="A75" s="214">
        <v>0.28000000000000003</v>
      </c>
      <c r="B75" s="191" t="s">
        <v>19</v>
      </c>
      <c r="C75" s="213">
        <f>C74*$A$75</f>
        <v>7043025.183600001</v>
      </c>
      <c r="D75" s="213">
        <f t="shared" ref="D75:E75" si="335">D74*$A$75</f>
        <v>676795.61655999999</v>
      </c>
      <c r="E75" s="213">
        <f t="shared" si="335"/>
        <v>6272169.001840001</v>
      </c>
      <c r="F75" s="213">
        <f>F74*$A$75</f>
        <v>6314204.8418400008</v>
      </c>
      <c r="G75" s="181"/>
      <c r="H75" s="213">
        <f>H74*A75</f>
        <v>656090.34400000004</v>
      </c>
      <c r="I75" s="181"/>
      <c r="J75" s="217">
        <f>SUM(J63:J73)</f>
        <v>6314204.8418400008</v>
      </c>
      <c r="K75" s="112"/>
      <c r="L75" s="245">
        <f>L74*$A$75</f>
        <v>549094.49000000011</v>
      </c>
      <c r="M75" s="213">
        <f t="shared" ref="M75" si="336">M74*$A$75</f>
        <v>78311.632000000012</v>
      </c>
      <c r="N75" s="213">
        <f>N74*$A$75</f>
        <v>470782.85800000007</v>
      </c>
      <c r="O75" s="213">
        <f>O74*$A$75</f>
        <v>470782.85800000007</v>
      </c>
      <c r="P75" s="243"/>
      <c r="Q75" s="213">
        <f>Q74*J75</f>
        <v>0</v>
      </c>
      <c r="R75" s="246"/>
      <c r="S75" s="112"/>
      <c r="T75" s="245">
        <f>T74*$A$75</f>
        <v>593590.69000000006</v>
      </c>
      <c r="U75" s="213">
        <f t="shared" ref="U75" si="337">U74*$A$75</f>
        <v>219647.16200000004</v>
      </c>
      <c r="V75" s="213">
        <f t="shared" ref="V75" si="338">V74*$A$75</f>
        <v>331907.68800000008</v>
      </c>
      <c r="W75" s="213">
        <f t="shared" ref="W75" si="339">W74*$A$75</f>
        <v>373943.52800000005</v>
      </c>
      <c r="X75" s="243"/>
      <c r="Y75" s="213">
        <f>Y74*R75</f>
        <v>0</v>
      </c>
      <c r="Z75" s="246"/>
      <c r="AA75" s="112"/>
      <c r="AB75" s="245">
        <f>AB74*$A$75</f>
        <v>624837.29</v>
      </c>
      <c r="AC75" s="213">
        <f t="shared" ref="AC75" si="340">AC74*$A$75</f>
        <v>0</v>
      </c>
      <c r="AD75" s="213">
        <f t="shared" ref="AD75" si="341">AD74*$A$75</f>
        <v>624837.29</v>
      </c>
      <c r="AE75" s="213">
        <f t="shared" ref="AE75" si="342">AE74*$A$75</f>
        <v>624837.29</v>
      </c>
      <c r="AF75" s="243"/>
      <c r="AG75" s="213">
        <f>AG74*Z75</f>
        <v>0</v>
      </c>
      <c r="AH75" s="246"/>
      <c r="AI75" s="112"/>
      <c r="AJ75" s="245">
        <f>AJ74*$A$75</f>
        <v>1153227.1492000001</v>
      </c>
      <c r="AK75" s="213">
        <f t="shared" ref="AK75" si="343">AK74*$A$75</f>
        <v>147912.08319999994</v>
      </c>
      <c r="AL75" s="213">
        <f t="shared" ref="AL75" si="344">AL74*$A$75</f>
        <v>1005315.0660000001</v>
      </c>
      <c r="AM75" s="213">
        <f t="shared" ref="AM75" si="345">AM74*$A$75</f>
        <v>1005315.0660000001</v>
      </c>
      <c r="AN75" s="243"/>
      <c r="AO75" s="213">
        <f>AO74*AH75</f>
        <v>0</v>
      </c>
      <c r="AP75" s="246"/>
      <c r="AQ75" s="112"/>
      <c r="AR75" s="245">
        <f>AR74*$A$75</f>
        <v>1012425.2432</v>
      </c>
      <c r="AS75" s="213">
        <f t="shared" ref="AS75" si="346">AS74*$A$75</f>
        <v>137768.74719999995</v>
      </c>
      <c r="AT75" s="213">
        <f t="shared" ref="AT75" si="347">AT74*$A$75</f>
        <v>874656.49600000016</v>
      </c>
      <c r="AU75" s="213">
        <f t="shared" ref="AU75" si="348">AU74*$A$75</f>
        <v>874656.49600000016</v>
      </c>
      <c r="AV75" s="243"/>
      <c r="AW75" s="213">
        <f>AW74*A75</f>
        <v>0</v>
      </c>
      <c r="AX75" s="246"/>
      <c r="AY75" s="112"/>
      <c r="AZ75" s="245">
        <f>AZ74*$A$75</f>
        <v>768457.33440000005</v>
      </c>
      <c r="BA75" s="213">
        <f t="shared" ref="BA75" si="349">BA74*$A$75</f>
        <v>34089.885760000056</v>
      </c>
      <c r="BB75" s="213">
        <f t="shared" ref="BB75" si="350">BB74*$A$75</f>
        <v>734367.44863999996</v>
      </c>
      <c r="BC75" s="213">
        <f t="shared" ref="BC75" si="351">BC74*$A$75</f>
        <v>734367.44863999996</v>
      </c>
      <c r="BD75" s="243"/>
      <c r="BE75" s="213">
        <f>BE74*AX75</f>
        <v>0</v>
      </c>
      <c r="BF75" s="246"/>
      <c r="BG75" s="112"/>
      <c r="BH75" s="245">
        <f>BH74*$A$75</f>
        <v>811946.93440000003</v>
      </c>
      <c r="BI75" s="213">
        <f>BI74*$A$75</f>
        <v>34005.885199999961</v>
      </c>
      <c r="BJ75" s="213">
        <f t="shared" ref="BJ75" si="352">BJ74*$A$75</f>
        <v>777941.04920000012</v>
      </c>
      <c r="BK75" s="213">
        <f t="shared" ref="BK75" si="353">BK74*$A$75</f>
        <v>777941.04920000012</v>
      </c>
      <c r="BL75" s="243"/>
      <c r="BM75" s="213">
        <f>BM74*BF75</f>
        <v>0</v>
      </c>
      <c r="BN75" s="246"/>
      <c r="BO75" s="217">
        <f>SUM(BO63:BO73)</f>
        <v>777941.04920000012</v>
      </c>
      <c r="BP75" s="112"/>
      <c r="BQ75" s="245">
        <f>BQ74*$A$75</f>
        <v>935433.6320000001</v>
      </c>
      <c r="BR75" s="213">
        <f t="shared" ref="BR75" si="354">BR74*$A$75</f>
        <v>52024.725199999964</v>
      </c>
      <c r="BS75" s="213">
        <f t="shared" ref="BS75" si="355">BS74*$A$75</f>
        <v>883408.90680000011</v>
      </c>
      <c r="BT75" s="213">
        <f t="shared" ref="BT75" si="356">BT74*$A$75</f>
        <v>883408.90680000011</v>
      </c>
      <c r="BU75" s="243"/>
      <c r="BV75" s="213">
        <f>BV74*A75</f>
        <v>0</v>
      </c>
      <c r="BW75" s="246"/>
      <c r="BX75" s="217">
        <f>SUM(BX63:BX73)</f>
        <v>883408.90680000011</v>
      </c>
      <c r="BY75" s="112"/>
      <c r="BZ75" s="245">
        <f>BZ74*$A$75</f>
        <v>658399.82600000012</v>
      </c>
      <c r="CA75" s="213">
        <f t="shared" ref="CA75" si="357">CA74*$A$75</f>
        <v>25060.168000000027</v>
      </c>
      <c r="CB75" s="213">
        <f t="shared" ref="CB75" si="358">CB74*$A$75</f>
        <v>633339.65800000005</v>
      </c>
      <c r="CC75" s="213">
        <f t="shared" ref="CC75" si="359">CC74*$A$75</f>
        <v>568952.19920000015</v>
      </c>
      <c r="CD75" s="243"/>
      <c r="CE75" s="213">
        <f>CE74*A75</f>
        <v>0</v>
      </c>
      <c r="CF75" s="246"/>
      <c r="CG75" s="217">
        <f>SUM(CG63:CG64,CG70:CG73)</f>
        <v>568952.19920000003</v>
      </c>
      <c r="CH75" s="112"/>
      <c r="CI75" s="245">
        <f>CI74*$A$75</f>
        <v>0</v>
      </c>
      <c r="CJ75" s="213">
        <f t="shared" ref="CJ75" si="360">CJ74*$A$75</f>
        <v>0</v>
      </c>
      <c r="CK75" s="213">
        <f t="shared" ref="CK75" si="361">CK74*$A$75</f>
        <v>0</v>
      </c>
      <c r="CL75" s="213">
        <f t="shared" ref="CL75" si="362">CL74*$A$75</f>
        <v>0</v>
      </c>
      <c r="CM75" s="243"/>
      <c r="CN75" s="213">
        <f>CN74*CF75</f>
        <v>0</v>
      </c>
      <c r="CO75" s="246"/>
      <c r="CP75" s="112"/>
      <c r="CQ75" s="245">
        <f>CQ74*$A$75</f>
        <v>0</v>
      </c>
      <c r="CR75" s="213">
        <f t="shared" ref="CR75" si="363">CR74*$A$75</f>
        <v>0</v>
      </c>
      <c r="CS75" s="213">
        <f t="shared" ref="CS75" si="364">CS74*$A$75</f>
        <v>0</v>
      </c>
      <c r="CT75" s="213">
        <f t="shared" ref="CT75" si="365">CT74*$A$75</f>
        <v>0</v>
      </c>
      <c r="CU75" s="243"/>
      <c r="CV75" s="213">
        <f>CV74*CO75</f>
        <v>0</v>
      </c>
      <c r="CW75" s="246"/>
      <c r="CX75" s="112"/>
      <c r="CY75" s="245">
        <f>CY74*$A$75</f>
        <v>0</v>
      </c>
      <c r="CZ75" s="213">
        <f t="shared" ref="CZ75" si="366">CZ74*$A$75</f>
        <v>0</v>
      </c>
      <c r="DA75" s="213">
        <f t="shared" ref="DA75" si="367">DA74*$A$75</f>
        <v>0</v>
      </c>
      <c r="DB75" s="213">
        <f t="shared" ref="DB75" si="368">DB74*$A$75</f>
        <v>0</v>
      </c>
      <c r="DC75" s="243"/>
      <c r="DD75" s="213">
        <f>DD74*CW75</f>
        <v>0</v>
      </c>
      <c r="DE75" s="246"/>
      <c r="DF75" s="8"/>
      <c r="DG75" s="351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</row>
    <row r="76" spans="1:135" s="11" customFormat="1" ht="13.15" customHeight="1">
      <c r="A76" s="395" t="s">
        <v>24</v>
      </c>
      <c r="B76" s="69" t="s">
        <v>12</v>
      </c>
      <c r="C76" s="148">
        <f>SUM(L76,T76,AB76,AJ76,AR76,AZ76,BH76,BQ76,BZ76,CI76,CQ76,CY76)</f>
        <v>40840</v>
      </c>
      <c r="D76" s="148">
        <f t="shared" ref="D76:D86" si="369">SUM(M76,U76,AC76,AK76,AS76,BA76,BI76,BR76,CA76,CJ76,CR76,CZ76)</f>
        <v>0</v>
      </c>
      <c r="E76" s="148">
        <f t="shared" ref="E76:E86" si="370">SUM(N76,V76,AD76,AL76,AT76,BB76,BJ76,BS76,CB76,CK76,CS76,DA76)</f>
        <v>40840</v>
      </c>
      <c r="F76" s="148">
        <f>SUM(O76,W76,AE76,AM76,AU76,BC76,BK76,BT76,CC76,CL76,CT76,DB76)</f>
        <v>40840</v>
      </c>
      <c r="G76" s="14">
        <f>D76/C76</f>
        <v>0</v>
      </c>
      <c r="H76" s="148">
        <f>SUM(Q76,Y76,AG76,AO76,AW76,BE76,BM76,BV76,CE76,CN76,CV76,DD76)</f>
        <v>0</v>
      </c>
      <c r="I76" s="14">
        <f>H76/C76</f>
        <v>0</v>
      </c>
      <c r="J76" s="220">
        <f>F76*$A$88</f>
        <v>49444.988000000005</v>
      </c>
      <c r="K76" s="121"/>
      <c r="L76" s="79">
        <v>0</v>
      </c>
      <c r="M76" s="20">
        <v>0</v>
      </c>
      <c r="N76" s="20">
        <v>0</v>
      </c>
      <c r="O76" s="20">
        <v>0</v>
      </c>
      <c r="P76" s="73" t="e">
        <f t="shared" ref="P76:P89" si="371">M76/L76</f>
        <v>#DIV/0!</v>
      </c>
      <c r="Q76" s="140">
        <v>0</v>
      </c>
      <c r="R76" s="74" t="e">
        <f t="shared" si="193"/>
        <v>#DIV/0!</v>
      </c>
      <c r="S76" s="121"/>
      <c r="T76" s="79">
        <v>0</v>
      </c>
      <c r="U76" s="20">
        <v>0</v>
      </c>
      <c r="V76" s="20">
        <v>0</v>
      </c>
      <c r="W76" s="20">
        <v>0</v>
      </c>
      <c r="X76" s="73" t="e">
        <f t="shared" ref="X76:X89" si="372">U76/T76</f>
        <v>#DIV/0!</v>
      </c>
      <c r="Y76" s="141">
        <v>0</v>
      </c>
      <c r="Z76" s="74" t="e">
        <f t="shared" si="194"/>
        <v>#DIV/0!</v>
      </c>
      <c r="AA76" s="121"/>
      <c r="AB76" s="79">
        <v>0</v>
      </c>
      <c r="AC76" s="20">
        <v>0</v>
      </c>
      <c r="AD76" s="20">
        <v>0</v>
      </c>
      <c r="AE76" s="20">
        <v>0</v>
      </c>
      <c r="AF76" s="73" t="e">
        <f t="shared" ref="AF76:AF89" si="373">AC76/AB76</f>
        <v>#DIV/0!</v>
      </c>
      <c r="AG76" s="20">
        <v>0</v>
      </c>
      <c r="AH76" s="74" t="e">
        <f t="shared" si="195"/>
        <v>#DIV/0!</v>
      </c>
      <c r="AI76" s="121"/>
      <c r="AJ76" s="79">
        <v>0</v>
      </c>
      <c r="AK76" s="20">
        <v>0</v>
      </c>
      <c r="AL76" s="20">
        <v>0</v>
      </c>
      <c r="AM76" s="20">
        <v>0</v>
      </c>
      <c r="AN76" s="73" t="e">
        <f t="shared" ref="AN76:AN89" si="374">AK76/AJ76</f>
        <v>#DIV/0!</v>
      </c>
      <c r="AO76" s="20">
        <v>0</v>
      </c>
      <c r="AP76" s="74" t="e">
        <f t="shared" si="180"/>
        <v>#DIV/0!</v>
      </c>
      <c r="AQ76" s="121"/>
      <c r="AR76" s="79">
        <v>18840</v>
      </c>
      <c r="AS76" s="20">
        <v>0</v>
      </c>
      <c r="AT76" s="20">
        <v>18840</v>
      </c>
      <c r="AU76" s="20">
        <v>18840</v>
      </c>
      <c r="AV76" s="73">
        <f t="shared" ref="AV76:AV89" si="375">AS76/AR76</f>
        <v>0</v>
      </c>
      <c r="AW76" s="20">
        <v>0</v>
      </c>
      <c r="AX76" s="17">
        <f t="shared" si="196"/>
        <v>0</v>
      </c>
      <c r="AY76" s="121"/>
      <c r="AZ76" s="79">
        <v>0</v>
      </c>
      <c r="BA76" s="20">
        <v>0</v>
      </c>
      <c r="BB76" s="20">
        <v>0</v>
      </c>
      <c r="BC76" s="20">
        <v>0</v>
      </c>
      <c r="BD76" s="73" t="e">
        <f t="shared" ref="BD76:BD89" si="376">BA76/AZ76</f>
        <v>#DIV/0!</v>
      </c>
      <c r="BE76" s="20">
        <v>0</v>
      </c>
      <c r="BF76" s="74" t="e">
        <f t="shared" si="197"/>
        <v>#DIV/0!</v>
      </c>
      <c r="BG76" s="121"/>
      <c r="BH76" s="332">
        <v>11000</v>
      </c>
      <c r="BI76" s="140">
        <v>0</v>
      </c>
      <c r="BJ76" s="140">
        <v>11000</v>
      </c>
      <c r="BK76" s="140">
        <v>11000</v>
      </c>
      <c r="BL76" s="87">
        <f>BI76/BH76</f>
        <v>0</v>
      </c>
      <c r="BM76" s="140">
        <v>0</v>
      </c>
      <c r="BN76" s="88">
        <f t="shared" si="199"/>
        <v>0</v>
      </c>
      <c r="BO76" s="220">
        <f>BK76*$A$88</f>
        <v>13317.7</v>
      </c>
      <c r="BP76" s="121"/>
      <c r="BQ76" s="332">
        <v>11000</v>
      </c>
      <c r="BR76" s="140">
        <v>0</v>
      </c>
      <c r="BS76" s="140">
        <v>11000</v>
      </c>
      <c r="BT76" s="140">
        <v>11000</v>
      </c>
      <c r="BU76" s="87">
        <f>BR76/BQ76</f>
        <v>0</v>
      </c>
      <c r="BV76" s="140">
        <v>0</v>
      </c>
      <c r="BW76" s="88">
        <f t="shared" si="201"/>
        <v>0</v>
      </c>
      <c r="BX76" s="359">
        <f>BT76*$A$88</f>
        <v>13317.7</v>
      </c>
      <c r="BY76" s="121"/>
      <c r="BZ76" s="332">
        <v>0</v>
      </c>
      <c r="CA76" s="140">
        <v>0</v>
      </c>
      <c r="CB76" s="140">
        <v>0</v>
      </c>
      <c r="CC76" s="140">
        <v>0</v>
      </c>
      <c r="CD76" s="87" t="e">
        <f t="shared" ref="CD76:CD89" si="377">CA76/BZ76</f>
        <v>#DIV/0!</v>
      </c>
      <c r="CE76" s="140">
        <v>0</v>
      </c>
      <c r="CF76" s="88" t="e">
        <f t="shared" si="202"/>
        <v>#DIV/0!</v>
      </c>
      <c r="CG76" s="359">
        <f>CC76*$A$88</f>
        <v>0</v>
      </c>
      <c r="CH76" s="121"/>
      <c r="CI76" s="146">
        <v>0</v>
      </c>
      <c r="CJ76" s="142">
        <v>0</v>
      </c>
      <c r="CK76" s="142">
        <v>0</v>
      </c>
      <c r="CL76" s="142">
        <v>0</v>
      </c>
      <c r="CM76" s="143" t="e">
        <f t="shared" ref="CM76:CM89" si="378">CJ76/CI76</f>
        <v>#DIV/0!</v>
      </c>
      <c r="CN76" s="142">
        <v>0</v>
      </c>
      <c r="CO76" s="144" t="e">
        <f t="shared" si="203"/>
        <v>#DIV/0!</v>
      </c>
      <c r="CP76" s="121"/>
      <c r="CQ76" s="146">
        <v>0</v>
      </c>
      <c r="CR76" s="142">
        <v>0</v>
      </c>
      <c r="CS76" s="142">
        <v>0</v>
      </c>
      <c r="CT76" s="142">
        <v>0</v>
      </c>
      <c r="CU76" s="143" t="e">
        <f t="shared" ref="CU76:CU89" si="379">CR76/CQ76</f>
        <v>#DIV/0!</v>
      </c>
      <c r="CV76" s="142">
        <v>0</v>
      </c>
      <c r="CW76" s="144" t="e">
        <f t="shared" si="204"/>
        <v>#DIV/0!</v>
      </c>
      <c r="CX76" s="121"/>
      <c r="CY76" s="146">
        <v>0</v>
      </c>
      <c r="CZ76" s="142">
        <v>0</v>
      </c>
      <c r="DA76" s="142">
        <v>0</v>
      </c>
      <c r="DB76" s="142">
        <v>0</v>
      </c>
      <c r="DC76" s="143" t="e">
        <f t="shared" ref="DC76:DC89" si="380">CZ76/CY76</f>
        <v>#DIV/0!</v>
      </c>
      <c r="DD76" s="142">
        <v>0</v>
      </c>
      <c r="DE76" s="144" t="e">
        <f t="shared" si="205"/>
        <v>#DIV/0!</v>
      </c>
      <c r="DF76" s="9"/>
      <c r="DG76" s="354"/>
      <c r="DH76" s="9"/>
      <c r="DI76" s="9"/>
      <c r="DJ76" s="9"/>
      <c r="DK76" s="9"/>
      <c r="DL76" s="9"/>
      <c r="DM76" s="9"/>
      <c r="DN76" s="9"/>
      <c r="DO76" s="9"/>
      <c r="DP76" s="9"/>
      <c r="DQ76" s="9"/>
      <c r="DR76" s="9"/>
      <c r="DS76" s="9"/>
      <c r="DT76" s="9"/>
      <c r="DU76" s="9"/>
      <c r="DV76" s="9"/>
      <c r="DW76" s="9"/>
      <c r="DX76" s="9"/>
      <c r="DY76" s="9"/>
      <c r="DZ76" s="9"/>
      <c r="EA76" s="9"/>
      <c r="EB76" s="9"/>
      <c r="EC76" s="9"/>
      <c r="ED76" s="9"/>
      <c r="EE76" s="9"/>
    </row>
    <row r="77" spans="1:135" s="11" customFormat="1" ht="13.15" customHeight="1">
      <c r="A77" s="396"/>
      <c r="B77" s="70" t="s">
        <v>13</v>
      </c>
      <c r="C77" s="148">
        <f t="shared" ref="C77:C86" si="381">SUM(L77,T77,AB77,AJ77,AR77,AZ77,BH77,BQ77,BZ77,CI77,CQ77,CY77)</f>
        <v>338501.23864197533</v>
      </c>
      <c r="D77" s="148">
        <f t="shared" si="369"/>
        <v>64315.238641975331</v>
      </c>
      <c r="E77" s="148">
        <f t="shared" si="370"/>
        <v>274186</v>
      </c>
      <c r="F77" s="148">
        <f t="shared" ref="F77:F86" si="382">SUM(O77,W77,AE77,AM77,AU77,BC77,BK77,BT77,CC77,CL77,CT77,DB77)</f>
        <v>274186</v>
      </c>
      <c r="G77" s="14">
        <f t="shared" ref="G77:G86" si="383">D77/C77</f>
        <v>0.19000000974885656</v>
      </c>
      <c r="H77" s="148">
        <f t="shared" ref="H77:H83" si="384">SUM(Q77,Y77,AG77,AO77,AW77,BE77,BM77,BV77,CE77,CN77,CV77,DD77)</f>
        <v>0</v>
      </c>
      <c r="I77" s="14">
        <f t="shared" ref="I77" si="385">H77/C77</f>
        <v>0</v>
      </c>
      <c r="J77" s="220">
        <f>F77*$A$88</f>
        <v>331956.99020000006</v>
      </c>
      <c r="K77" s="121"/>
      <c r="L77" s="79">
        <v>24197.530864197532</v>
      </c>
      <c r="M77" s="20">
        <v>4597.5308641975325</v>
      </c>
      <c r="N77" s="20">
        <v>19600</v>
      </c>
      <c r="O77" s="20">
        <v>19600</v>
      </c>
      <c r="P77" s="73">
        <f t="shared" si="371"/>
        <v>0.19000000000000006</v>
      </c>
      <c r="Q77" s="140">
        <v>0</v>
      </c>
      <c r="R77" s="74">
        <f t="shared" ref="R77" si="386">Q77/L77</f>
        <v>0</v>
      </c>
      <c r="S77" s="121"/>
      <c r="T77" s="79">
        <v>27222.222222222226</v>
      </c>
      <c r="U77" s="20">
        <v>5172.2222222222244</v>
      </c>
      <c r="V77" s="20">
        <v>22050</v>
      </c>
      <c r="W77" s="20">
        <v>22050</v>
      </c>
      <c r="X77" s="73">
        <f t="shared" si="372"/>
        <v>0.19000000000000006</v>
      </c>
      <c r="Y77" s="141">
        <v>0</v>
      </c>
      <c r="Z77" s="74">
        <f t="shared" ref="Z77" si="387">Y77/T77</f>
        <v>0</v>
      </c>
      <c r="AA77" s="121"/>
      <c r="AB77" s="79">
        <v>67407.407407407416</v>
      </c>
      <c r="AC77" s="20">
        <v>12807.407407407412</v>
      </c>
      <c r="AD77" s="20">
        <v>54600</v>
      </c>
      <c r="AE77" s="20">
        <v>54600</v>
      </c>
      <c r="AF77" s="73">
        <f t="shared" si="373"/>
        <v>0.19000000000000006</v>
      </c>
      <c r="AG77" s="20">
        <v>0</v>
      </c>
      <c r="AH77" s="74">
        <f t="shared" ref="AH77" si="388">AG77/AB77</f>
        <v>0</v>
      </c>
      <c r="AI77" s="121"/>
      <c r="AJ77" s="79">
        <v>37382.716049382718</v>
      </c>
      <c r="AK77" s="20">
        <v>7102.7160493827187</v>
      </c>
      <c r="AL77" s="20">
        <v>30280</v>
      </c>
      <c r="AM77" s="20">
        <v>30280</v>
      </c>
      <c r="AN77" s="73">
        <f t="shared" si="374"/>
        <v>0.19000000000000006</v>
      </c>
      <c r="AO77" s="20">
        <v>0</v>
      </c>
      <c r="AP77" s="74">
        <f t="shared" ref="AP77" si="389">AO77/AJ77</f>
        <v>0</v>
      </c>
      <c r="AQ77" s="121"/>
      <c r="AR77" s="79">
        <v>29580.246913580249</v>
      </c>
      <c r="AS77" s="20">
        <v>5620.2469135802494</v>
      </c>
      <c r="AT77" s="20">
        <v>23960</v>
      </c>
      <c r="AU77" s="20">
        <v>23960</v>
      </c>
      <c r="AV77" s="73">
        <f t="shared" si="375"/>
        <v>0.19000000000000006</v>
      </c>
      <c r="AW77" s="20">
        <v>0</v>
      </c>
      <c r="AX77" s="17">
        <f t="shared" si="196"/>
        <v>0</v>
      </c>
      <c r="AY77" s="121"/>
      <c r="AZ77" s="79">
        <v>37382.716049382718</v>
      </c>
      <c r="BA77" s="20">
        <v>7102.7160493827187</v>
      </c>
      <c r="BB77" s="20">
        <v>30280</v>
      </c>
      <c r="BC77" s="20">
        <v>30280</v>
      </c>
      <c r="BD77" s="73">
        <f t="shared" si="376"/>
        <v>0.19000000000000006</v>
      </c>
      <c r="BE77" s="20">
        <v>0</v>
      </c>
      <c r="BF77" s="74">
        <f t="shared" si="197"/>
        <v>0</v>
      </c>
      <c r="BG77" s="121"/>
      <c r="BH77" s="332">
        <v>37382.716049382718</v>
      </c>
      <c r="BI77" s="140">
        <v>7102.7160493827187</v>
      </c>
      <c r="BJ77" s="140">
        <v>30280</v>
      </c>
      <c r="BK77" s="140">
        <v>30280</v>
      </c>
      <c r="BL77" s="87">
        <f t="shared" ref="BL77:BL87" si="390">BI77/BH77</f>
        <v>0.19000000000000006</v>
      </c>
      <c r="BM77" s="140">
        <v>0</v>
      </c>
      <c r="BN77" s="88">
        <f t="shared" si="199"/>
        <v>0</v>
      </c>
      <c r="BO77" s="220">
        <f>BK77*$A$88</f>
        <v>36659.996000000006</v>
      </c>
      <c r="BP77" s="121"/>
      <c r="BQ77" s="332">
        <v>36019.753086419754</v>
      </c>
      <c r="BR77" s="140">
        <v>6843.7530864197561</v>
      </c>
      <c r="BS77" s="140">
        <v>29176</v>
      </c>
      <c r="BT77" s="140">
        <v>29176</v>
      </c>
      <c r="BU77" s="87">
        <f t="shared" ref="BU77:BU87" si="391">BR77/BQ77</f>
        <v>0.19000000000000009</v>
      </c>
      <c r="BV77" s="140">
        <v>0</v>
      </c>
      <c r="BW77" s="88">
        <f t="shared" si="201"/>
        <v>0</v>
      </c>
      <c r="BX77" s="359">
        <f>BT77*$A$88</f>
        <v>35323.383200000004</v>
      </c>
      <c r="BY77" s="121"/>
      <c r="BZ77" s="332">
        <v>41925.93</v>
      </c>
      <c r="CA77" s="140">
        <v>7965.93</v>
      </c>
      <c r="CB77" s="140">
        <v>33960</v>
      </c>
      <c r="CC77" s="140">
        <v>33960</v>
      </c>
      <c r="CD77" s="87">
        <f t="shared" si="377"/>
        <v>0.19000007871023972</v>
      </c>
      <c r="CE77" s="140">
        <v>0</v>
      </c>
      <c r="CF77" s="88">
        <f t="shared" si="202"/>
        <v>0</v>
      </c>
      <c r="CG77" s="359">
        <f>CC77*$A$88</f>
        <v>41115.372000000003</v>
      </c>
      <c r="CH77" s="121"/>
      <c r="CI77" s="146">
        <v>0</v>
      </c>
      <c r="CJ77" s="142">
        <v>0</v>
      </c>
      <c r="CK77" s="142">
        <v>0</v>
      </c>
      <c r="CL77" s="142">
        <v>0</v>
      </c>
      <c r="CM77" s="143" t="e">
        <f t="shared" si="378"/>
        <v>#DIV/0!</v>
      </c>
      <c r="CN77" s="142">
        <v>0</v>
      </c>
      <c r="CO77" s="144" t="e">
        <f t="shared" si="203"/>
        <v>#DIV/0!</v>
      </c>
      <c r="CP77" s="121"/>
      <c r="CQ77" s="146">
        <v>0</v>
      </c>
      <c r="CR77" s="142">
        <v>0</v>
      </c>
      <c r="CS77" s="142">
        <v>0</v>
      </c>
      <c r="CT77" s="142">
        <v>0</v>
      </c>
      <c r="CU77" s="143" t="e">
        <f t="shared" si="379"/>
        <v>#DIV/0!</v>
      </c>
      <c r="CV77" s="142">
        <v>0</v>
      </c>
      <c r="CW77" s="144" t="e">
        <f t="shared" si="204"/>
        <v>#DIV/0!</v>
      </c>
      <c r="CX77" s="121"/>
      <c r="CY77" s="146">
        <v>0</v>
      </c>
      <c r="CZ77" s="142">
        <v>0</v>
      </c>
      <c r="DA77" s="142">
        <v>0</v>
      </c>
      <c r="DB77" s="142">
        <v>0</v>
      </c>
      <c r="DC77" s="143" t="e">
        <f t="shared" si="380"/>
        <v>#DIV/0!</v>
      </c>
      <c r="DD77" s="142">
        <v>0</v>
      </c>
      <c r="DE77" s="144" t="e">
        <f t="shared" si="205"/>
        <v>#DIV/0!</v>
      </c>
      <c r="DF77" s="9"/>
      <c r="DG77" s="354"/>
      <c r="DH77" s="9"/>
      <c r="DI77" s="9"/>
      <c r="DJ77" s="9"/>
      <c r="DK77" s="9"/>
      <c r="DL77" s="9"/>
      <c r="DM77" s="9"/>
      <c r="DN77" s="9"/>
      <c r="DO77" s="9"/>
      <c r="DP77" s="9"/>
      <c r="DQ77" s="9"/>
      <c r="DR77" s="9"/>
      <c r="DS77" s="9"/>
      <c r="DT77" s="9"/>
      <c r="DU77" s="9"/>
      <c r="DV77" s="9"/>
      <c r="DW77" s="9"/>
      <c r="DX77" s="9"/>
      <c r="DY77" s="9"/>
      <c r="DZ77" s="9"/>
      <c r="EA77" s="9"/>
      <c r="EB77" s="9"/>
      <c r="EC77" s="9"/>
      <c r="ED77" s="9"/>
      <c r="EE77" s="9"/>
    </row>
    <row r="78" spans="1:135" s="11" customFormat="1" ht="13.15" customHeight="1">
      <c r="A78" s="396"/>
      <c r="B78" s="70" t="s">
        <v>188</v>
      </c>
      <c r="C78" s="148"/>
      <c r="D78" s="148"/>
      <c r="E78" s="148"/>
      <c r="F78" s="148"/>
      <c r="G78" s="14"/>
      <c r="H78" s="148"/>
      <c r="I78" s="14"/>
      <c r="J78" s="220"/>
      <c r="K78" s="119"/>
      <c r="L78" s="78"/>
      <c r="M78" s="21"/>
      <c r="N78" s="21"/>
      <c r="O78" s="21"/>
      <c r="P78" s="73"/>
      <c r="Q78" s="84"/>
      <c r="R78" s="74"/>
      <c r="S78" s="119"/>
      <c r="T78" s="86"/>
      <c r="U78" s="84"/>
      <c r="V78" s="84"/>
      <c r="W78" s="84"/>
      <c r="X78" s="87"/>
      <c r="Y78" s="85"/>
      <c r="Z78" s="17"/>
      <c r="AA78" s="119"/>
      <c r="AB78" s="86"/>
      <c r="AC78" s="84"/>
      <c r="AD78" s="84"/>
      <c r="AE78" s="84"/>
      <c r="AF78" s="87"/>
      <c r="AG78" s="84"/>
      <c r="AH78" s="88"/>
      <c r="AI78" s="119"/>
      <c r="AJ78" s="78"/>
      <c r="AK78" s="21"/>
      <c r="AL78" s="21"/>
      <c r="AM78" s="21"/>
      <c r="AN78" s="73"/>
      <c r="AO78" s="21"/>
      <c r="AP78" s="74"/>
      <c r="AQ78" s="119"/>
      <c r="AR78" s="78"/>
      <c r="AS78" s="21"/>
      <c r="AT78" s="21"/>
      <c r="AU78" s="21"/>
      <c r="AV78" s="73"/>
      <c r="AW78" s="21"/>
      <c r="AX78" s="74"/>
      <c r="AY78" s="119"/>
      <c r="AZ78" s="78"/>
      <c r="BA78" s="21"/>
      <c r="BB78" s="21"/>
      <c r="BC78" s="21"/>
      <c r="BD78" s="73"/>
      <c r="BE78" s="21"/>
      <c r="BF78" s="74"/>
      <c r="BG78" s="119"/>
      <c r="BH78" s="78"/>
      <c r="BI78" s="21"/>
      <c r="BJ78" s="21"/>
      <c r="BK78" s="21"/>
      <c r="BL78" s="73"/>
      <c r="BM78" s="21"/>
      <c r="BN78" s="74"/>
      <c r="BO78" s="220"/>
      <c r="BP78" s="119"/>
      <c r="BQ78" s="78"/>
      <c r="BR78" s="21"/>
      <c r="BS78" s="21"/>
      <c r="BT78" s="21"/>
      <c r="BU78" s="73"/>
      <c r="BV78" s="21"/>
      <c r="BW78" s="74"/>
      <c r="BX78" s="359"/>
      <c r="BY78" s="119"/>
      <c r="BZ78" s="78"/>
      <c r="CA78" s="21"/>
      <c r="CB78" s="21"/>
      <c r="CC78" s="21"/>
      <c r="CD78" s="73"/>
      <c r="CE78" s="84"/>
      <c r="CF78" s="74"/>
      <c r="CG78" s="359"/>
      <c r="CH78" s="119"/>
      <c r="CI78" s="314"/>
      <c r="CJ78" s="315"/>
      <c r="CK78" s="315"/>
      <c r="CL78" s="315"/>
      <c r="CM78" s="133"/>
      <c r="CN78" s="316"/>
      <c r="CO78" s="135"/>
      <c r="CP78" s="119"/>
      <c r="CQ78" s="314"/>
      <c r="CR78" s="315"/>
      <c r="CS78" s="315"/>
      <c r="CT78" s="315"/>
      <c r="CU78" s="133"/>
      <c r="CV78" s="316"/>
      <c r="CW78" s="135"/>
      <c r="CX78" s="119"/>
      <c r="CY78" s="314"/>
      <c r="CZ78" s="315"/>
      <c r="DA78" s="315"/>
      <c r="DB78" s="315"/>
      <c r="DC78" s="133"/>
      <c r="DD78" s="316"/>
      <c r="DE78" s="135"/>
      <c r="DF78" s="9"/>
      <c r="DG78" s="354"/>
      <c r="DH78" s="9"/>
      <c r="DI78" s="9"/>
      <c r="DJ78" s="9"/>
      <c r="DK78" s="9"/>
      <c r="DL78" s="9"/>
      <c r="DM78" s="9"/>
      <c r="DN78" s="9"/>
      <c r="DO78" s="9"/>
      <c r="DP78" s="9"/>
      <c r="DQ78" s="9"/>
      <c r="DR78" s="9"/>
      <c r="DS78" s="9"/>
      <c r="DT78" s="9"/>
      <c r="DU78" s="9"/>
      <c r="DV78" s="9"/>
      <c r="DW78" s="9"/>
      <c r="DX78" s="9"/>
      <c r="DY78" s="9"/>
      <c r="DZ78" s="9"/>
      <c r="EA78" s="9"/>
      <c r="EB78" s="9"/>
      <c r="EC78" s="9"/>
      <c r="ED78" s="9"/>
      <c r="EE78" s="9"/>
    </row>
    <row r="79" spans="1:135" s="7" customFormat="1" ht="13" customHeight="1">
      <c r="A79" s="396"/>
      <c r="B79" s="70" t="s">
        <v>119</v>
      </c>
      <c r="C79" s="66"/>
      <c r="D79" s="66"/>
      <c r="E79" s="66"/>
      <c r="F79" s="66"/>
      <c r="G79" s="14"/>
      <c r="H79" s="66"/>
      <c r="I79" s="14"/>
      <c r="J79" s="216"/>
      <c r="K79" s="111"/>
      <c r="L79" s="72"/>
      <c r="M79" s="66"/>
      <c r="N79" s="66"/>
      <c r="O79" s="66"/>
      <c r="P79" s="73"/>
      <c r="Q79" s="66"/>
      <c r="R79" s="74"/>
      <c r="S79" s="111"/>
      <c r="T79" s="154"/>
      <c r="U79" s="155"/>
      <c r="V79" s="155"/>
      <c r="W79" s="155"/>
      <c r="X79" s="87"/>
      <c r="Y79" s="155"/>
      <c r="Z79" s="88"/>
      <c r="AA79" s="111"/>
      <c r="AB79" s="72"/>
      <c r="AC79" s="66"/>
      <c r="AD79" s="66"/>
      <c r="AE79" s="66"/>
      <c r="AF79" s="73"/>
      <c r="AG79" s="155"/>
      <c r="AH79" s="74"/>
      <c r="AI79" s="111"/>
      <c r="AJ79" s="154"/>
      <c r="AK79" s="155"/>
      <c r="AL79" s="155"/>
      <c r="AM79" s="155"/>
      <c r="AN79" s="87"/>
      <c r="AO79" s="155"/>
      <c r="AP79" s="88"/>
      <c r="AQ79" s="111"/>
      <c r="AR79" s="154"/>
      <c r="AS79" s="155"/>
      <c r="AT79" s="155"/>
      <c r="AU79" s="155"/>
      <c r="AV79" s="87"/>
      <c r="AW79" s="155"/>
      <c r="AX79" s="88"/>
      <c r="AY79" s="111"/>
      <c r="AZ79" s="154"/>
      <c r="BA79" s="155"/>
      <c r="BB79" s="155"/>
      <c r="BC79" s="155"/>
      <c r="BD79" s="87"/>
      <c r="BE79" s="155"/>
      <c r="BF79" s="88"/>
      <c r="BG79" s="111"/>
      <c r="BH79" s="154"/>
      <c r="BI79" s="155"/>
      <c r="BJ79" s="155"/>
      <c r="BK79" s="155"/>
      <c r="BL79" s="87" t="e">
        <f t="shared" si="390"/>
        <v>#DIV/0!</v>
      </c>
      <c r="BM79" s="155"/>
      <c r="BN79" s="88" t="e">
        <f t="shared" si="199"/>
        <v>#DIV/0!</v>
      </c>
      <c r="BO79" s="216"/>
      <c r="BP79" s="111"/>
      <c r="BQ79" s="154"/>
      <c r="BR79" s="155"/>
      <c r="BS79" s="155"/>
      <c r="BT79" s="155"/>
      <c r="BU79" s="87"/>
      <c r="BV79" s="155"/>
      <c r="BW79" s="88"/>
      <c r="BX79" s="359"/>
      <c r="BY79" s="111"/>
      <c r="BZ79" s="154"/>
      <c r="CA79" s="155"/>
      <c r="CB79" s="155"/>
      <c r="CC79" s="155"/>
      <c r="CD79" s="87"/>
      <c r="CE79" s="155"/>
      <c r="CF79" s="88"/>
      <c r="CG79" s="359"/>
      <c r="CH79" s="111"/>
      <c r="CI79" s="157"/>
      <c r="CJ79" s="158"/>
      <c r="CK79" s="158"/>
      <c r="CL79" s="158"/>
      <c r="CM79" s="143"/>
      <c r="CN79" s="158"/>
      <c r="CO79" s="144"/>
      <c r="CP79" s="111"/>
      <c r="CQ79" s="157"/>
      <c r="CR79" s="158"/>
      <c r="CS79" s="158"/>
      <c r="CT79" s="158"/>
      <c r="CU79" s="143"/>
      <c r="CV79" s="158"/>
      <c r="CW79" s="144"/>
      <c r="CX79" s="111"/>
      <c r="CY79" s="157"/>
      <c r="CZ79" s="158"/>
      <c r="DA79" s="158"/>
      <c r="DB79" s="158"/>
      <c r="DC79" s="143"/>
      <c r="DD79" s="158"/>
      <c r="DE79" s="144"/>
      <c r="DF79" s="6"/>
      <c r="DG79" s="353"/>
      <c r="DH79" s="6"/>
      <c r="DI79" s="6"/>
      <c r="DJ79" s="6"/>
      <c r="DK79" s="6"/>
      <c r="DL79" s="6"/>
      <c r="DM79" s="6"/>
      <c r="DN79" s="6"/>
      <c r="DO79" s="6"/>
      <c r="DP79" s="6"/>
      <c r="DQ79" s="6"/>
      <c r="DR79" s="6"/>
      <c r="DS79" s="6"/>
      <c r="DT79" s="6"/>
      <c r="DU79" s="6"/>
      <c r="DV79" s="6"/>
      <c r="DW79" s="6"/>
      <c r="DX79" s="6"/>
      <c r="DY79" s="6"/>
      <c r="DZ79" s="6"/>
      <c r="EA79" s="6"/>
      <c r="EB79" s="6"/>
      <c r="EC79" s="6"/>
      <c r="ED79" s="6"/>
      <c r="EE79" s="6"/>
    </row>
    <row r="80" spans="1:135" s="7" customFormat="1" ht="13" customHeight="1">
      <c r="A80" s="396"/>
      <c r="B80" s="70" t="s">
        <v>120</v>
      </c>
      <c r="C80" s="66"/>
      <c r="D80" s="66"/>
      <c r="E80" s="66"/>
      <c r="F80" s="66"/>
      <c r="G80" s="14"/>
      <c r="H80" s="66"/>
      <c r="I80" s="14"/>
      <c r="J80" s="216"/>
      <c r="K80" s="111"/>
      <c r="L80" s="72"/>
      <c r="M80" s="66"/>
      <c r="N80" s="66"/>
      <c r="O80" s="66"/>
      <c r="P80" s="73"/>
      <c r="Q80" s="66"/>
      <c r="R80" s="74"/>
      <c r="S80" s="111"/>
      <c r="T80" s="154"/>
      <c r="U80" s="155"/>
      <c r="V80" s="155"/>
      <c r="W80" s="155"/>
      <c r="X80" s="87"/>
      <c r="Y80" s="155"/>
      <c r="Z80" s="88"/>
      <c r="AA80" s="111"/>
      <c r="AB80" s="72"/>
      <c r="AC80" s="66"/>
      <c r="AD80" s="66"/>
      <c r="AE80" s="66"/>
      <c r="AF80" s="73"/>
      <c r="AG80" s="155"/>
      <c r="AH80" s="74"/>
      <c r="AI80" s="111"/>
      <c r="AJ80" s="154"/>
      <c r="AK80" s="155"/>
      <c r="AL80" s="155"/>
      <c r="AM80" s="155"/>
      <c r="AN80" s="87"/>
      <c r="AO80" s="155"/>
      <c r="AP80" s="88"/>
      <c r="AQ80" s="111"/>
      <c r="AR80" s="154"/>
      <c r="AS80" s="155"/>
      <c r="AT80" s="155"/>
      <c r="AU80" s="155"/>
      <c r="AV80" s="87"/>
      <c r="AW80" s="155"/>
      <c r="AX80" s="88"/>
      <c r="AY80" s="111"/>
      <c r="AZ80" s="154"/>
      <c r="BA80" s="155"/>
      <c r="BB80" s="155"/>
      <c r="BC80" s="155"/>
      <c r="BD80" s="87"/>
      <c r="BE80" s="155"/>
      <c r="BF80" s="88"/>
      <c r="BG80" s="111"/>
      <c r="BH80" s="154"/>
      <c r="BI80" s="155"/>
      <c r="BJ80" s="155"/>
      <c r="BK80" s="155"/>
      <c r="BL80" s="87" t="e">
        <f t="shared" si="390"/>
        <v>#DIV/0!</v>
      </c>
      <c r="BM80" s="155"/>
      <c r="BN80" s="88" t="e">
        <f t="shared" si="199"/>
        <v>#DIV/0!</v>
      </c>
      <c r="BO80" s="216"/>
      <c r="BP80" s="111"/>
      <c r="BQ80" s="154"/>
      <c r="BR80" s="155"/>
      <c r="BS80" s="155"/>
      <c r="BT80" s="155"/>
      <c r="BU80" s="87"/>
      <c r="BV80" s="155"/>
      <c r="BW80" s="88"/>
      <c r="BX80" s="359"/>
      <c r="BY80" s="111"/>
      <c r="BZ80" s="154"/>
      <c r="CA80" s="155"/>
      <c r="CB80" s="155"/>
      <c r="CC80" s="155"/>
      <c r="CD80" s="87"/>
      <c r="CE80" s="155"/>
      <c r="CF80" s="88"/>
      <c r="CG80" s="359"/>
      <c r="CH80" s="111"/>
      <c r="CI80" s="157"/>
      <c r="CJ80" s="158"/>
      <c r="CK80" s="158"/>
      <c r="CL80" s="158"/>
      <c r="CM80" s="143"/>
      <c r="CN80" s="158"/>
      <c r="CO80" s="144"/>
      <c r="CP80" s="111"/>
      <c r="CQ80" s="157"/>
      <c r="CR80" s="158"/>
      <c r="CS80" s="158"/>
      <c r="CT80" s="158"/>
      <c r="CU80" s="143"/>
      <c r="CV80" s="158"/>
      <c r="CW80" s="144"/>
      <c r="CX80" s="111"/>
      <c r="CY80" s="157"/>
      <c r="CZ80" s="158"/>
      <c r="DA80" s="158"/>
      <c r="DB80" s="158"/>
      <c r="DC80" s="143"/>
      <c r="DD80" s="158"/>
      <c r="DE80" s="144"/>
      <c r="DF80" s="6"/>
      <c r="DG80" s="353"/>
      <c r="DH80" s="6"/>
      <c r="DI80" s="6"/>
      <c r="DJ80" s="6"/>
      <c r="DK80" s="6"/>
      <c r="DL80" s="6"/>
      <c r="DM80" s="6"/>
      <c r="DN80" s="6"/>
      <c r="DO80" s="6"/>
      <c r="DP80" s="6"/>
      <c r="DQ80" s="6"/>
      <c r="DR80" s="6"/>
      <c r="DS80" s="6"/>
      <c r="DT80" s="6"/>
      <c r="DU80" s="6"/>
      <c r="DV80" s="6"/>
      <c r="DW80" s="6"/>
      <c r="DX80" s="6"/>
      <c r="DY80" s="6"/>
      <c r="DZ80" s="6"/>
      <c r="EA80" s="6"/>
      <c r="EB80" s="6"/>
      <c r="EC80" s="6"/>
      <c r="ED80" s="6"/>
      <c r="EE80" s="6"/>
    </row>
    <row r="81" spans="1:135" s="7" customFormat="1" ht="13" customHeight="1">
      <c r="A81" s="396"/>
      <c r="B81" s="70" t="s">
        <v>121</v>
      </c>
      <c r="C81" s="66"/>
      <c r="D81" s="66"/>
      <c r="E81" s="66"/>
      <c r="F81" s="66"/>
      <c r="G81" s="14"/>
      <c r="H81" s="66"/>
      <c r="I81" s="14"/>
      <c r="J81" s="216"/>
      <c r="K81" s="111"/>
      <c r="L81" s="72"/>
      <c r="M81" s="66"/>
      <c r="N81" s="66"/>
      <c r="O81" s="66"/>
      <c r="P81" s="73"/>
      <c r="Q81" s="66"/>
      <c r="R81" s="74"/>
      <c r="S81" s="111"/>
      <c r="T81" s="154"/>
      <c r="U81" s="155"/>
      <c r="V81" s="155"/>
      <c r="W81" s="155"/>
      <c r="X81" s="87"/>
      <c r="Y81" s="155"/>
      <c r="Z81" s="88"/>
      <c r="AA81" s="111"/>
      <c r="AB81" s="72"/>
      <c r="AC81" s="66"/>
      <c r="AD81" s="66"/>
      <c r="AE81" s="66"/>
      <c r="AF81" s="73"/>
      <c r="AG81" s="155"/>
      <c r="AH81" s="74"/>
      <c r="AI81" s="111"/>
      <c r="AJ81" s="154"/>
      <c r="AK81" s="155"/>
      <c r="AL81" s="155"/>
      <c r="AM81" s="155"/>
      <c r="AN81" s="87"/>
      <c r="AO81" s="155"/>
      <c r="AP81" s="88"/>
      <c r="AQ81" s="111"/>
      <c r="AR81" s="154"/>
      <c r="AS81" s="155"/>
      <c r="AT81" s="155"/>
      <c r="AU81" s="155"/>
      <c r="AV81" s="87"/>
      <c r="AW81" s="155"/>
      <c r="AX81" s="88"/>
      <c r="AY81" s="111"/>
      <c r="AZ81" s="154"/>
      <c r="BA81" s="155"/>
      <c r="BB81" s="155"/>
      <c r="BC81" s="155"/>
      <c r="BD81" s="87"/>
      <c r="BE81" s="155"/>
      <c r="BF81" s="88"/>
      <c r="BG81" s="111"/>
      <c r="BH81" s="154"/>
      <c r="BI81" s="155"/>
      <c r="BJ81" s="155"/>
      <c r="BK81" s="155"/>
      <c r="BL81" s="87" t="e">
        <f t="shared" si="390"/>
        <v>#DIV/0!</v>
      </c>
      <c r="BM81" s="155"/>
      <c r="BN81" s="88" t="e">
        <f t="shared" si="199"/>
        <v>#DIV/0!</v>
      </c>
      <c r="BO81" s="216"/>
      <c r="BP81" s="111"/>
      <c r="BQ81" s="154"/>
      <c r="BR81" s="155"/>
      <c r="BS81" s="155"/>
      <c r="BT81" s="155"/>
      <c r="BU81" s="87"/>
      <c r="BV81" s="155"/>
      <c r="BW81" s="88"/>
      <c r="BX81" s="359"/>
      <c r="BY81" s="111"/>
      <c r="BZ81" s="154"/>
      <c r="CA81" s="155"/>
      <c r="CB81" s="155"/>
      <c r="CC81" s="155"/>
      <c r="CD81" s="87"/>
      <c r="CE81" s="155"/>
      <c r="CF81" s="88"/>
      <c r="CG81" s="359"/>
      <c r="CH81" s="111"/>
      <c r="CI81" s="157"/>
      <c r="CJ81" s="158"/>
      <c r="CK81" s="158"/>
      <c r="CL81" s="158"/>
      <c r="CM81" s="143"/>
      <c r="CN81" s="158"/>
      <c r="CO81" s="144"/>
      <c r="CP81" s="111"/>
      <c r="CQ81" s="157"/>
      <c r="CR81" s="158"/>
      <c r="CS81" s="158"/>
      <c r="CT81" s="158"/>
      <c r="CU81" s="143"/>
      <c r="CV81" s="158"/>
      <c r="CW81" s="144"/>
      <c r="CX81" s="111"/>
      <c r="CY81" s="157"/>
      <c r="CZ81" s="158"/>
      <c r="DA81" s="158"/>
      <c r="DB81" s="158"/>
      <c r="DC81" s="143"/>
      <c r="DD81" s="158"/>
      <c r="DE81" s="144"/>
      <c r="DF81" s="6"/>
      <c r="DG81" s="353"/>
      <c r="DH81" s="6"/>
      <c r="DI81" s="6"/>
      <c r="DJ81" s="6"/>
      <c r="DK81" s="6"/>
      <c r="DL81" s="6"/>
      <c r="DM81" s="6"/>
      <c r="DN81" s="6"/>
      <c r="DO81" s="6"/>
      <c r="DP81" s="6"/>
      <c r="DQ81" s="6"/>
      <c r="DR81" s="6"/>
      <c r="DS81" s="6"/>
      <c r="DT81" s="6"/>
      <c r="DU81" s="6"/>
      <c r="DV81" s="6"/>
      <c r="DW81" s="6"/>
      <c r="DX81" s="6"/>
      <c r="DY81" s="6"/>
      <c r="DZ81" s="6"/>
      <c r="EA81" s="6"/>
      <c r="EB81" s="6"/>
      <c r="EC81" s="6"/>
      <c r="ED81" s="6"/>
      <c r="EE81" s="6"/>
    </row>
    <row r="82" spans="1:135" s="7" customFormat="1" ht="13" customHeight="1">
      <c r="A82" s="396"/>
      <c r="B82" s="70" t="s">
        <v>122</v>
      </c>
      <c r="C82" s="66"/>
      <c r="D82" s="66"/>
      <c r="E82" s="66"/>
      <c r="F82" s="66"/>
      <c r="G82" s="14"/>
      <c r="H82" s="66"/>
      <c r="I82" s="14"/>
      <c r="J82" s="216"/>
      <c r="K82" s="111"/>
      <c r="L82" s="72"/>
      <c r="M82" s="66"/>
      <c r="N82" s="66"/>
      <c r="O82" s="66"/>
      <c r="P82" s="73"/>
      <c r="Q82" s="66"/>
      <c r="R82" s="74"/>
      <c r="S82" s="111"/>
      <c r="T82" s="154"/>
      <c r="U82" s="155"/>
      <c r="V82" s="155"/>
      <c r="W82" s="155"/>
      <c r="X82" s="87"/>
      <c r="Y82" s="155"/>
      <c r="Z82" s="88"/>
      <c r="AA82" s="111"/>
      <c r="AB82" s="72"/>
      <c r="AC82" s="66"/>
      <c r="AD82" s="66"/>
      <c r="AE82" s="66"/>
      <c r="AF82" s="73"/>
      <c r="AG82" s="155"/>
      <c r="AH82" s="74"/>
      <c r="AI82" s="111"/>
      <c r="AJ82" s="154"/>
      <c r="AK82" s="155"/>
      <c r="AL82" s="155"/>
      <c r="AM82" s="155"/>
      <c r="AN82" s="87"/>
      <c r="AO82" s="155"/>
      <c r="AP82" s="88"/>
      <c r="AQ82" s="111"/>
      <c r="AR82" s="154"/>
      <c r="AS82" s="155"/>
      <c r="AT82" s="155"/>
      <c r="AU82" s="155"/>
      <c r="AV82" s="87"/>
      <c r="AW82" s="155"/>
      <c r="AX82" s="88"/>
      <c r="AY82" s="111"/>
      <c r="AZ82" s="154"/>
      <c r="BA82" s="155"/>
      <c r="BB82" s="155"/>
      <c r="BC82" s="155"/>
      <c r="BD82" s="87"/>
      <c r="BE82" s="155"/>
      <c r="BF82" s="88"/>
      <c r="BG82" s="111"/>
      <c r="BH82" s="154"/>
      <c r="BI82" s="155"/>
      <c r="BJ82" s="155"/>
      <c r="BK82" s="155"/>
      <c r="BL82" s="87" t="e">
        <f t="shared" si="390"/>
        <v>#DIV/0!</v>
      </c>
      <c r="BM82" s="155"/>
      <c r="BN82" s="88" t="e">
        <f t="shared" si="199"/>
        <v>#DIV/0!</v>
      </c>
      <c r="BO82" s="216"/>
      <c r="BP82" s="111"/>
      <c r="BQ82" s="154"/>
      <c r="BR82" s="155"/>
      <c r="BS82" s="155"/>
      <c r="BT82" s="155"/>
      <c r="BU82" s="87"/>
      <c r="BV82" s="155"/>
      <c r="BW82" s="88"/>
      <c r="BX82" s="359"/>
      <c r="BY82" s="111"/>
      <c r="BZ82" s="154"/>
      <c r="CA82" s="155"/>
      <c r="CB82" s="155"/>
      <c r="CC82" s="155"/>
      <c r="CD82" s="87"/>
      <c r="CE82" s="155"/>
      <c r="CF82" s="88"/>
      <c r="CG82" s="359"/>
      <c r="CH82" s="111"/>
      <c r="CI82" s="157"/>
      <c r="CJ82" s="158"/>
      <c r="CK82" s="158"/>
      <c r="CL82" s="158"/>
      <c r="CM82" s="143"/>
      <c r="CN82" s="158"/>
      <c r="CO82" s="144"/>
      <c r="CP82" s="111"/>
      <c r="CQ82" s="157"/>
      <c r="CR82" s="158"/>
      <c r="CS82" s="158"/>
      <c r="CT82" s="158"/>
      <c r="CU82" s="143"/>
      <c r="CV82" s="158"/>
      <c r="CW82" s="144"/>
      <c r="CX82" s="111"/>
      <c r="CY82" s="157"/>
      <c r="CZ82" s="158"/>
      <c r="DA82" s="158"/>
      <c r="DB82" s="158"/>
      <c r="DC82" s="143"/>
      <c r="DD82" s="158"/>
      <c r="DE82" s="144"/>
      <c r="DF82" s="6"/>
      <c r="DG82" s="353"/>
      <c r="DH82" s="6"/>
      <c r="DI82" s="6"/>
      <c r="DJ82" s="6"/>
      <c r="DK82" s="6"/>
      <c r="DL82" s="6"/>
      <c r="DM82" s="6"/>
      <c r="DN82" s="6"/>
      <c r="DO82" s="6"/>
      <c r="DP82" s="6"/>
      <c r="DQ82" s="6"/>
      <c r="DR82" s="6"/>
      <c r="DS82" s="6"/>
      <c r="DT82" s="6"/>
      <c r="DU82" s="6"/>
      <c r="DV82" s="6"/>
      <c r="DW82" s="6"/>
      <c r="DX82" s="6"/>
      <c r="DY82" s="6"/>
      <c r="DZ82" s="6"/>
      <c r="EA82" s="6"/>
      <c r="EB82" s="6"/>
      <c r="EC82" s="6"/>
      <c r="ED82" s="6"/>
      <c r="EE82" s="6"/>
    </row>
    <row r="83" spans="1:135" s="11" customFormat="1" ht="13.15" customHeight="1">
      <c r="A83" s="396"/>
      <c r="B83" s="70" t="s">
        <v>14</v>
      </c>
      <c r="C83" s="148">
        <f t="shared" si="381"/>
        <v>354726.7533766235</v>
      </c>
      <c r="D83" s="148">
        <f t="shared" si="369"/>
        <v>81587.153376623464</v>
      </c>
      <c r="E83" s="148">
        <f t="shared" si="370"/>
        <v>273139.60000000003</v>
      </c>
      <c r="F83" s="148">
        <f t="shared" si="382"/>
        <v>273139.60000000003</v>
      </c>
      <c r="G83" s="14">
        <f t="shared" si="383"/>
        <v>0.23000000028190729</v>
      </c>
      <c r="H83" s="148">
        <f t="shared" si="384"/>
        <v>77750</v>
      </c>
      <c r="I83" s="14">
        <f>H83/C83</f>
        <v>0.21918279143002956</v>
      </c>
      <c r="J83" s="220">
        <f>F83*$A$88</f>
        <v>330690.11372000008</v>
      </c>
      <c r="K83" s="121"/>
      <c r="L83" s="79">
        <v>41220.77922077923</v>
      </c>
      <c r="M83" s="20">
        <v>9480.7792207792318</v>
      </c>
      <c r="N83" s="20">
        <v>31740</v>
      </c>
      <c r="O83" s="20">
        <v>31740</v>
      </c>
      <c r="P83" s="73">
        <f t="shared" si="371"/>
        <v>0.2300000000000002</v>
      </c>
      <c r="Q83" s="140">
        <v>7500</v>
      </c>
      <c r="R83" s="74">
        <f>Q83/L83</f>
        <v>0.18194706994328919</v>
      </c>
      <c r="S83" s="121"/>
      <c r="T83" s="79">
        <v>29870.129870129877</v>
      </c>
      <c r="U83" s="20">
        <v>6870.1298701298774</v>
      </c>
      <c r="V83" s="20">
        <v>23000</v>
      </c>
      <c r="W83" s="20">
        <v>23000</v>
      </c>
      <c r="X83" s="73">
        <f t="shared" si="372"/>
        <v>0.2300000000000002</v>
      </c>
      <c r="Y83" s="141">
        <v>7500</v>
      </c>
      <c r="Z83" s="74">
        <f>Y83/T83</f>
        <v>0.25108695652173907</v>
      </c>
      <c r="AA83" s="121"/>
      <c r="AB83" s="79">
        <v>29870.129870129877</v>
      </c>
      <c r="AC83" s="20">
        <v>6870.1298701298774</v>
      </c>
      <c r="AD83" s="20">
        <v>23000</v>
      </c>
      <c r="AE83" s="20">
        <v>23000</v>
      </c>
      <c r="AF83" s="73">
        <f t="shared" si="373"/>
        <v>0.2300000000000002</v>
      </c>
      <c r="AG83" s="20">
        <v>7500</v>
      </c>
      <c r="AH83" s="74">
        <f>AG83/AB83</f>
        <v>0.25108695652173907</v>
      </c>
      <c r="AI83" s="121"/>
      <c r="AJ83" s="79">
        <v>47554.025974025986</v>
      </c>
      <c r="AK83" s="20">
        <v>10937.425974025986</v>
      </c>
      <c r="AL83" s="20">
        <v>36616.6</v>
      </c>
      <c r="AM83" s="20">
        <v>36616.6</v>
      </c>
      <c r="AN83" s="73">
        <f t="shared" si="374"/>
        <v>0.23000000000000018</v>
      </c>
      <c r="AO83" s="20">
        <v>11050</v>
      </c>
      <c r="AP83" s="74">
        <f>AO83/AJ83</f>
        <v>0.23236728696820561</v>
      </c>
      <c r="AQ83" s="121"/>
      <c r="AR83" s="79">
        <v>47554.025974025986</v>
      </c>
      <c r="AS83" s="20">
        <v>10937.425974025986</v>
      </c>
      <c r="AT83" s="20">
        <v>36616.6</v>
      </c>
      <c r="AU83" s="20">
        <v>36616.6</v>
      </c>
      <c r="AV83" s="73">
        <f t="shared" si="375"/>
        <v>0.23000000000000018</v>
      </c>
      <c r="AW83" s="20">
        <v>11050</v>
      </c>
      <c r="AX83" s="17">
        <f t="shared" si="196"/>
        <v>0.23236728696820561</v>
      </c>
      <c r="AY83" s="121"/>
      <c r="AZ83" s="79">
        <v>47532.467532467548</v>
      </c>
      <c r="BA83" s="20">
        <v>10932.467532467545</v>
      </c>
      <c r="BB83" s="20">
        <v>36600</v>
      </c>
      <c r="BC83" s="20">
        <v>36600</v>
      </c>
      <c r="BD83" s="73">
        <f t="shared" si="376"/>
        <v>0.23000000000000018</v>
      </c>
      <c r="BE83" s="20">
        <v>11050</v>
      </c>
      <c r="BF83" s="74">
        <f t="shared" si="197"/>
        <v>0.23247267759562834</v>
      </c>
      <c r="BG83" s="121"/>
      <c r="BH83" s="332">
        <v>40627.532467532481</v>
      </c>
      <c r="BI83" s="140">
        <v>9344.3324675324784</v>
      </c>
      <c r="BJ83" s="140">
        <v>31283.200000000001</v>
      </c>
      <c r="BK83" s="140">
        <v>31283.200000000001</v>
      </c>
      <c r="BL83" s="87">
        <f t="shared" si="390"/>
        <v>0.2300000000000002</v>
      </c>
      <c r="BM83" s="140">
        <v>0</v>
      </c>
      <c r="BN83" s="88">
        <f t="shared" si="199"/>
        <v>0</v>
      </c>
      <c r="BO83" s="220">
        <f>BK83*$A$88</f>
        <v>37874.570240000001</v>
      </c>
      <c r="BP83" s="121"/>
      <c r="BQ83" s="332">
        <v>40627.532467532481</v>
      </c>
      <c r="BR83" s="140">
        <v>9344.3324675324784</v>
      </c>
      <c r="BS83" s="140">
        <v>31283.200000000001</v>
      </c>
      <c r="BT83" s="140">
        <v>31283.200000000001</v>
      </c>
      <c r="BU83" s="87">
        <f t="shared" si="391"/>
        <v>0.2300000000000002</v>
      </c>
      <c r="BV83" s="140">
        <v>11050</v>
      </c>
      <c r="BW83" s="88">
        <f t="shared" si="201"/>
        <v>0.27198304521276589</v>
      </c>
      <c r="BX83" s="359">
        <f>BT83*$A$88</f>
        <v>37874.570240000001</v>
      </c>
      <c r="BY83" s="121"/>
      <c r="BZ83" s="332">
        <v>29870.13</v>
      </c>
      <c r="CA83" s="140">
        <v>6870.13</v>
      </c>
      <c r="CB83" s="140">
        <v>23000</v>
      </c>
      <c r="CC83" s="140">
        <v>23000</v>
      </c>
      <c r="CD83" s="87">
        <f>CA83/BZ83</f>
        <v>0.23000000334782608</v>
      </c>
      <c r="CE83" s="140">
        <v>11050</v>
      </c>
      <c r="CF83" s="88">
        <f>CE83/BZ83</f>
        <v>0.36993478100028354</v>
      </c>
      <c r="CG83" s="359">
        <f>CC83*$A$88</f>
        <v>27846.100000000002</v>
      </c>
      <c r="CH83" s="121"/>
      <c r="CI83" s="146">
        <v>0</v>
      </c>
      <c r="CJ83" s="142">
        <v>0</v>
      </c>
      <c r="CK83" s="142">
        <v>0</v>
      </c>
      <c r="CL83" s="142">
        <v>0</v>
      </c>
      <c r="CM83" s="143" t="e">
        <f t="shared" si="378"/>
        <v>#DIV/0!</v>
      </c>
      <c r="CN83" s="142">
        <v>0</v>
      </c>
      <c r="CO83" s="144" t="e">
        <f t="shared" si="203"/>
        <v>#DIV/0!</v>
      </c>
      <c r="CP83" s="121"/>
      <c r="CQ83" s="146">
        <v>0</v>
      </c>
      <c r="CR83" s="142">
        <v>0</v>
      </c>
      <c r="CS83" s="142">
        <v>0</v>
      </c>
      <c r="CT83" s="142">
        <v>0</v>
      </c>
      <c r="CU83" s="143" t="e">
        <f t="shared" si="379"/>
        <v>#DIV/0!</v>
      </c>
      <c r="CV83" s="142">
        <v>0</v>
      </c>
      <c r="CW83" s="144" t="e">
        <f t="shared" si="204"/>
        <v>#DIV/0!</v>
      </c>
      <c r="CX83" s="121"/>
      <c r="CY83" s="146">
        <v>0</v>
      </c>
      <c r="CZ83" s="142">
        <v>0</v>
      </c>
      <c r="DA83" s="142">
        <v>0</v>
      </c>
      <c r="DB83" s="142">
        <v>0</v>
      </c>
      <c r="DC83" s="143" t="e">
        <f t="shared" si="380"/>
        <v>#DIV/0!</v>
      </c>
      <c r="DD83" s="142">
        <v>0</v>
      </c>
      <c r="DE83" s="144" t="e">
        <f t="shared" si="205"/>
        <v>#DIV/0!</v>
      </c>
      <c r="DF83" s="9"/>
      <c r="DG83" s="354"/>
      <c r="DH83" s="9"/>
      <c r="DI83" s="9"/>
      <c r="DJ83" s="9"/>
      <c r="DK83" s="9"/>
      <c r="DL83" s="9"/>
      <c r="DM83" s="9"/>
      <c r="DN83" s="9"/>
      <c r="DO83" s="9"/>
      <c r="DP83" s="9"/>
      <c r="DQ83" s="9"/>
      <c r="DR83" s="9"/>
      <c r="DS83" s="9"/>
      <c r="DT83" s="9"/>
      <c r="DU83" s="9"/>
      <c r="DV83" s="9"/>
      <c r="DW83" s="9"/>
      <c r="DX83" s="9"/>
      <c r="DY83" s="9"/>
      <c r="DZ83" s="9"/>
      <c r="EA83" s="9"/>
      <c r="EB83" s="9"/>
      <c r="EC83" s="9"/>
      <c r="ED83" s="9"/>
      <c r="EE83" s="9"/>
    </row>
    <row r="84" spans="1:135" s="11" customFormat="1" ht="13.15" customHeight="1">
      <c r="A84" s="396"/>
      <c r="B84" s="70" t="s">
        <v>15</v>
      </c>
      <c r="C84" s="148">
        <f t="shared" si="381"/>
        <v>209391.66666666663</v>
      </c>
      <c r="D84" s="148">
        <f t="shared" si="369"/>
        <v>45859.666666666642</v>
      </c>
      <c r="E84" s="148">
        <f t="shared" si="370"/>
        <v>163532</v>
      </c>
      <c r="F84" s="148">
        <f t="shared" si="382"/>
        <v>163532</v>
      </c>
      <c r="G84" s="14">
        <f t="shared" si="383"/>
        <v>0.21901380984598234</v>
      </c>
      <c r="H84" s="148">
        <f>SUM(Q84,Y84,AG84,AO84,AW84,BE84,BM84,BV84,CE84,CN84,CV84,DD84)</f>
        <v>0</v>
      </c>
      <c r="I84" s="14">
        <f>H84/C84</f>
        <v>0</v>
      </c>
      <c r="J84" s="220">
        <f>F84*$A$88</f>
        <v>197988.19240000003</v>
      </c>
      <c r="K84" s="121"/>
      <c r="L84" s="79">
        <v>5520</v>
      </c>
      <c r="M84" s="20">
        <v>1104</v>
      </c>
      <c r="N84" s="20">
        <v>4416</v>
      </c>
      <c r="O84" s="20">
        <v>4416</v>
      </c>
      <c r="P84" s="73">
        <f t="shared" si="371"/>
        <v>0.2</v>
      </c>
      <c r="Q84" s="140">
        <v>0</v>
      </c>
      <c r="R84" s="74">
        <f>Q84/L84</f>
        <v>0</v>
      </c>
      <c r="S84" s="121"/>
      <c r="T84" s="79">
        <v>15520</v>
      </c>
      <c r="U84" s="20">
        <v>3104</v>
      </c>
      <c r="V84" s="20">
        <v>12416</v>
      </c>
      <c r="W84" s="20">
        <v>12416</v>
      </c>
      <c r="X84" s="73">
        <f t="shared" si="372"/>
        <v>0.2</v>
      </c>
      <c r="Y84" s="141">
        <v>0</v>
      </c>
      <c r="Z84" s="74">
        <f>Y84/T84</f>
        <v>0</v>
      </c>
      <c r="AA84" s="121"/>
      <c r="AB84" s="79">
        <v>20520</v>
      </c>
      <c r="AC84" s="20">
        <v>4104</v>
      </c>
      <c r="AD84" s="20">
        <v>16416</v>
      </c>
      <c r="AE84" s="20">
        <v>16416</v>
      </c>
      <c r="AF84" s="73">
        <f t="shared" si="373"/>
        <v>0.2</v>
      </c>
      <c r="AG84" s="20">
        <v>0</v>
      </c>
      <c r="AH84" s="74">
        <f>AG84/AB84</f>
        <v>0</v>
      </c>
      <c r="AI84" s="121"/>
      <c r="AJ84" s="79">
        <v>7705</v>
      </c>
      <c r="AK84" s="20">
        <v>1541</v>
      </c>
      <c r="AL84" s="20">
        <v>6164</v>
      </c>
      <c r="AM84" s="20">
        <v>6164</v>
      </c>
      <c r="AN84" s="73">
        <f t="shared" si="374"/>
        <v>0.2</v>
      </c>
      <c r="AO84" s="20">
        <v>0</v>
      </c>
      <c r="AP84" s="74">
        <f>AO84/AJ84</f>
        <v>0</v>
      </c>
      <c r="AQ84" s="121"/>
      <c r="AR84" s="79">
        <v>33120</v>
      </c>
      <c r="AS84" s="20">
        <v>6624</v>
      </c>
      <c r="AT84" s="20">
        <v>26496</v>
      </c>
      <c r="AU84" s="20">
        <v>26496</v>
      </c>
      <c r="AV84" s="73">
        <f t="shared" si="375"/>
        <v>0.2</v>
      </c>
      <c r="AW84" s="20">
        <v>0</v>
      </c>
      <c r="AX84" s="17">
        <f t="shared" si="196"/>
        <v>0</v>
      </c>
      <c r="AY84" s="121"/>
      <c r="AZ84" s="79">
        <v>10120</v>
      </c>
      <c r="BA84" s="20">
        <v>2024</v>
      </c>
      <c r="BB84" s="20">
        <v>8096</v>
      </c>
      <c r="BC84" s="20">
        <v>8096</v>
      </c>
      <c r="BD84" s="73">
        <f t="shared" si="376"/>
        <v>0.2</v>
      </c>
      <c r="BE84" s="20">
        <v>0</v>
      </c>
      <c r="BF84" s="74">
        <f t="shared" si="197"/>
        <v>0</v>
      </c>
      <c r="BG84" s="121"/>
      <c r="BH84" s="332">
        <v>79626.666666666642</v>
      </c>
      <c r="BI84" s="140">
        <v>19906.666666666646</v>
      </c>
      <c r="BJ84" s="140">
        <v>59720</v>
      </c>
      <c r="BK84" s="140">
        <v>59720</v>
      </c>
      <c r="BL84" s="87">
        <f t="shared" si="390"/>
        <v>0.24999999999999981</v>
      </c>
      <c r="BM84" s="140">
        <v>0</v>
      </c>
      <c r="BN84" s="88">
        <f t="shared" si="199"/>
        <v>0</v>
      </c>
      <c r="BO84" s="220">
        <f>BK84*$A$88</f>
        <v>72303.004000000001</v>
      </c>
      <c r="BP84" s="121"/>
      <c r="BQ84" s="332">
        <v>8740</v>
      </c>
      <c r="BR84" s="140">
        <v>1748</v>
      </c>
      <c r="BS84" s="140">
        <v>6992</v>
      </c>
      <c r="BT84" s="140">
        <v>6992</v>
      </c>
      <c r="BU84" s="87">
        <f t="shared" si="391"/>
        <v>0.2</v>
      </c>
      <c r="BV84" s="140">
        <v>0</v>
      </c>
      <c r="BW84" s="88">
        <f t="shared" si="201"/>
        <v>0</v>
      </c>
      <c r="BX84" s="359">
        <f>BT84*$A$88</f>
        <v>8465.2144000000008</v>
      </c>
      <c r="BY84" s="121"/>
      <c r="BZ84" s="332">
        <v>28520</v>
      </c>
      <c r="CA84" s="140">
        <v>5704</v>
      </c>
      <c r="CB84" s="140">
        <v>22816</v>
      </c>
      <c r="CC84" s="140">
        <v>22816</v>
      </c>
      <c r="CD84" s="87">
        <f t="shared" si="377"/>
        <v>0.2</v>
      </c>
      <c r="CE84" s="140">
        <v>0</v>
      </c>
      <c r="CF84" s="88">
        <f t="shared" si="202"/>
        <v>0</v>
      </c>
      <c r="CG84" s="359">
        <f>CC84*$A$88</f>
        <v>27623.331200000004</v>
      </c>
      <c r="CH84" s="121"/>
      <c r="CI84" s="146">
        <v>0</v>
      </c>
      <c r="CJ84" s="142">
        <v>0</v>
      </c>
      <c r="CK84" s="142">
        <v>0</v>
      </c>
      <c r="CL84" s="142">
        <v>0</v>
      </c>
      <c r="CM84" s="143" t="e">
        <f t="shared" si="378"/>
        <v>#DIV/0!</v>
      </c>
      <c r="CN84" s="142">
        <v>0</v>
      </c>
      <c r="CO84" s="144" t="e">
        <f t="shared" si="203"/>
        <v>#DIV/0!</v>
      </c>
      <c r="CP84" s="121"/>
      <c r="CQ84" s="146">
        <v>0</v>
      </c>
      <c r="CR84" s="142">
        <v>0</v>
      </c>
      <c r="CS84" s="142">
        <v>0</v>
      </c>
      <c r="CT84" s="142">
        <v>0</v>
      </c>
      <c r="CU84" s="143" t="e">
        <f t="shared" si="379"/>
        <v>#DIV/0!</v>
      </c>
      <c r="CV84" s="142">
        <v>0</v>
      </c>
      <c r="CW84" s="144" t="e">
        <f t="shared" si="204"/>
        <v>#DIV/0!</v>
      </c>
      <c r="CX84" s="121"/>
      <c r="CY84" s="146">
        <v>0</v>
      </c>
      <c r="CZ84" s="142">
        <v>0</v>
      </c>
      <c r="DA84" s="142">
        <v>0</v>
      </c>
      <c r="DB84" s="142">
        <v>0</v>
      </c>
      <c r="DC84" s="143" t="e">
        <f t="shared" si="380"/>
        <v>#DIV/0!</v>
      </c>
      <c r="DD84" s="142">
        <v>0</v>
      </c>
      <c r="DE84" s="144" t="e">
        <f t="shared" si="205"/>
        <v>#DIV/0!</v>
      </c>
      <c r="DF84" s="9"/>
      <c r="DG84" s="354"/>
      <c r="DH84" s="9"/>
      <c r="DI84" s="9"/>
      <c r="DJ84" s="9"/>
      <c r="DK84" s="9"/>
      <c r="DL84" s="9"/>
      <c r="DM84" s="9"/>
      <c r="DN84" s="9"/>
      <c r="DO84" s="9"/>
      <c r="DP84" s="9"/>
      <c r="DQ84" s="9"/>
      <c r="DR84" s="9"/>
      <c r="DS84" s="9"/>
      <c r="DT84" s="9"/>
      <c r="DU84" s="9"/>
      <c r="DV84" s="9"/>
      <c r="DW84" s="9"/>
      <c r="DX84" s="9"/>
      <c r="DY84" s="9"/>
      <c r="DZ84" s="9"/>
      <c r="EA84" s="9"/>
      <c r="EB84" s="9"/>
      <c r="EC84" s="9"/>
      <c r="ED84" s="9"/>
      <c r="EE84" s="9"/>
    </row>
    <row r="85" spans="1:135" s="11" customFormat="1" ht="13.15" customHeight="1">
      <c r="A85" s="396"/>
      <c r="B85" s="70" t="s">
        <v>16</v>
      </c>
      <c r="C85" s="148">
        <f t="shared" si="381"/>
        <v>703304.42999999982</v>
      </c>
      <c r="D85" s="148">
        <f t="shared" si="369"/>
        <v>174331.10999999987</v>
      </c>
      <c r="E85" s="148">
        <f t="shared" si="370"/>
        <v>528973.32000000007</v>
      </c>
      <c r="F85" s="148">
        <f t="shared" si="382"/>
        <v>528973.32000000007</v>
      </c>
      <c r="G85" s="14">
        <f t="shared" si="383"/>
        <v>0.24787432378322985</v>
      </c>
      <c r="H85" s="148">
        <f>SUM(Q85,Y85,AG85,AO85,AW85,BE85,BM86,BV85,CE85,CN85,CV85,DD85)</f>
        <v>0</v>
      </c>
      <c r="I85" s="14">
        <f t="shared" ref="I85" si="392">H85/C85</f>
        <v>0</v>
      </c>
      <c r="J85" s="220">
        <f>F85*$A$88</f>
        <v>640427.99852400017</v>
      </c>
      <c r="K85" s="121"/>
      <c r="L85" s="79">
        <v>106897.75999999998</v>
      </c>
      <c r="M85" s="20">
        <v>26724.439999999973</v>
      </c>
      <c r="N85" s="20">
        <v>80173.320000000007</v>
      </c>
      <c r="O85" s="20">
        <v>80173.320000000007</v>
      </c>
      <c r="P85" s="73">
        <f t="shared" si="371"/>
        <v>0.24999999999999981</v>
      </c>
      <c r="Q85" s="140">
        <v>0</v>
      </c>
      <c r="R85" s="74">
        <f t="shared" ref="R85" si="393">Q85/L85</f>
        <v>0</v>
      </c>
      <c r="S85" s="121"/>
      <c r="T85" s="79">
        <v>86853.333333333314</v>
      </c>
      <c r="U85" s="20">
        <v>21713.33333333331</v>
      </c>
      <c r="V85" s="20">
        <v>65140</v>
      </c>
      <c r="W85" s="20">
        <v>65140</v>
      </c>
      <c r="X85" s="73">
        <f t="shared" si="372"/>
        <v>0.24999999999999978</v>
      </c>
      <c r="Y85" s="141">
        <v>0</v>
      </c>
      <c r="Z85" s="74">
        <f t="shared" ref="Z85" si="394">Y85/T85</f>
        <v>0</v>
      </c>
      <c r="AA85" s="121"/>
      <c r="AB85" s="79">
        <v>81519.999999999971</v>
      </c>
      <c r="AC85" s="20">
        <v>20379.999999999978</v>
      </c>
      <c r="AD85" s="20">
        <v>61140</v>
      </c>
      <c r="AE85" s="20">
        <v>61140</v>
      </c>
      <c r="AF85" s="73">
        <f t="shared" si="373"/>
        <v>0.24999999999999983</v>
      </c>
      <c r="AG85" s="20">
        <v>0</v>
      </c>
      <c r="AH85" s="74">
        <f t="shared" ref="AH85" si="395">AG85/AB85</f>
        <v>0</v>
      </c>
      <c r="AI85" s="121"/>
      <c r="AJ85" s="79">
        <v>79626.666666666642</v>
      </c>
      <c r="AK85" s="20">
        <v>19906.666666666646</v>
      </c>
      <c r="AL85" s="20">
        <v>59720</v>
      </c>
      <c r="AM85" s="20">
        <v>59720</v>
      </c>
      <c r="AN85" s="73">
        <f t="shared" si="374"/>
        <v>0.24999999999999981</v>
      </c>
      <c r="AO85" s="20">
        <v>0</v>
      </c>
      <c r="AP85" s="74">
        <f t="shared" ref="AP85" si="396">AO85/AJ85</f>
        <v>0</v>
      </c>
      <c r="AQ85" s="121"/>
      <c r="AR85" s="79">
        <v>79626.666666666642</v>
      </c>
      <c r="AS85" s="20">
        <v>19906.666666666646</v>
      </c>
      <c r="AT85" s="20">
        <v>59720</v>
      </c>
      <c r="AU85" s="20">
        <v>59720</v>
      </c>
      <c r="AV85" s="73">
        <f t="shared" si="375"/>
        <v>0.24999999999999981</v>
      </c>
      <c r="AW85" s="20">
        <v>0</v>
      </c>
      <c r="AX85" s="17">
        <f t="shared" ref="AX85" si="397">AW85/AR85</f>
        <v>0</v>
      </c>
      <c r="AY85" s="121"/>
      <c r="AZ85" s="79">
        <v>79626.666666666642</v>
      </c>
      <c r="BA85" s="20">
        <v>19906.666666666646</v>
      </c>
      <c r="BB85" s="20">
        <v>59720</v>
      </c>
      <c r="BC85" s="20">
        <v>59720</v>
      </c>
      <c r="BD85" s="73">
        <f t="shared" si="376"/>
        <v>0.24999999999999981</v>
      </c>
      <c r="BE85" s="20">
        <v>0</v>
      </c>
      <c r="BF85" s="74">
        <f t="shared" ref="BF85" si="398">BE85/AZ85</f>
        <v>0</v>
      </c>
      <c r="BG85" s="121"/>
      <c r="BH85" s="332">
        <v>29900</v>
      </c>
      <c r="BI85" s="140">
        <v>5980</v>
      </c>
      <c r="BJ85" s="140">
        <v>23920</v>
      </c>
      <c r="BK85" s="140">
        <v>23920</v>
      </c>
      <c r="BL85" s="87">
        <f t="shared" si="390"/>
        <v>0.2</v>
      </c>
      <c r="BM85" s="11">
        <v>0</v>
      </c>
      <c r="BN85" s="88">
        <f>BM86/BH85</f>
        <v>0</v>
      </c>
      <c r="BO85" s="220">
        <f>BK85*$A$88</f>
        <v>28959.944000000003</v>
      </c>
      <c r="BP85" s="121"/>
      <c r="BQ85" s="332">
        <v>79626.666666666642</v>
      </c>
      <c r="BR85" s="140">
        <v>19906.666666666646</v>
      </c>
      <c r="BS85" s="140">
        <v>59720</v>
      </c>
      <c r="BT85" s="140">
        <v>59720</v>
      </c>
      <c r="BU85" s="87">
        <f t="shared" si="391"/>
        <v>0.24999999999999981</v>
      </c>
      <c r="BV85" s="140">
        <v>0</v>
      </c>
      <c r="BW85" s="88">
        <f t="shared" ref="BW85" si="399">BV85/BQ85</f>
        <v>0</v>
      </c>
      <c r="BX85" s="359">
        <f>BT85*$A$88</f>
        <v>72303.004000000001</v>
      </c>
      <c r="BY85" s="121"/>
      <c r="BZ85" s="332">
        <v>79626.67</v>
      </c>
      <c r="CA85" s="140">
        <v>19906.669999999998</v>
      </c>
      <c r="CB85" s="140">
        <v>59720</v>
      </c>
      <c r="CC85" s="140">
        <v>59720</v>
      </c>
      <c r="CD85" s="87">
        <f t="shared" si="377"/>
        <v>0.25000003139651578</v>
      </c>
      <c r="CE85" s="140">
        <v>0</v>
      </c>
      <c r="CF85" s="88">
        <f t="shared" ref="CF85" si="400">CE85/BZ85</f>
        <v>0</v>
      </c>
      <c r="CG85" s="359">
        <f>CC85*$A$88</f>
        <v>72303.004000000001</v>
      </c>
      <c r="CH85" s="121"/>
      <c r="CI85" s="146">
        <v>0</v>
      </c>
      <c r="CJ85" s="142">
        <v>0</v>
      </c>
      <c r="CK85" s="142">
        <v>0</v>
      </c>
      <c r="CL85" s="142">
        <v>0</v>
      </c>
      <c r="CM85" s="143" t="e">
        <f t="shared" si="378"/>
        <v>#DIV/0!</v>
      </c>
      <c r="CN85" s="142">
        <v>0</v>
      </c>
      <c r="CO85" s="144" t="e">
        <f t="shared" ref="CO85" si="401">CN85/CI85</f>
        <v>#DIV/0!</v>
      </c>
      <c r="CP85" s="121"/>
      <c r="CQ85" s="146">
        <v>0</v>
      </c>
      <c r="CR85" s="142">
        <v>0</v>
      </c>
      <c r="CS85" s="142">
        <v>0</v>
      </c>
      <c r="CT85" s="142">
        <v>0</v>
      </c>
      <c r="CU85" s="143" t="e">
        <f t="shared" si="379"/>
        <v>#DIV/0!</v>
      </c>
      <c r="CV85" s="142">
        <v>0</v>
      </c>
      <c r="CW85" s="144" t="e">
        <f t="shared" ref="CW85" si="402">CV85/CQ85</f>
        <v>#DIV/0!</v>
      </c>
      <c r="CX85" s="121"/>
      <c r="CY85" s="146">
        <v>0</v>
      </c>
      <c r="CZ85" s="142">
        <v>0</v>
      </c>
      <c r="DA85" s="142">
        <v>0</v>
      </c>
      <c r="DB85" s="142">
        <v>0</v>
      </c>
      <c r="DC85" s="143" t="e">
        <f t="shared" si="380"/>
        <v>#DIV/0!</v>
      </c>
      <c r="DD85" s="142">
        <v>0</v>
      </c>
      <c r="DE85" s="144" t="e">
        <f t="shared" ref="DE85" si="403">DD85/CY85</f>
        <v>#DIV/0!</v>
      </c>
      <c r="DF85" s="9"/>
      <c r="DG85" s="354"/>
      <c r="DH85" s="9"/>
      <c r="DI85" s="9"/>
      <c r="DJ85" s="9"/>
      <c r="DK85" s="9"/>
      <c r="DL85" s="9"/>
      <c r="DM85" s="9"/>
      <c r="DN85" s="9"/>
      <c r="DO85" s="9"/>
      <c r="DP85" s="9"/>
      <c r="DQ85" s="9"/>
      <c r="DR85" s="9"/>
      <c r="DS85" s="9"/>
      <c r="DT85" s="9"/>
      <c r="DU85" s="9"/>
      <c r="DV85" s="9"/>
      <c r="DW85" s="9"/>
      <c r="DX85" s="9"/>
      <c r="DY85" s="9"/>
      <c r="DZ85" s="9"/>
      <c r="EA85" s="9"/>
      <c r="EB85" s="9"/>
      <c r="EC85" s="9"/>
      <c r="ED85" s="9"/>
      <c r="EE85" s="9"/>
    </row>
    <row r="86" spans="1:135" s="11" customFormat="1" ht="13.15" customHeight="1">
      <c r="A86" s="396"/>
      <c r="B86" s="70" t="s">
        <v>17</v>
      </c>
      <c r="C86" s="148">
        <f t="shared" si="381"/>
        <v>417891.80700000003</v>
      </c>
      <c r="D86" s="148">
        <f t="shared" si="369"/>
        <v>137427.50700000001</v>
      </c>
      <c r="E86" s="148">
        <f t="shared" si="370"/>
        <v>280464.3</v>
      </c>
      <c r="F86" s="148">
        <f t="shared" si="382"/>
        <v>280464.3</v>
      </c>
      <c r="G86" s="14">
        <f t="shared" si="383"/>
        <v>0.32885906040268459</v>
      </c>
      <c r="H86" s="148">
        <f>SUM(Q86,Y86,AG86,AO86,AW86,BE86,BM87,BV86,CE86,CN86,CV86,DD86)</f>
        <v>0</v>
      </c>
      <c r="I86" s="14">
        <f>H86/C86</f>
        <v>0</v>
      </c>
      <c r="J86" s="220">
        <f>F86*$A$88</f>
        <v>339558.12801000004</v>
      </c>
      <c r="K86" s="121"/>
      <c r="L86" s="79">
        <v>22350</v>
      </c>
      <c r="M86" s="20">
        <v>7350</v>
      </c>
      <c r="N86" s="20">
        <v>15000</v>
      </c>
      <c r="O86" s="20">
        <v>15000</v>
      </c>
      <c r="P86" s="73">
        <f t="shared" si="371"/>
        <v>0.32885906040268459</v>
      </c>
      <c r="Q86" s="140">
        <v>0</v>
      </c>
      <c r="R86" s="74">
        <f>Q86/L86</f>
        <v>0</v>
      </c>
      <c r="S86" s="121"/>
      <c r="T86" s="79">
        <v>22350</v>
      </c>
      <c r="U86" s="20">
        <v>7350</v>
      </c>
      <c r="V86" s="20">
        <v>15000</v>
      </c>
      <c r="W86" s="20">
        <v>15000</v>
      </c>
      <c r="X86" s="73">
        <f t="shared" si="372"/>
        <v>0.32885906040268459</v>
      </c>
      <c r="Y86" s="141">
        <v>0</v>
      </c>
      <c r="Z86" s="74">
        <f>Y86/T86</f>
        <v>0</v>
      </c>
      <c r="AA86" s="121"/>
      <c r="AB86" s="79">
        <v>22350</v>
      </c>
      <c r="AC86" s="20">
        <v>7350</v>
      </c>
      <c r="AD86" s="20">
        <v>15000</v>
      </c>
      <c r="AE86" s="20">
        <v>15000</v>
      </c>
      <c r="AF86" s="73">
        <f t="shared" si="373"/>
        <v>0.32885906040268459</v>
      </c>
      <c r="AG86" s="20">
        <v>0</v>
      </c>
      <c r="AH86" s="74">
        <f>AG86/AB86</f>
        <v>0</v>
      </c>
      <c r="AI86" s="121"/>
      <c r="AJ86" s="79">
        <v>58474.007000000005</v>
      </c>
      <c r="AK86" s="20">
        <v>19229.707000000002</v>
      </c>
      <c r="AL86" s="20">
        <v>39244.300000000003</v>
      </c>
      <c r="AM86" s="20">
        <v>39244.300000000003</v>
      </c>
      <c r="AN86" s="73">
        <f t="shared" si="374"/>
        <v>0.32885906040268459</v>
      </c>
      <c r="AO86" s="20">
        <v>0</v>
      </c>
      <c r="AP86" s="74">
        <f t="shared" ref="AP86:AP98" si="404">AO86/AJ86</f>
        <v>0</v>
      </c>
      <c r="AQ86" s="121"/>
      <c r="AR86" s="79">
        <v>58473.56</v>
      </c>
      <c r="AS86" s="20">
        <v>19229.560000000001</v>
      </c>
      <c r="AT86" s="20">
        <v>39244</v>
      </c>
      <c r="AU86" s="20">
        <v>39244</v>
      </c>
      <c r="AV86" s="73">
        <f t="shared" si="375"/>
        <v>0.32885906040268459</v>
      </c>
      <c r="AW86" s="20">
        <v>0</v>
      </c>
      <c r="AX86" s="17">
        <f t="shared" ref="AX86:AX98" si="405">AW86/AR86</f>
        <v>0</v>
      </c>
      <c r="AY86" s="121"/>
      <c r="AZ86" s="79">
        <v>58473.56</v>
      </c>
      <c r="BA86" s="20">
        <v>19229.560000000001</v>
      </c>
      <c r="BB86" s="20">
        <v>39244</v>
      </c>
      <c r="BC86" s="20">
        <v>39244</v>
      </c>
      <c r="BD86" s="73">
        <f t="shared" si="376"/>
        <v>0.32885906040268459</v>
      </c>
      <c r="BE86" s="20">
        <v>0</v>
      </c>
      <c r="BF86" s="74">
        <f t="shared" ref="BF86:BF98" si="406">BE86/AZ86</f>
        <v>0</v>
      </c>
      <c r="BG86" s="121"/>
      <c r="BH86" s="332">
        <v>58473.56</v>
      </c>
      <c r="BI86" s="140">
        <v>19229.560000000001</v>
      </c>
      <c r="BJ86" s="140">
        <v>39244</v>
      </c>
      <c r="BK86" s="140">
        <v>39244</v>
      </c>
      <c r="BL86" s="87">
        <f t="shared" si="390"/>
        <v>0.32885906040268459</v>
      </c>
      <c r="BM86" s="140">
        <v>0</v>
      </c>
      <c r="BN86" s="88" t="e">
        <f>#REF!/BH86</f>
        <v>#REF!</v>
      </c>
      <c r="BO86" s="220">
        <f>BK86*$A$88</f>
        <v>47512.710800000001</v>
      </c>
      <c r="BP86" s="121"/>
      <c r="BQ86" s="332">
        <v>58473.56</v>
      </c>
      <c r="BR86" s="140">
        <v>19229.560000000001</v>
      </c>
      <c r="BS86" s="140">
        <v>39244</v>
      </c>
      <c r="BT86" s="140">
        <v>39244</v>
      </c>
      <c r="BU86" s="87">
        <f t="shared" si="391"/>
        <v>0.32885906040268459</v>
      </c>
      <c r="BV86" s="140">
        <v>0</v>
      </c>
      <c r="BW86" s="88">
        <f>BV86/BQ86</f>
        <v>0</v>
      </c>
      <c r="BX86" s="359">
        <f>BT86*$A$88</f>
        <v>47512.710800000001</v>
      </c>
      <c r="BY86" s="121"/>
      <c r="BZ86" s="332">
        <v>58473.56</v>
      </c>
      <c r="CA86" s="140">
        <v>19229.560000000001</v>
      </c>
      <c r="CB86" s="140">
        <v>39244</v>
      </c>
      <c r="CC86" s="140">
        <v>39244</v>
      </c>
      <c r="CD86" s="87">
        <f t="shared" si="377"/>
        <v>0.32885906040268459</v>
      </c>
      <c r="CE86" s="140">
        <v>0</v>
      </c>
      <c r="CF86" s="88">
        <f>CE86/BZ86</f>
        <v>0</v>
      </c>
      <c r="CG86" s="359">
        <f>CC86*$A$88</f>
        <v>47512.710800000001</v>
      </c>
      <c r="CH86" s="121"/>
      <c r="CI86" s="146">
        <v>0</v>
      </c>
      <c r="CJ86" s="142">
        <v>0</v>
      </c>
      <c r="CK86" s="142">
        <v>0</v>
      </c>
      <c r="CL86" s="142">
        <v>0</v>
      </c>
      <c r="CM86" s="143" t="e">
        <f t="shared" si="378"/>
        <v>#DIV/0!</v>
      </c>
      <c r="CN86" s="142">
        <v>0</v>
      </c>
      <c r="CO86" s="144" t="e">
        <f>CN86/CI86</f>
        <v>#DIV/0!</v>
      </c>
      <c r="CP86" s="121"/>
      <c r="CQ86" s="146">
        <v>0</v>
      </c>
      <c r="CR86" s="142">
        <v>0</v>
      </c>
      <c r="CS86" s="142">
        <v>0</v>
      </c>
      <c r="CT86" s="142">
        <v>0</v>
      </c>
      <c r="CU86" s="143" t="e">
        <f t="shared" si="379"/>
        <v>#DIV/0!</v>
      </c>
      <c r="CV86" s="142">
        <v>0</v>
      </c>
      <c r="CW86" s="144" t="e">
        <f>CV86/CQ86</f>
        <v>#DIV/0!</v>
      </c>
      <c r="CX86" s="121"/>
      <c r="CY86" s="146">
        <v>0</v>
      </c>
      <c r="CZ86" s="142">
        <v>0</v>
      </c>
      <c r="DA86" s="142">
        <v>0</v>
      </c>
      <c r="DB86" s="142">
        <v>0</v>
      </c>
      <c r="DC86" s="143" t="e">
        <f t="shared" si="380"/>
        <v>#DIV/0!</v>
      </c>
      <c r="DD86" s="142">
        <v>0</v>
      </c>
      <c r="DE86" s="144" t="e">
        <f>DD86/CY86</f>
        <v>#DIV/0!</v>
      </c>
      <c r="DF86" s="9"/>
      <c r="DG86" s="354"/>
      <c r="DH86" s="9"/>
      <c r="DI86" s="9"/>
      <c r="DJ86" s="9"/>
      <c r="DK86" s="9"/>
      <c r="DL86" s="9"/>
      <c r="DM86" s="9"/>
      <c r="DN86" s="9"/>
      <c r="DO86" s="9"/>
      <c r="DP86" s="9"/>
      <c r="DQ86" s="9"/>
      <c r="DR86" s="9"/>
      <c r="DS86" s="9"/>
      <c r="DT86" s="9"/>
      <c r="DU86" s="9"/>
      <c r="DV86" s="9"/>
      <c r="DW86" s="9"/>
      <c r="DX86" s="9"/>
      <c r="DY86" s="9"/>
      <c r="DZ86" s="9"/>
      <c r="EA86" s="9"/>
      <c r="EB86" s="9"/>
      <c r="EC86" s="9"/>
      <c r="ED86" s="9"/>
      <c r="EE86" s="9"/>
    </row>
    <row r="87" spans="1:135" s="31" customFormat="1" ht="14.15" customHeight="1">
      <c r="A87" s="396"/>
      <c r="B87" s="196" t="s">
        <v>18</v>
      </c>
      <c r="C87" s="149">
        <f>SUM(C76:C86)</f>
        <v>2064655.8956852653</v>
      </c>
      <c r="D87" s="149">
        <f t="shared" ref="D87:E87" si="407">SUM(D76:D86)</f>
        <v>503520.67568526533</v>
      </c>
      <c r="E87" s="149">
        <f t="shared" si="407"/>
        <v>1561135.2200000002</v>
      </c>
      <c r="F87" s="149">
        <f>SUM(F76:F86)</f>
        <v>1561135.2200000002</v>
      </c>
      <c r="G87" s="15">
        <f>D87/C87</f>
        <v>0.24387631698702283</v>
      </c>
      <c r="H87" s="149">
        <f>SUM(H76:H86)</f>
        <v>77750</v>
      </c>
      <c r="I87" s="15">
        <f>H87/C87</f>
        <v>3.7657606849878754E-2</v>
      </c>
      <c r="J87" s="221" t="b">
        <f>J88=F88</f>
        <v>1</v>
      </c>
      <c r="K87" s="122"/>
      <c r="L87" s="205">
        <f>SUM(L76:L86)</f>
        <v>200186.07008497673</v>
      </c>
      <c r="M87" s="40">
        <f>SUM(M76:M86)</f>
        <v>49256.750084976738</v>
      </c>
      <c r="N87" s="40">
        <f>SUM(N76:N86)</f>
        <v>150929.32</v>
      </c>
      <c r="O87" s="40">
        <f>SUM(O76:O86)</f>
        <v>150929.32</v>
      </c>
      <c r="P87" s="15">
        <f t="shared" si="371"/>
        <v>0.24605483320626556</v>
      </c>
      <c r="Q87" s="40">
        <f>SUM(Q76:Q86)</f>
        <v>7500</v>
      </c>
      <c r="R87" s="83">
        <f>Q87/L87</f>
        <v>3.7465144287094174E-2</v>
      </c>
      <c r="S87" s="122"/>
      <c r="T87" s="99">
        <v>181815.68542568543</v>
      </c>
      <c r="U87" s="100">
        <v>44209.685425685413</v>
      </c>
      <c r="V87" s="100">
        <v>137606</v>
      </c>
      <c r="W87" s="100">
        <v>137606</v>
      </c>
      <c r="X87" s="15">
        <f t="shared" si="372"/>
        <v>0.24315660842009967</v>
      </c>
      <c r="Y87" s="100">
        <f>SUM(Y76:Y86)</f>
        <v>7500</v>
      </c>
      <c r="Z87" s="83">
        <f>Y87/T87</f>
        <v>4.125056637682406E-2</v>
      </c>
      <c r="AA87" s="122"/>
      <c r="AB87" s="99">
        <v>221667.53727753728</v>
      </c>
      <c r="AC87" s="100">
        <v>51511.537277537267</v>
      </c>
      <c r="AD87" s="100">
        <v>170156</v>
      </c>
      <c r="AE87" s="100">
        <v>170156</v>
      </c>
      <c r="AF87" s="15">
        <f t="shared" si="373"/>
        <v>0.23238196224033747</v>
      </c>
      <c r="AG87" s="100">
        <f>SUM(AG76:AG86)</f>
        <v>7500</v>
      </c>
      <c r="AH87" s="83">
        <f>AG87/AB87</f>
        <v>3.3834453579053743E-2</v>
      </c>
      <c r="AI87" s="122"/>
      <c r="AJ87" s="99">
        <f>SUM(AJ76:AJ86)</f>
        <v>230742.41569007534</v>
      </c>
      <c r="AK87" s="100">
        <f>SUM(AK76:AK86)</f>
        <v>58717.515690075357</v>
      </c>
      <c r="AL87" s="100">
        <f>SUM(AL76:AL86)</f>
        <v>172024.90000000002</v>
      </c>
      <c r="AM87" s="100">
        <f>SUM(AM76:AM86)</f>
        <v>172024.90000000002</v>
      </c>
      <c r="AN87" s="15">
        <f t="shared" si="374"/>
        <v>0.25447213731584811</v>
      </c>
      <c r="AO87" s="100">
        <f>SUM(AO76:AO86)</f>
        <v>11050</v>
      </c>
      <c r="AP87" s="83">
        <f t="shared" si="404"/>
        <v>4.7888897959887662E-2</v>
      </c>
      <c r="AQ87" s="122"/>
      <c r="AR87" s="99">
        <f>SUM(AR76:AR86)</f>
        <v>267194.49955427286</v>
      </c>
      <c r="AS87" s="100">
        <f>SUM(AS76:AS86)</f>
        <v>62317.899554272881</v>
      </c>
      <c r="AT87" s="100">
        <f>SUM(AT76:AT86)</f>
        <v>204876.6</v>
      </c>
      <c r="AU87" s="100">
        <f>SUM(AU76:AU86)</f>
        <v>204876.6</v>
      </c>
      <c r="AV87" s="15">
        <f t="shared" si="375"/>
        <v>0.23323047315057022</v>
      </c>
      <c r="AW87" s="100">
        <f>SUM(AW76:AW86)</f>
        <v>11050</v>
      </c>
      <c r="AX87" s="83">
        <f t="shared" si="405"/>
        <v>4.1355641745744513E-2</v>
      </c>
      <c r="AY87" s="122"/>
      <c r="AZ87" s="99">
        <f>SUM(AZ76:AZ86)</f>
        <v>233135.41024851688</v>
      </c>
      <c r="BA87" s="100">
        <f t="shared" ref="BA87:BC87" si="408">SUM(BA76:BA86)</f>
        <v>59195.410248516913</v>
      </c>
      <c r="BB87" s="100">
        <f t="shared" si="408"/>
        <v>173940</v>
      </c>
      <c r="BC87" s="100">
        <f t="shared" si="408"/>
        <v>173940</v>
      </c>
      <c r="BD87" s="15">
        <f t="shared" si="376"/>
        <v>0.25390999241777984</v>
      </c>
      <c r="BE87" s="100">
        <f>SUM(BE76:BE86)</f>
        <v>11050</v>
      </c>
      <c r="BF87" s="83">
        <f t="shared" si="406"/>
        <v>4.739734726792879E-2</v>
      </c>
      <c r="BG87" s="122"/>
      <c r="BH87" s="99">
        <f>SUM(BH76:BH86)</f>
        <v>257010.47518358182</v>
      </c>
      <c r="BI87" s="100">
        <f t="shared" ref="BI87:BK87" si="409">SUM(BI76:BI86)</f>
        <v>61563.275183581849</v>
      </c>
      <c r="BJ87" s="100">
        <f t="shared" si="409"/>
        <v>195447.2</v>
      </c>
      <c r="BK87" s="100">
        <f t="shared" si="409"/>
        <v>195447.2</v>
      </c>
      <c r="BL87" s="15">
        <f t="shared" si="390"/>
        <v>0.23953605447251666</v>
      </c>
      <c r="BM87" s="100">
        <f>SUM(BM76:BM86)</f>
        <v>0</v>
      </c>
      <c r="BN87" s="83">
        <f>BM87/BH87</f>
        <v>0</v>
      </c>
      <c r="BO87" s="221" t="b">
        <f>BO88=BK88</f>
        <v>1</v>
      </c>
      <c r="BP87" s="122"/>
      <c r="BQ87" s="99">
        <f>SUM(BQ76:BQ86)</f>
        <v>234487.5122206189</v>
      </c>
      <c r="BR87" s="100">
        <f>SUM(BR76:BR86)</f>
        <v>57072.312220618885</v>
      </c>
      <c r="BS87" s="100">
        <f>SUM(BS76:BS86)</f>
        <v>177415.2</v>
      </c>
      <c r="BT87" s="100">
        <f>SUM(BT76:BT86)</f>
        <v>177415.2</v>
      </c>
      <c r="BU87" s="15">
        <f t="shared" si="391"/>
        <v>0.24339169143865572</v>
      </c>
      <c r="BV87" s="100">
        <f>SUM(BV76:BV86)</f>
        <v>11050</v>
      </c>
      <c r="BW87" s="83">
        <f>BV87/BQ87</f>
        <v>4.7124044668116677E-2</v>
      </c>
      <c r="BX87" s="221" t="b">
        <f>BX88=BT88</f>
        <v>1</v>
      </c>
      <c r="BY87" s="122"/>
      <c r="BZ87" s="99">
        <f>SUM(BZ76:BZ86)</f>
        <v>238416.28999999998</v>
      </c>
      <c r="CA87" s="100">
        <f>SUM(CA76:CA86)</f>
        <v>59676.289999999994</v>
      </c>
      <c r="CB87" s="100">
        <f>SUM(CB76:CB86)</f>
        <v>178740</v>
      </c>
      <c r="CC87" s="100">
        <f>SUM(CC76:CC86)</f>
        <v>178740</v>
      </c>
      <c r="CD87" s="15">
        <f>CA87/BZ87</f>
        <v>0.25030290505736835</v>
      </c>
      <c r="CE87" s="100">
        <f>SUM(CE76:CE86)</f>
        <v>11050</v>
      </c>
      <c r="CF87" s="83">
        <f>CE87/BZ87</f>
        <v>4.6347504191093659E-2</v>
      </c>
      <c r="CG87" s="221" t="b">
        <f>CG88=CC88</f>
        <v>1</v>
      </c>
      <c r="CH87" s="122"/>
      <c r="CI87" s="99">
        <f>SUM(CI76:CI86)</f>
        <v>0</v>
      </c>
      <c r="CJ87" s="100">
        <f t="shared" ref="CJ87" si="410">SUM(CJ76:CJ86)</f>
        <v>0</v>
      </c>
      <c r="CK87" s="100">
        <f t="shared" ref="CK87" si="411">SUM(CK76:CK86)</f>
        <v>0</v>
      </c>
      <c r="CL87" s="100">
        <f t="shared" ref="CL87" si="412">SUM(CL76:CL86)</f>
        <v>0</v>
      </c>
      <c r="CM87" s="15" t="e">
        <f t="shared" si="378"/>
        <v>#DIV/0!</v>
      </c>
      <c r="CN87" s="100">
        <f>SUM(CN76:CN86)</f>
        <v>0</v>
      </c>
      <c r="CO87" s="83" t="e">
        <f>CN87/CI87</f>
        <v>#DIV/0!</v>
      </c>
      <c r="CP87" s="122"/>
      <c r="CQ87" s="99">
        <f>SUM(CQ76:CQ86)</f>
        <v>0</v>
      </c>
      <c r="CR87" s="100">
        <f t="shared" ref="CR87" si="413">SUM(CR76:CR86)</f>
        <v>0</v>
      </c>
      <c r="CS87" s="100">
        <f t="shared" ref="CS87" si="414">SUM(CS76:CS86)</f>
        <v>0</v>
      </c>
      <c r="CT87" s="100">
        <f t="shared" ref="CT87" si="415">SUM(CT76:CT86)</f>
        <v>0</v>
      </c>
      <c r="CU87" s="15" t="e">
        <f t="shared" si="379"/>
        <v>#DIV/0!</v>
      </c>
      <c r="CV87" s="100">
        <f>SUM(CV76:CV86)</f>
        <v>0</v>
      </c>
      <c r="CW87" s="83" t="e">
        <f>CV87/CQ87</f>
        <v>#DIV/0!</v>
      </c>
      <c r="CX87" s="122"/>
      <c r="CY87" s="99">
        <f>SUM(CY76:CY86)</f>
        <v>0</v>
      </c>
      <c r="CZ87" s="100">
        <f t="shared" ref="CZ87" si="416">SUM(CZ76:CZ86)</f>
        <v>0</v>
      </c>
      <c r="DA87" s="100">
        <f t="shared" ref="DA87" si="417">SUM(DA76:DA86)</f>
        <v>0</v>
      </c>
      <c r="DB87" s="100">
        <f t="shared" ref="DB87" si="418">SUM(DB76:DB86)</f>
        <v>0</v>
      </c>
      <c r="DC87" s="15" t="e">
        <f t="shared" si="380"/>
        <v>#DIV/0!</v>
      </c>
      <c r="DD87" s="100">
        <f>SUM(DD76:DD86)</f>
        <v>0</v>
      </c>
      <c r="DE87" s="83" t="e">
        <f>DD87/CY87</f>
        <v>#DIV/0!</v>
      </c>
      <c r="DF87" s="30"/>
      <c r="DG87" s="351"/>
      <c r="DH87" s="30"/>
      <c r="DI87" s="30"/>
      <c r="DJ87" s="30"/>
      <c r="DK87" s="30"/>
      <c r="DL87" s="30"/>
      <c r="DM87" s="30"/>
      <c r="DN87" s="30"/>
      <c r="DO87" s="30"/>
      <c r="DP87" s="30"/>
      <c r="DQ87" s="30"/>
      <c r="DR87" s="30"/>
      <c r="DS87" s="30"/>
      <c r="DT87" s="30"/>
      <c r="DU87" s="30"/>
      <c r="DV87" s="30"/>
      <c r="DW87" s="30"/>
      <c r="DX87" s="30"/>
      <c r="DY87" s="30"/>
      <c r="DZ87" s="30"/>
      <c r="EA87" s="30"/>
      <c r="EB87" s="30"/>
      <c r="EC87" s="30"/>
      <c r="ED87" s="30"/>
      <c r="EE87" s="30"/>
    </row>
    <row r="88" spans="1:135" s="22" customFormat="1" ht="13" customHeight="1">
      <c r="A88" s="214">
        <v>1.2107000000000001</v>
      </c>
      <c r="B88" s="191" t="s">
        <v>19</v>
      </c>
      <c r="C88" s="213">
        <f>C87*$A$88</f>
        <v>2499678.8929061508</v>
      </c>
      <c r="D88" s="213">
        <f t="shared" ref="D88:E88" si="419">D87*$A$88</f>
        <v>609612.48205215076</v>
      </c>
      <c r="E88" s="213">
        <f t="shared" si="419"/>
        <v>1890066.4108540004</v>
      </c>
      <c r="F88" s="213">
        <f>F87*$A$88</f>
        <v>1890066.4108540004</v>
      </c>
      <c r="G88" s="181"/>
      <c r="H88" s="213">
        <f>H87*A88</f>
        <v>94131.925000000003</v>
      </c>
      <c r="I88" s="181"/>
      <c r="J88" s="217">
        <f>SUM(J76:J86)</f>
        <v>1890066.4108540006</v>
      </c>
      <c r="K88" s="112"/>
      <c r="L88" s="245">
        <f>L87*$A$88</f>
        <v>242365.27505188136</v>
      </c>
      <c r="M88" s="213">
        <f t="shared" ref="M88" si="420">M87*$A$88</f>
        <v>59635.147327881343</v>
      </c>
      <c r="N88" s="213">
        <f t="shared" ref="N88" si="421">N87*$A$88</f>
        <v>182730.12772400002</v>
      </c>
      <c r="O88" s="213">
        <f t="shared" ref="O88" si="422">O87*$A$88</f>
        <v>182730.12772400002</v>
      </c>
      <c r="P88" s="243"/>
      <c r="Q88" s="213">
        <f>Q87*J88</f>
        <v>14175498081.405005</v>
      </c>
      <c r="R88" s="182"/>
      <c r="S88" s="112"/>
      <c r="T88" s="245">
        <f>T87*$A$88</f>
        <v>220124.25034487736</v>
      </c>
      <c r="U88" s="213">
        <f t="shared" ref="U88" si="423">U87*$A$88</f>
        <v>53524.666144877338</v>
      </c>
      <c r="V88" s="213">
        <f t="shared" ref="V88" si="424">V87*$A$88</f>
        <v>166599.58420000001</v>
      </c>
      <c r="W88" s="213">
        <f t="shared" ref="W88" si="425">W87*$A$88</f>
        <v>166599.58420000001</v>
      </c>
      <c r="X88" s="243"/>
      <c r="Y88" s="213">
        <f>Y87*R88</f>
        <v>0</v>
      </c>
      <c r="Z88" s="182"/>
      <c r="AA88" s="112"/>
      <c r="AB88" s="245">
        <f>AB87*$A$88</f>
        <v>268372.88738191442</v>
      </c>
      <c r="AC88" s="213">
        <f t="shared" ref="AC88" si="426">AC87*$A$88</f>
        <v>62365.018181914376</v>
      </c>
      <c r="AD88" s="213">
        <f t="shared" ref="AD88" si="427">AD87*$A$88</f>
        <v>206007.86920000002</v>
      </c>
      <c r="AE88" s="213">
        <f t="shared" ref="AE88" si="428">AE87*$A$88</f>
        <v>206007.86920000002</v>
      </c>
      <c r="AF88" s="243"/>
      <c r="AG88" s="213">
        <f>AG87*Z88</f>
        <v>0</v>
      </c>
      <c r="AH88" s="182"/>
      <c r="AI88" s="112"/>
      <c r="AJ88" s="245">
        <f>AJ87*$A$88</f>
        <v>279359.84267597424</v>
      </c>
      <c r="AK88" s="213">
        <f t="shared" ref="AK88" si="429">AK87*$A$88</f>
        <v>71089.296245974241</v>
      </c>
      <c r="AL88" s="213">
        <f t="shared" ref="AL88" si="430">AL87*$A$88</f>
        <v>208270.54643000005</v>
      </c>
      <c r="AM88" s="213">
        <f t="shared" ref="AM88" si="431">AM87*$A$88</f>
        <v>208270.54643000005</v>
      </c>
      <c r="AN88" s="243"/>
      <c r="AO88" s="213">
        <f>AO87*A88</f>
        <v>13378.235000000001</v>
      </c>
      <c r="AP88" s="182"/>
      <c r="AQ88" s="112"/>
      <c r="AR88" s="245">
        <f>AR87*$A$88</f>
        <v>323492.3806103582</v>
      </c>
      <c r="AS88" s="213">
        <f t="shared" ref="AS88" si="432">AS87*$A$88</f>
        <v>75448.28099035818</v>
      </c>
      <c r="AT88" s="213">
        <f t="shared" ref="AT88" si="433">AT87*$A$88</f>
        <v>248044.09962000002</v>
      </c>
      <c r="AU88" s="213">
        <f t="shared" ref="AU88" si="434">AU87*$A$88</f>
        <v>248044.09962000002</v>
      </c>
      <c r="AV88" s="243"/>
      <c r="AW88" s="213">
        <f>AW87*AP88</f>
        <v>0</v>
      </c>
      <c r="AX88" s="182"/>
      <c r="AY88" s="112"/>
      <c r="AZ88" s="245">
        <f>AZ87*$A$88</f>
        <v>282257.0411878794</v>
      </c>
      <c r="BA88" s="213">
        <f t="shared" ref="BA88" si="435">BA87*$A$88</f>
        <v>71667.88318787943</v>
      </c>
      <c r="BB88" s="213">
        <f t="shared" ref="BB88" si="436">BB87*$A$88</f>
        <v>210589.15800000002</v>
      </c>
      <c r="BC88" s="213">
        <f t="shared" ref="BC88" si="437">BC87*$A$88</f>
        <v>210589.15800000002</v>
      </c>
      <c r="BD88" s="243"/>
      <c r="BE88" s="213">
        <f>BE87*A88</f>
        <v>13378.235000000001</v>
      </c>
      <c r="BF88" s="182"/>
      <c r="BG88" s="112"/>
      <c r="BH88" s="245">
        <f>BH87*$A$88</f>
        <v>311162.58230476256</v>
      </c>
      <c r="BI88" s="213">
        <f t="shared" ref="BI88" si="438">BI87*$A$88</f>
        <v>74534.657264762558</v>
      </c>
      <c r="BJ88" s="213">
        <f t="shared" ref="BJ88" si="439">BJ87*$A$88</f>
        <v>236627.92504000003</v>
      </c>
      <c r="BK88" s="213">
        <f t="shared" ref="BK88" si="440">BK87*$A$88</f>
        <v>236627.92504000003</v>
      </c>
      <c r="BL88" s="243"/>
      <c r="BM88" s="213">
        <f>BM87*A88</f>
        <v>0</v>
      </c>
      <c r="BN88" s="182"/>
      <c r="BO88" s="217">
        <f>SUM(BO76:BO86)</f>
        <v>236627.92504</v>
      </c>
      <c r="BP88" s="112"/>
      <c r="BQ88" s="245">
        <f>BQ87*$A$88</f>
        <v>283894.03104550333</v>
      </c>
      <c r="BR88" s="213">
        <f t="shared" ref="BR88" si="441">BR87*$A$88</f>
        <v>69097.448405503295</v>
      </c>
      <c r="BS88" s="213">
        <f t="shared" ref="BS88" si="442">BS87*$A$88</f>
        <v>214796.58264000004</v>
      </c>
      <c r="BT88" s="213">
        <f t="shared" ref="BT88" si="443">BT87*$A$88</f>
        <v>214796.58264000004</v>
      </c>
      <c r="BU88" s="243"/>
      <c r="BV88" s="349">
        <f>BV87*A88</f>
        <v>13378.235000000001</v>
      </c>
      <c r="BW88" s="182"/>
      <c r="BX88" s="217">
        <f>SUM(BX76:BX86)</f>
        <v>214796.58264000001</v>
      </c>
      <c r="BY88" s="112"/>
      <c r="BZ88" s="245">
        <f>BZ87*$A$88</f>
        <v>288650.60230299999</v>
      </c>
      <c r="CA88" s="213">
        <f t="shared" ref="CA88" si="444">CA87*$A$88</f>
        <v>72250.084302999996</v>
      </c>
      <c r="CB88" s="213">
        <f t="shared" ref="CB88" si="445">CB87*$A$88</f>
        <v>216400.51800000001</v>
      </c>
      <c r="CC88" s="213">
        <f>CC87*$A$88</f>
        <v>216400.51800000001</v>
      </c>
      <c r="CD88" s="243"/>
      <c r="CE88" s="213">
        <f>CE87*A88</f>
        <v>13378.235000000001</v>
      </c>
      <c r="CF88" s="182"/>
      <c r="CG88" s="217">
        <f>SUM(CG76:CG86)</f>
        <v>216400.51800000001</v>
      </c>
      <c r="CH88" s="112"/>
      <c r="CI88" s="245">
        <f>CI87*$A$88</f>
        <v>0</v>
      </c>
      <c r="CJ88" s="213">
        <f t="shared" ref="CJ88" si="446">CJ87*$A$88</f>
        <v>0</v>
      </c>
      <c r="CK88" s="213">
        <f t="shared" ref="CK88" si="447">CK87*$A$88</f>
        <v>0</v>
      </c>
      <c r="CL88" s="213">
        <f t="shared" ref="CL88" si="448">CL87*$A$88</f>
        <v>0</v>
      </c>
      <c r="CM88" s="243"/>
      <c r="CN88" s="213">
        <f>CN87*CF88</f>
        <v>0</v>
      </c>
      <c r="CO88" s="182"/>
      <c r="CP88" s="112"/>
      <c r="CQ88" s="245">
        <f>CQ87*$A$88</f>
        <v>0</v>
      </c>
      <c r="CR88" s="213">
        <f t="shared" ref="CR88" si="449">CR87*$A$88</f>
        <v>0</v>
      </c>
      <c r="CS88" s="213">
        <f t="shared" ref="CS88" si="450">CS87*$A$88</f>
        <v>0</v>
      </c>
      <c r="CT88" s="213">
        <f t="shared" ref="CT88" si="451">CT87*$A$88</f>
        <v>0</v>
      </c>
      <c r="CU88" s="243"/>
      <c r="CV88" s="213">
        <f>CV87*CO88</f>
        <v>0</v>
      </c>
      <c r="CW88" s="182"/>
      <c r="CX88" s="112"/>
      <c r="CY88" s="245">
        <f>CY87*$A$88</f>
        <v>0</v>
      </c>
      <c r="CZ88" s="213">
        <f t="shared" ref="CZ88" si="452">CZ87*$A$88</f>
        <v>0</v>
      </c>
      <c r="DA88" s="213">
        <f t="shared" ref="DA88" si="453">DA87*$A$88</f>
        <v>0</v>
      </c>
      <c r="DB88" s="213">
        <f t="shared" ref="DB88" si="454">DB87*$A$88</f>
        <v>0</v>
      </c>
      <c r="DC88" s="243"/>
      <c r="DD88" s="213">
        <f>DD87*CW88</f>
        <v>0</v>
      </c>
      <c r="DE88" s="182"/>
      <c r="DF88" s="8"/>
      <c r="DG88" s="351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</row>
    <row r="89" spans="1:135" s="11" customFormat="1" ht="13.15" customHeight="1">
      <c r="A89" s="395" t="s">
        <v>25</v>
      </c>
      <c r="B89" s="69" t="s">
        <v>12</v>
      </c>
      <c r="C89" s="334">
        <f>SUM(L89,T89,AB89,AJ89,AR89,AZ89,BH89,BQ89,BZ89,CI89,CQ89,CY89)</f>
        <v>4800000</v>
      </c>
      <c r="D89" s="334">
        <f>SUM(M89,U89,AC89,AK89,AS89,BA89,BI89,BR89,CA89,CJ89,CR89,CZ89)</f>
        <v>0</v>
      </c>
      <c r="E89" s="334">
        <f t="shared" ref="E89:E100" si="455">SUM(N89,V89,AD89,AL89,AT89,BB89,BJ89,BS89,CB89,CK89,CS89,DA89)</f>
        <v>4800000</v>
      </c>
      <c r="F89" s="334">
        <f t="shared" ref="F89:F99" si="456">SUM(O89,W89,AE89,AM89,AU89,BC89,BK89,BT89,CC89,CL89,CT89,DB89)</f>
        <v>4800000</v>
      </c>
      <c r="G89" s="14">
        <f>D89/C89</f>
        <v>0</v>
      </c>
      <c r="H89" s="334">
        <f>SUM(Q89,Y89,AG89,AO89,AW89,BE89,BM89,BV89,CE89,CN89,CV89,DD89)</f>
        <v>0</v>
      </c>
      <c r="I89" s="14">
        <f>H89/C89</f>
        <v>0</v>
      </c>
      <c r="J89" s="220">
        <f>F89*$A$102</f>
        <v>33600</v>
      </c>
      <c r="K89" s="123"/>
      <c r="L89" s="80">
        <v>0</v>
      </c>
      <c r="M89" s="34">
        <v>0</v>
      </c>
      <c r="N89" s="34">
        <v>0</v>
      </c>
      <c r="O89" s="34">
        <v>0</v>
      </c>
      <c r="P89" s="73" t="e">
        <f t="shared" si="371"/>
        <v>#DIV/0!</v>
      </c>
      <c r="Q89" s="34">
        <v>0</v>
      </c>
      <c r="R89" s="74" t="e">
        <f>Q89/L89</f>
        <v>#DIV/0!</v>
      </c>
      <c r="S89" s="123"/>
      <c r="T89" s="80">
        <v>0</v>
      </c>
      <c r="U89" s="34">
        <v>0</v>
      </c>
      <c r="V89" s="34">
        <v>0</v>
      </c>
      <c r="W89" s="34">
        <v>0</v>
      </c>
      <c r="X89" s="73" t="e">
        <f t="shared" si="372"/>
        <v>#DIV/0!</v>
      </c>
      <c r="Y89" s="138">
        <v>0</v>
      </c>
      <c r="Z89" s="74" t="e">
        <f>Y89/T89</f>
        <v>#DIV/0!</v>
      </c>
      <c r="AA89" s="123"/>
      <c r="AB89" s="80">
        <v>0</v>
      </c>
      <c r="AC89" s="34">
        <v>0</v>
      </c>
      <c r="AD89" s="34">
        <v>0</v>
      </c>
      <c r="AE89" s="34">
        <v>0</v>
      </c>
      <c r="AF89" s="73" t="e">
        <f t="shared" si="373"/>
        <v>#DIV/0!</v>
      </c>
      <c r="AG89" s="34">
        <v>0</v>
      </c>
      <c r="AH89" s="74" t="e">
        <f>AG89/AB89</f>
        <v>#DIV/0!</v>
      </c>
      <c r="AI89" s="123"/>
      <c r="AJ89" s="80">
        <v>0</v>
      </c>
      <c r="AK89" s="34">
        <v>0</v>
      </c>
      <c r="AL89" s="34">
        <v>0</v>
      </c>
      <c r="AM89" s="34">
        <v>0</v>
      </c>
      <c r="AN89" s="73" t="e">
        <f t="shared" si="374"/>
        <v>#DIV/0!</v>
      </c>
      <c r="AO89" s="34">
        <v>0</v>
      </c>
      <c r="AP89" s="74" t="e">
        <f t="shared" si="404"/>
        <v>#DIV/0!</v>
      </c>
      <c r="AQ89" s="123"/>
      <c r="AR89" s="80">
        <v>0</v>
      </c>
      <c r="AS89" s="34">
        <v>0</v>
      </c>
      <c r="AT89" s="34">
        <v>0</v>
      </c>
      <c r="AU89" s="34">
        <v>0</v>
      </c>
      <c r="AV89" s="73" t="e">
        <f t="shared" si="375"/>
        <v>#DIV/0!</v>
      </c>
      <c r="AW89" s="34">
        <v>0</v>
      </c>
      <c r="AX89" s="74" t="e">
        <f t="shared" si="405"/>
        <v>#DIV/0!</v>
      </c>
      <c r="AY89" s="123"/>
      <c r="AZ89" s="80">
        <v>0</v>
      </c>
      <c r="BA89" s="34">
        <v>0</v>
      </c>
      <c r="BB89" s="34">
        <v>0</v>
      </c>
      <c r="BC89" s="34">
        <v>0</v>
      </c>
      <c r="BD89" s="73" t="e">
        <f t="shared" si="376"/>
        <v>#DIV/0!</v>
      </c>
      <c r="BE89" s="34">
        <v>0</v>
      </c>
      <c r="BF89" s="74" t="e">
        <f t="shared" si="406"/>
        <v>#DIV/0!</v>
      </c>
      <c r="BG89" s="123"/>
      <c r="BH89" s="317"/>
      <c r="BI89" s="318"/>
      <c r="BJ89" s="318"/>
      <c r="BK89" s="318"/>
      <c r="BL89" s="73"/>
      <c r="BM89" s="318"/>
      <c r="BN89" s="74"/>
      <c r="BO89" s="220">
        <f>BK89*$A$102</f>
        <v>0</v>
      </c>
      <c r="BP89" s="123"/>
      <c r="BQ89" s="80" t="s">
        <v>152</v>
      </c>
      <c r="BR89" s="34"/>
      <c r="BS89" s="34"/>
      <c r="BT89" s="34"/>
      <c r="BU89" s="73"/>
      <c r="BV89" s="34"/>
      <c r="BW89" s="74"/>
      <c r="BX89" s="359"/>
      <c r="BY89" s="123"/>
      <c r="BZ89" s="317">
        <v>4800000</v>
      </c>
      <c r="CA89" s="318">
        <v>0</v>
      </c>
      <c r="CB89" s="318">
        <v>4800000</v>
      </c>
      <c r="CC89" s="318">
        <v>4800000</v>
      </c>
      <c r="CD89" s="73">
        <f t="shared" si="377"/>
        <v>0</v>
      </c>
      <c r="CE89" s="371"/>
      <c r="CF89" s="74">
        <f t="shared" ref="CF89:CF100" si="457">CE89/BZ89</f>
        <v>0</v>
      </c>
      <c r="CG89" s="359">
        <f>CC89*$A$102</f>
        <v>33600</v>
      </c>
      <c r="CH89" s="123"/>
      <c r="CI89" s="136"/>
      <c r="CJ89" s="137"/>
      <c r="CK89" s="137"/>
      <c r="CL89" s="137"/>
      <c r="CM89" s="133" t="e">
        <f t="shared" si="378"/>
        <v>#DIV/0!</v>
      </c>
      <c r="CN89" s="139"/>
      <c r="CO89" s="135" t="e">
        <v>#DIV/0!</v>
      </c>
      <c r="CP89" s="123"/>
      <c r="CQ89" s="136"/>
      <c r="CR89" s="137"/>
      <c r="CS89" s="137"/>
      <c r="CT89" s="137"/>
      <c r="CU89" s="133" t="e">
        <f t="shared" si="379"/>
        <v>#DIV/0!</v>
      </c>
      <c r="CV89" s="139"/>
      <c r="CW89" s="135" t="e">
        <v>#DIV/0!</v>
      </c>
      <c r="CX89" s="123"/>
      <c r="CY89" s="136"/>
      <c r="CZ89" s="137"/>
      <c r="DA89" s="137"/>
      <c r="DB89" s="137"/>
      <c r="DC89" s="133" t="e">
        <f t="shared" si="380"/>
        <v>#DIV/0!</v>
      </c>
      <c r="DD89" s="139"/>
      <c r="DE89" s="135" t="e">
        <v>#DIV/0!</v>
      </c>
      <c r="DF89" s="9"/>
      <c r="DG89" s="354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</row>
    <row r="90" spans="1:135" s="11" customFormat="1" ht="13.15" customHeight="1">
      <c r="A90" s="396"/>
      <c r="B90" s="70" t="s">
        <v>13</v>
      </c>
      <c r="C90" s="334">
        <f>SUM(L90,T90,AB90,AJ90,AR90,AZ90,BH90,BQ90,BZ90,CI90,CQ90,CY90)</f>
        <v>31376045</v>
      </c>
      <c r="D90" s="334">
        <f>SUM(M90,U90,AC90,AK90,AS90,BA90,BI90,BR90,CA90,CJ90,CR90,CZ90)</f>
        <v>0</v>
      </c>
      <c r="E90" s="334">
        <f t="shared" si="455"/>
        <v>31376045</v>
      </c>
      <c r="F90" s="334">
        <f t="shared" si="456"/>
        <v>31376045</v>
      </c>
      <c r="G90" s="14">
        <f t="shared" ref="G90:G100" si="458">D90/C90</f>
        <v>0</v>
      </c>
      <c r="H90" s="334">
        <f t="shared" ref="H90:H98" si="459">SUM(Q90,Y90,AG90,AO90,AW90,BE90,BM90,BV90,CE90,CN90,CV90,DD90)</f>
        <v>0</v>
      </c>
      <c r="I90" s="14">
        <f t="shared" ref="I90" si="460">H90/C90</f>
        <v>0</v>
      </c>
      <c r="J90" s="220">
        <f>F90*$A$102</f>
        <v>219632.315</v>
      </c>
      <c r="K90" s="123"/>
      <c r="L90" s="80">
        <v>0</v>
      </c>
      <c r="M90" s="34">
        <v>0</v>
      </c>
      <c r="N90" s="34">
        <v>0</v>
      </c>
      <c r="O90" s="34">
        <v>0</v>
      </c>
      <c r="P90" s="73" t="e">
        <f t="shared" ref="P90:P99" si="461">M90/L90</f>
        <v>#DIV/0!</v>
      </c>
      <c r="Q90" s="34">
        <v>0</v>
      </c>
      <c r="R90" s="74" t="e">
        <f t="shared" ref="R90" si="462">Q90/L90</f>
        <v>#DIV/0!</v>
      </c>
      <c r="S90" s="123"/>
      <c r="T90" s="80">
        <v>2147983</v>
      </c>
      <c r="U90" s="34">
        <v>0</v>
      </c>
      <c r="V90" s="34">
        <v>2147983</v>
      </c>
      <c r="W90" s="34">
        <v>2147983</v>
      </c>
      <c r="X90" s="73">
        <f t="shared" ref="X90:X99" si="463">U90/T90</f>
        <v>0</v>
      </c>
      <c r="Y90" s="138">
        <v>0</v>
      </c>
      <c r="Z90" s="74">
        <f t="shared" ref="Z90" si="464">Y90/T90</f>
        <v>0</v>
      </c>
      <c r="AA90" s="123"/>
      <c r="AB90" s="80">
        <v>9817631</v>
      </c>
      <c r="AC90" s="34">
        <v>0</v>
      </c>
      <c r="AD90" s="34">
        <v>9817631</v>
      </c>
      <c r="AE90" s="34">
        <v>9817631</v>
      </c>
      <c r="AF90" s="73">
        <f t="shared" ref="AF90:AF99" si="465">AC90/AB90</f>
        <v>0</v>
      </c>
      <c r="AG90" s="34">
        <v>0</v>
      </c>
      <c r="AH90" s="74">
        <f t="shared" ref="AH90" si="466">AG90/AB90</f>
        <v>0</v>
      </c>
      <c r="AI90" s="123"/>
      <c r="AJ90" s="80">
        <v>9817631</v>
      </c>
      <c r="AK90" s="34">
        <v>0</v>
      </c>
      <c r="AL90" s="34">
        <v>9817631</v>
      </c>
      <c r="AM90" s="34">
        <v>9817631</v>
      </c>
      <c r="AN90" s="73">
        <f t="shared" ref="AN90:AN100" si="467">AK90/AJ90</f>
        <v>0</v>
      </c>
      <c r="AO90" s="34">
        <v>0</v>
      </c>
      <c r="AP90" s="74">
        <f t="shared" si="404"/>
        <v>0</v>
      </c>
      <c r="AQ90" s="123"/>
      <c r="AR90" s="80">
        <v>0</v>
      </c>
      <c r="AS90" s="34">
        <v>0</v>
      </c>
      <c r="AT90" s="34">
        <v>0</v>
      </c>
      <c r="AU90" s="34">
        <v>0</v>
      </c>
      <c r="AV90" s="73" t="e">
        <f t="shared" ref="AV90:AV100" si="468">AS90/AR90</f>
        <v>#DIV/0!</v>
      </c>
      <c r="AW90" s="34">
        <v>0</v>
      </c>
      <c r="AX90" s="74" t="e">
        <f t="shared" si="405"/>
        <v>#DIV/0!</v>
      </c>
      <c r="AY90" s="123"/>
      <c r="AZ90" s="80">
        <v>0</v>
      </c>
      <c r="BA90" s="34">
        <v>0</v>
      </c>
      <c r="BB90" s="34">
        <v>0</v>
      </c>
      <c r="BC90" s="34">
        <v>0</v>
      </c>
      <c r="BD90" s="73" t="e">
        <f t="shared" ref="BD90:BD100" si="469">BA90/AZ90</f>
        <v>#DIV/0!</v>
      </c>
      <c r="BE90" s="34">
        <v>0</v>
      </c>
      <c r="BF90" s="74" t="e">
        <f t="shared" si="406"/>
        <v>#DIV/0!</v>
      </c>
      <c r="BG90" s="123"/>
      <c r="BH90" s="317">
        <v>6092800</v>
      </c>
      <c r="BI90" s="318">
        <v>0</v>
      </c>
      <c r="BJ90" s="318">
        <v>6092800</v>
      </c>
      <c r="BK90" s="318">
        <v>6092800</v>
      </c>
      <c r="BL90" s="73">
        <f t="shared" ref="BL90" si="470">BI90/BH90</f>
        <v>0</v>
      </c>
      <c r="BM90" s="318"/>
      <c r="BN90" s="74"/>
      <c r="BO90" s="220">
        <f>BK90*$A$102</f>
        <v>42649.599999999999</v>
      </c>
      <c r="BP90" s="123"/>
      <c r="BQ90" s="80"/>
      <c r="BR90" s="34"/>
      <c r="BS90" s="34"/>
      <c r="BT90" s="34"/>
      <c r="BU90" s="73"/>
      <c r="BV90" s="34"/>
      <c r="BW90" s="74"/>
      <c r="BX90" s="359"/>
      <c r="BY90" s="123"/>
      <c r="BZ90" s="369">
        <f>SUM(BZ91:BZ96)</f>
        <v>3500000</v>
      </c>
      <c r="CA90" s="370">
        <f t="shared" ref="CA90:CB90" si="471">SUM(CA91:CA96)</f>
        <v>0</v>
      </c>
      <c r="CB90" s="370">
        <f t="shared" si="471"/>
        <v>3500000</v>
      </c>
      <c r="CC90" s="370">
        <f>SUM(CC91:CC96)</f>
        <v>3500000</v>
      </c>
      <c r="CD90" s="73">
        <f>CA90/BZ90</f>
        <v>0</v>
      </c>
      <c r="CE90" s="371"/>
      <c r="CF90" s="74"/>
      <c r="CG90" s="359">
        <f>CC90*$A$102</f>
        <v>24500</v>
      </c>
      <c r="CH90" s="123"/>
      <c r="CI90" s="136"/>
      <c r="CJ90" s="137"/>
      <c r="CK90" s="137"/>
      <c r="CL90" s="137"/>
      <c r="CM90" s="133" t="e">
        <f t="shared" ref="CM90:CM100" si="472">CJ90/CI90</f>
        <v>#DIV/0!</v>
      </c>
      <c r="CN90" s="139"/>
      <c r="CO90" s="135" t="e">
        <v>#DIV/0!</v>
      </c>
      <c r="CP90" s="123"/>
      <c r="CQ90" s="136"/>
      <c r="CR90" s="137"/>
      <c r="CS90" s="137"/>
      <c r="CT90" s="137"/>
      <c r="CU90" s="133" t="e">
        <f t="shared" ref="CU90:CU100" si="473">CR90/CQ90</f>
        <v>#DIV/0!</v>
      </c>
      <c r="CV90" s="139"/>
      <c r="CW90" s="135" t="e">
        <v>#DIV/0!</v>
      </c>
      <c r="CX90" s="123"/>
      <c r="CY90" s="136"/>
      <c r="CZ90" s="137"/>
      <c r="DA90" s="137"/>
      <c r="DB90" s="137"/>
      <c r="DC90" s="133" t="e">
        <f t="shared" ref="DC90:DC100" si="474">CZ90/CY90</f>
        <v>#DIV/0!</v>
      </c>
      <c r="DD90" s="139"/>
      <c r="DE90" s="135" t="e">
        <v>#DIV/0!</v>
      </c>
      <c r="DF90" s="9"/>
      <c r="DG90" s="354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</row>
    <row r="91" spans="1:135" s="11" customFormat="1" ht="13.15" customHeight="1">
      <c r="A91" s="396"/>
      <c r="B91" s="70" t="s">
        <v>188</v>
      </c>
      <c r="C91" s="148"/>
      <c r="D91" s="148"/>
      <c r="E91" s="148"/>
      <c r="F91" s="148"/>
      <c r="G91" s="14"/>
      <c r="H91" s="148"/>
      <c r="I91" s="14"/>
      <c r="J91" s="220"/>
      <c r="K91" s="119"/>
      <c r="L91" s="78"/>
      <c r="M91" s="21"/>
      <c r="N91" s="21"/>
      <c r="O91" s="21"/>
      <c r="P91" s="73"/>
      <c r="Q91" s="84"/>
      <c r="R91" s="74"/>
      <c r="S91" s="119"/>
      <c r="T91" s="86"/>
      <c r="U91" s="84"/>
      <c r="V91" s="84"/>
      <c r="W91" s="84"/>
      <c r="X91" s="87"/>
      <c r="Y91" s="85"/>
      <c r="Z91" s="17"/>
      <c r="AA91" s="119"/>
      <c r="AB91" s="86"/>
      <c r="AC91" s="84"/>
      <c r="AD91" s="84"/>
      <c r="AE91" s="84"/>
      <c r="AF91" s="87"/>
      <c r="AG91" s="84"/>
      <c r="AH91" s="88"/>
      <c r="AI91" s="119"/>
      <c r="AJ91" s="78"/>
      <c r="AK91" s="21"/>
      <c r="AL91" s="21"/>
      <c r="AM91" s="21"/>
      <c r="AN91" s="73"/>
      <c r="AO91" s="21"/>
      <c r="AP91" s="74"/>
      <c r="AQ91" s="119"/>
      <c r="AR91" s="78"/>
      <c r="AS91" s="21"/>
      <c r="AT91" s="21"/>
      <c r="AU91" s="21"/>
      <c r="AV91" s="73"/>
      <c r="AW91" s="21"/>
      <c r="AX91" s="74"/>
      <c r="AY91" s="119"/>
      <c r="AZ91" s="78"/>
      <c r="BA91" s="21"/>
      <c r="BB91" s="21"/>
      <c r="BC91" s="21"/>
      <c r="BD91" s="73"/>
      <c r="BE91" s="21"/>
      <c r="BF91" s="74"/>
      <c r="BG91" s="119"/>
      <c r="BH91" s="78"/>
      <c r="BI91" s="21"/>
      <c r="BJ91" s="21"/>
      <c r="BK91" s="21"/>
      <c r="BL91" s="73"/>
      <c r="BM91" s="21"/>
      <c r="BN91" s="74"/>
      <c r="BO91" s="220"/>
      <c r="BP91" s="119"/>
      <c r="BQ91" s="78"/>
      <c r="BR91" s="21"/>
      <c r="BS91" s="21"/>
      <c r="BT91" s="21"/>
      <c r="BU91" s="73"/>
      <c r="BV91" s="21"/>
      <c r="BW91" s="74"/>
      <c r="BX91" s="359"/>
      <c r="BY91" s="119"/>
      <c r="BZ91" s="317"/>
      <c r="CA91" s="318"/>
      <c r="CB91" s="318"/>
      <c r="CC91" s="318"/>
      <c r="CD91" s="73"/>
      <c r="CE91" s="84"/>
      <c r="CF91" s="74"/>
      <c r="CG91" s="359">
        <f t="shared" ref="CG91:CG100" si="475">CC91*$A$102</f>
        <v>0</v>
      </c>
      <c r="CH91" s="119"/>
      <c r="CI91" s="314"/>
      <c r="CJ91" s="315"/>
      <c r="CK91" s="315"/>
      <c r="CL91" s="315"/>
      <c r="CM91" s="133"/>
      <c r="CN91" s="316"/>
      <c r="CO91" s="135"/>
      <c r="CP91" s="119"/>
      <c r="CQ91" s="314"/>
      <c r="CR91" s="315"/>
      <c r="CS91" s="315"/>
      <c r="CT91" s="315"/>
      <c r="CU91" s="133"/>
      <c r="CV91" s="316"/>
      <c r="CW91" s="135"/>
      <c r="CX91" s="119"/>
      <c r="CY91" s="314"/>
      <c r="CZ91" s="315"/>
      <c r="DA91" s="315"/>
      <c r="DB91" s="315"/>
      <c r="DC91" s="133"/>
      <c r="DD91" s="316"/>
      <c r="DE91" s="135"/>
      <c r="DF91" s="9"/>
      <c r="DG91" s="354"/>
      <c r="DH91" s="9"/>
      <c r="DI91" s="9"/>
      <c r="DJ91" s="9"/>
      <c r="DK91" s="9"/>
      <c r="DL91" s="9"/>
      <c r="DM91" s="9"/>
      <c r="DN91" s="9"/>
      <c r="DO91" s="9"/>
      <c r="DP91" s="9"/>
      <c r="DQ91" s="9"/>
      <c r="DR91" s="9"/>
      <c r="DS91" s="9"/>
      <c r="DT91" s="9"/>
      <c r="DU91" s="9"/>
      <c r="DV91" s="9"/>
      <c r="DW91" s="9"/>
      <c r="DX91" s="9"/>
      <c r="DY91" s="9"/>
      <c r="DZ91" s="9"/>
      <c r="EA91" s="9"/>
      <c r="EB91" s="9"/>
      <c r="EC91" s="9"/>
      <c r="ED91" s="9"/>
      <c r="EE91" s="9"/>
    </row>
    <row r="92" spans="1:135" s="7" customFormat="1" ht="13" customHeight="1">
      <c r="A92" s="396"/>
      <c r="B92" s="70" t="s">
        <v>119</v>
      </c>
      <c r="C92" s="334"/>
      <c r="D92" s="334"/>
      <c r="E92" s="334"/>
      <c r="F92" s="334"/>
      <c r="G92" s="14"/>
      <c r="H92" s="336"/>
      <c r="I92" s="14"/>
      <c r="J92" s="216"/>
      <c r="K92" s="111"/>
      <c r="L92" s="72"/>
      <c r="M92" s="66"/>
      <c r="N92" s="66"/>
      <c r="O92" s="66"/>
      <c r="P92" s="73"/>
      <c r="Q92" s="66"/>
      <c r="R92" s="74"/>
      <c r="S92" s="111"/>
      <c r="T92" s="154"/>
      <c r="U92" s="155"/>
      <c r="V92" s="155"/>
      <c r="W92" s="155"/>
      <c r="X92" s="87"/>
      <c r="Y92" s="155"/>
      <c r="Z92" s="88"/>
      <c r="AA92" s="111"/>
      <c r="AB92" s="72"/>
      <c r="AC92" s="66"/>
      <c r="AD92" s="66"/>
      <c r="AE92" s="66"/>
      <c r="AF92" s="73"/>
      <c r="AG92" s="155"/>
      <c r="AH92" s="74"/>
      <c r="AI92" s="111"/>
      <c r="AJ92" s="154"/>
      <c r="AK92" s="155"/>
      <c r="AL92" s="155"/>
      <c r="AM92" s="155"/>
      <c r="AN92" s="87"/>
      <c r="AO92" s="155"/>
      <c r="AP92" s="88"/>
      <c r="AQ92" s="111"/>
      <c r="AR92" s="154"/>
      <c r="AS92" s="155"/>
      <c r="AT92" s="155"/>
      <c r="AU92" s="155"/>
      <c r="AV92" s="87"/>
      <c r="AW92" s="155"/>
      <c r="AX92" s="88"/>
      <c r="AY92" s="111"/>
      <c r="AZ92" s="154"/>
      <c r="BA92" s="155"/>
      <c r="BB92" s="155"/>
      <c r="BC92" s="155"/>
      <c r="BD92" s="87"/>
      <c r="BE92" s="155"/>
      <c r="BF92" s="88"/>
      <c r="BG92" s="111"/>
      <c r="BH92" s="317"/>
      <c r="BI92" s="318"/>
      <c r="BJ92" s="318"/>
      <c r="BK92" s="318"/>
      <c r="BL92" s="73"/>
      <c r="BM92" s="318"/>
      <c r="BN92" s="74"/>
      <c r="BO92" s="216"/>
      <c r="BP92" s="111"/>
      <c r="BQ92" s="154"/>
      <c r="BR92" s="155"/>
      <c r="BS92" s="155"/>
      <c r="BT92" s="155"/>
      <c r="BU92" s="87"/>
      <c r="BV92" s="155"/>
      <c r="BW92" s="88"/>
      <c r="BX92" s="359"/>
      <c r="BY92" s="111"/>
      <c r="BZ92" s="369"/>
      <c r="CA92" s="370"/>
      <c r="CB92" s="370"/>
      <c r="CC92" s="370">
        <v>0</v>
      </c>
      <c r="CD92" s="87"/>
      <c r="CE92" s="155"/>
      <c r="CF92" s="88"/>
      <c r="CG92" s="359">
        <f t="shared" si="475"/>
        <v>0</v>
      </c>
      <c r="CH92" s="111"/>
      <c r="CI92" s="157"/>
      <c r="CJ92" s="158"/>
      <c r="CK92" s="158"/>
      <c r="CL92" s="158"/>
      <c r="CM92" s="143"/>
      <c r="CN92" s="158"/>
      <c r="CO92" s="144"/>
      <c r="CP92" s="111"/>
      <c r="CQ92" s="157"/>
      <c r="CR92" s="158"/>
      <c r="CS92" s="158"/>
      <c r="CT92" s="158"/>
      <c r="CU92" s="143"/>
      <c r="CV92" s="158"/>
      <c r="CW92" s="144"/>
      <c r="CX92" s="111"/>
      <c r="CY92" s="157"/>
      <c r="CZ92" s="158"/>
      <c r="DA92" s="158"/>
      <c r="DB92" s="158"/>
      <c r="DC92" s="143"/>
      <c r="DD92" s="158"/>
      <c r="DE92" s="144"/>
      <c r="DF92" s="6"/>
      <c r="DG92" s="353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</row>
    <row r="93" spans="1:135" s="7" customFormat="1" ht="13" customHeight="1">
      <c r="A93" s="396"/>
      <c r="B93" s="70" t="s">
        <v>120</v>
      </c>
      <c r="C93" s="334"/>
      <c r="D93" s="334"/>
      <c r="E93" s="334"/>
      <c r="F93" s="334"/>
      <c r="G93" s="14"/>
      <c r="H93" s="336"/>
      <c r="I93" s="14"/>
      <c r="J93" s="216"/>
      <c r="K93" s="111"/>
      <c r="L93" s="72"/>
      <c r="M93" s="66"/>
      <c r="N93" s="66"/>
      <c r="O93" s="66"/>
      <c r="P93" s="73"/>
      <c r="Q93" s="66"/>
      <c r="R93" s="74"/>
      <c r="S93" s="111"/>
      <c r="T93" s="154"/>
      <c r="U93" s="155"/>
      <c r="V93" s="155"/>
      <c r="W93" s="155"/>
      <c r="X93" s="87"/>
      <c r="Y93" s="155"/>
      <c r="Z93" s="88"/>
      <c r="AA93" s="111"/>
      <c r="AB93" s="72"/>
      <c r="AC93" s="66"/>
      <c r="AD93" s="66"/>
      <c r="AE93" s="66"/>
      <c r="AF93" s="73"/>
      <c r="AG93" s="155"/>
      <c r="AH93" s="74"/>
      <c r="AI93" s="111"/>
      <c r="AJ93" s="154"/>
      <c r="AK93" s="155"/>
      <c r="AL93" s="155"/>
      <c r="AM93" s="155"/>
      <c r="AN93" s="87"/>
      <c r="AO93" s="155"/>
      <c r="AP93" s="88"/>
      <c r="AQ93" s="111"/>
      <c r="AR93" s="154"/>
      <c r="AS93" s="155"/>
      <c r="AT93" s="155"/>
      <c r="AU93" s="155"/>
      <c r="AV93" s="87"/>
      <c r="AW93" s="155"/>
      <c r="AX93" s="88"/>
      <c r="AY93" s="111"/>
      <c r="AZ93" s="154"/>
      <c r="BA93" s="155"/>
      <c r="BB93" s="155"/>
      <c r="BC93" s="155"/>
      <c r="BD93" s="87"/>
      <c r="BE93" s="155"/>
      <c r="BF93" s="88"/>
      <c r="BG93" s="111"/>
      <c r="BH93" s="317"/>
      <c r="BI93" s="318"/>
      <c r="BJ93" s="318"/>
      <c r="BK93" s="318"/>
      <c r="BL93" s="73"/>
      <c r="BM93" s="318"/>
      <c r="BN93" s="74"/>
      <c r="BO93" s="216"/>
      <c r="BP93" s="111"/>
      <c r="BQ93" s="154"/>
      <c r="BR93" s="155"/>
      <c r="BS93" s="155"/>
      <c r="BT93" s="155"/>
      <c r="BU93" s="87"/>
      <c r="BV93" s="155"/>
      <c r="BW93" s="88"/>
      <c r="BX93" s="359"/>
      <c r="BY93" s="111"/>
      <c r="BZ93" s="369"/>
      <c r="CA93" s="370"/>
      <c r="CB93" s="370"/>
      <c r="CC93" s="370">
        <v>0</v>
      </c>
      <c r="CD93" s="87"/>
      <c r="CE93" s="155"/>
      <c r="CF93" s="88"/>
      <c r="CG93" s="359">
        <f t="shared" si="475"/>
        <v>0</v>
      </c>
      <c r="CH93" s="111"/>
      <c r="CI93" s="157"/>
      <c r="CJ93" s="158"/>
      <c r="CK93" s="158"/>
      <c r="CL93" s="158"/>
      <c r="CM93" s="143"/>
      <c r="CN93" s="158"/>
      <c r="CO93" s="144"/>
      <c r="CP93" s="111"/>
      <c r="CQ93" s="157"/>
      <c r="CR93" s="158"/>
      <c r="CS93" s="158"/>
      <c r="CT93" s="158"/>
      <c r="CU93" s="143"/>
      <c r="CV93" s="158"/>
      <c r="CW93" s="144"/>
      <c r="CX93" s="111"/>
      <c r="CY93" s="157"/>
      <c r="CZ93" s="158"/>
      <c r="DA93" s="158"/>
      <c r="DB93" s="158"/>
      <c r="DC93" s="143"/>
      <c r="DD93" s="158"/>
      <c r="DE93" s="144"/>
      <c r="DF93" s="6"/>
      <c r="DG93" s="353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</row>
    <row r="94" spans="1:135" s="7" customFormat="1" ht="13" customHeight="1">
      <c r="A94" s="396"/>
      <c r="B94" s="70" t="s">
        <v>121</v>
      </c>
      <c r="C94" s="334"/>
      <c r="D94" s="334"/>
      <c r="E94" s="334"/>
      <c r="F94" s="334"/>
      <c r="G94" s="14"/>
      <c r="H94" s="336"/>
      <c r="I94" s="14"/>
      <c r="J94" s="216"/>
      <c r="K94" s="111"/>
      <c r="L94" s="72"/>
      <c r="M94" s="66"/>
      <c r="N94" s="66"/>
      <c r="O94" s="66"/>
      <c r="P94" s="73"/>
      <c r="Q94" s="66"/>
      <c r="R94" s="74"/>
      <c r="S94" s="111"/>
      <c r="T94" s="154"/>
      <c r="U94" s="155"/>
      <c r="V94" s="155"/>
      <c r="W94" s="155"/>
      <c r="X94" s="87"/>
      <c r="Y94" s="155"/>
      <c r="Z94" s="88"/>
      <c r="AA94" s="111"/>
      <c r="AB94" s="72"/>
      <c r="AC94" s="66"/>
      <c r="AD94" s="66"/>
      <c r="AE94" s="66"/>
      <c r="AF94" s="73"/>
      <c r="AG94" s="155"/>
      <c r="AH94" s="74"/>
      <c r="AI94" s="111"/>
      <c r="AJ94" s="154"/>
      <c r="AK94" s="155"/>
      <c r="AL94" s="155"/>
      <c r="AM94" s="155"/>
      <c r="AN94" s="87"/>
      <c r="AO94" s="155"/>
      <c r="AP94" s="88"/>
      <c r="AQ94" s="111"/>
      <c r="AR94" s="154"/>
      <c r="AS94" s="155"/>
      <c r="AT94" s="155"/>
      <c r="AU94" s="155"/>
      <c r="AV94" s="87"/>
      <c r="AW94" s="155"/>
      <c r="AX94" s="88"/>
      <c r="AY94" s="111"/>
      <c r="AZ94" s="154"/>
      <c r="BA94" s="155"/>
      <c r="BB94" s="155"/>
      <c r="BC94" s="155"/>
      <c r="BD94" s="87"/>
      <c r="BE94" s="155"/>
      <c r="BF94" s="88"/>
      <c r="BG94" s="111"/>
      <c r="BH94" s="317"/>
      <c r="BI94" s="318"/>
      <c r="BJ94" s="318"/>
      <c r="BK94" s="318"/>
      <c r="BL94" s="73"/>
      <c r="BM94" s="318"/>
      <c r="BN94" s="74"/>
      <c r="BO94" s="216"/>
      <c r="BP94" s="111"/>
      <c r="BQ94" s="154"/>
      <c r="BR94" s="155"/>
      <c r="BS94" s="155"/>
      <c r="BT94" s="155"/>
      <c r="BU94" s="87"/>
      <c r="BV94" s="155"/>
      <c r="BW94" s="88"/>
      <c r="BX94" s="359"/>
      <c r="BY94" s="111"/>
      <c r="BZ94" s="369"/>
      <c r="CA94" s="370"/>
      <c r="CB94" s="370"/>
      <c r="CC94" s="370">
        <v>0</v>
      </c>
      <c r="CD94" s="87"/>
      <c r="CE94" s="155"/>
      <c r="CF94" s="88"/>
      <c r="CG94" s="359">
        <f t="shared" si="475"/>
        <v>0</v>
      </c>
      <c r="CH94" s="111"/>
      <c r="CI94" s="157"/>
      <c r="CJ94" s="158"/>
      <c r="CK94" s="158"/>
      <c r="CL94" s="158"/>
      <c r="CM94" s="143"/>
      <c r="CN94" s="158"/>
      <c r="CO94" s="144"/>
      <c r="CP94" s="111"/>
      <c r="CQ94" s="157"/>
      <c r="CR94" s="158"/>
      <c r="CS94" s="158"/>
      <c r="CT94" s="158"/>
      <c r="CU94" s="143"/>
      <c r="CV94" s="158"/>
      <c r="CW94" s="144"/>
      <c r="CX94" s="111"/>
      <c r="CY94" s="157"/>
      <c r="CZ94" s="158"/>
      <c r="DA94" s="158"/>
      <c r="DB94" s="158"/>
      <c r="DC94" s="143"/>
      <c r="DD94" s="158"/>
      <c r="DE94" s="144"/>
      <c r="DF94" s="6"/>
      <c r="DG94" s="353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</row>
    <row r="95" spans="1:135" s="7" customFormat="1" ht="13" customHeight="1">
      <c r="A95" s="396"/>
      <c r="B95" s="70" t="s">
        <v>122</v>
      </c>
      <c r="C95" s="334"/>
      <c r="D95" s="334"/>
      <c r="E95" s="334"/>
      <c r="F95" s="334"/>
      <c r="G95" s="14"/>
      <c r="H95" s="336"/>
      <c r="I95" s="14"/>
      <c r="J95" s="216"/>
      <c r="K95" s="111"/>
      <c r="L95" s="72"/>
      <c r="M95" s="66"/>
      <c r="N95" s="66"/>
      <c r="O95" s="66"/>
      <c r="P95" s="73"/>
      <c r="Q95" s="66"/>
      <c r="R95" s="74"/>
      <c r="S95" s="111"/>
      <c r="T95" s="154"/>
      <c r="U95" s="155"/>
      <c r="V95" s="155"/>
      <c r="W95" s="155"/>
      <c r="X95" s="87"/>
      <c r="Y95" s="155"/>
      <c r="Z95" s="88"/>
      <c r="AA95" s="111"/>
      <c r="AB95" s="72"/>
      <c r="AC95" s="66"/>
      <c r="AD95" s="66"/>
      <c r="AE95" s="66"/>
      <c r="AF95" s="73"/>
      <c r="AG95" s="155"/>
      <c r="AH95" s="74"/>
      <c r="AI95" s="111"/>
      <c r="AJ95" s="154"/>
      <c r="AK95" s="155"/>
      <c r="AL95" s="155"/>
      <c r="AM95" s="155"/>
      <c r="AN95" s="87"/>
      <c r="AO95" s="155"/>
      <c r="AP95" s="88"/>
      <c r="AQ95" s="111"/>
      <c r="AR95" s="154"/>
      <c r="AS95" s="155"/>
      <c r="AT95" s="155"/>
      <c r="AU95" s="155"/>
      <c r="AV95" s="87"/>
      <c r="AW95" s="155"/>
      <c r="AX95" s="88"/>
      <c r="AY95" s="111"/>
      <c r="AZ95" s="154"/>
      <c r="BA95" s="155"/>
      <c r="BB95" s="155"/>
      <c r="BC95" s="155"/>
      <c r="BD95" s="87"/>
      <c r="BE95" s="155"/>
      <c r="BF95" s="88"/>
      <c r="BG95" s="111"/>
      <c r="BH95" s="317"/>
      <c r="BI95" s="318"/>
      <c r="BJ95" s="318"/>
      <c r="BK95" s="318"/>
      <c r="BL95" s="73"/>
      <c r="BM95" s="318"/>
      <c r="BN95" s="74"/>
      <c r="BO95" s="216"/>
      <c r="BP95" s="111"/>
      <c r="BQ95" s="154"/>
      <c r="BR95" s="155"/>
      <c r="BS95" s="155"/>
      <c r="BT95" s="155"/>
      <c r="BU95" s="87"/>
      <c r="BV95" s="155"/>
      <c r="BW95" s="88"/>
      <c r="BX95" s="359"/>
      <c r="BY95" s="111"/>
      <c r="BZ95" s="369"/>
      <c r="CA95" s="370"/>
      <c r="CB95" s="370"/>
      <c r="CC95" s="370">
        <v>0</v>
      </c>
      <c r="CD95" s="87"/>
      <c r="CE95" s="155"/>
      <c r="CF95" s="88"/>
      <c r="CG95" s="359">
        <f t="shared" si="475"/>
        <v>0</v>
      </c>
      <c r="CH95" s="111"/>
      <c r="CI95" s="157"/>
      <c r="CJ95" s="158"/>
      <c r="CK95" s="158"/>
      <c r="CL95" s="158"/>
      <c r="CM95" s="143"/>
      <c r="CN95" s="158"/>
      <c r="CO95" s="144"/>
      <c r="CP95" s="111"/>
      <c r="CQ95" s="157"/>
      <c r="CR95" s="158"/>
      <c r="CS95" s="158"/>
      <c r="CT95" s="158"/>
      <c r="CU95" s="143"/>
      <c r="CV95" s="158"/>
      <c r="CW95" s="144"/>
      <c r="CX95" s="111"/>
      <c r="CY95" s="157"/>
      <c r="CZ95" s="158"/>
      <c r="DA95" s="158"/>
      <c r="DB95" s="158"/>
      <c r="DC95" s="143"/>
      <c r="DD95" s="158"/>
      <c r="DE95" s="144"/>
      <c r="DF95" s="6"/>
      <c r="DG95" s="353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/>
      <c r="DZ95" s="6"/>
      <c r="EA95" s="6"/>
      <c r="EB95" s="6"/>
      <c r="EC95" s="6"/>
      <c r="ED95" s="6"/>
      <c r="EE95" s="6"/>
    </row>
    <row r="96" spans="1:135" s="7" customFormat="1" ht="13" customHeight="1">
      <c r="A96" s="396"/>
      <c r="B96" s="70" t="s">
        <v>142</v>
      </c>
      <c r="C96" s="334"/>
      <c r="D96" s="334"/>
      <c r="E96" s="334"/>
      <c r="F96" s="334"/>
      <c r="G96" s="14"/>
      <c r="H96" s="336"/>
      <c r="I96" s="14"/>
      <c r="J96" s="216"/>
      <c r="K96" s="111"/>
      <c r="L96" s="72"/>
      <c r="M96" s="66"/>
      <c r="N96" s="66"/>
      <c r="O96" s="66"/>
      <c r="P96" s="73"/>
      <c r="Q96" s="66"/>
      <c r="R96" s="74"/>
      <c r="S96" s="111"/>
      <c r="T96" s="154"/>
      <c r="U96" s="155"/>
      <c r="V96" s="155"/>
      <c r="W96" s="155"/>
      <c r="X96" s="87"/>
      <c r="Y96" s="155"/>
      <c r="Z96" s="88"/>
      <c r="AA96" s="111"/>
      <c r="AB96" s="72"/>
      <c r="AC96" s="66"/>
      <c r="AD96" s="66"/>
      <c r="AE96" s="66"/>
      <c r="AF96" s="73"/>
      <c r="AG96" s="155"/>
      <c r="AH96" s="74"/>
      <c r="AI96" s="111"/>
      <c r="AJ96" s="154"/>
      <c r="AK96" s="155"/>
      <c r="AL96" s="155"/>
      <c r="AM96" s="155"/>
      <c r="AN96" s="87"/>
      <c r="AO96" s="155"/>
      <c r="AP96" s="88"/>
      <c r="AQ96" s="111"/>
      <c r="AR96" s="154"/>
      <c r="AS96" s="155"/>
      <c r="AT96" s="155"/>
      <c r="AU96" s="155"/>
      <c r="AV96" s="87"/>
      <c r="AW96" s="155"/>
      <c r="AX96" s="88"/>
      <c r="AY96" s="111"/>
      <c r="AZ96" s="154"/>
      <c r="BA96" s="155"/>
      <c r="BB96" s="155"/>
      <c r="BC96" s="155"/>
      <c r="BD96" s="87"/>
      <c r="BE96" s="155"/>
      <c r="BF96" s="88"/>
      <c r="BG96" s="111"/>
      <c r="BH96" s="317"/>
      <c r="BI96" s="318"/>
      <c r="BJ96" s="318"/>
      <c r="BK96" s="318"/>
      <c r="BL96" s="73"/>
      <c r="BM96" s="318"/>
      <c r="BN96" s="74"/>
      <c r="BO96" s="216"/>
      <c r="BP96" s="111"/>
      <c r="BQ96" s="154"/>
      <c r="BR96" s="155"/>
      <c r="BS96" s="155"/>
      <c r="BT96" s="155"/>
      <c r="BU96" s="87"/>
      <c r="BV96" s="155"/>
      <c r="BW96" s="88"/>
      <c r="BX96" s="359"/>
      <c r="BY96" s="111"/>
      <c r="BZ96" s="369">
        <v>3500000</v>
      </c>
      <c r="CA96" s="370">
        <v>0</v>
      </c>
      <c r="CB96" s="370">
        <v>3500000</v>
      </c>
      <c r="CC96" s="370">
        <v>3500000</v>
      </c>
      <c r="CD96" s="87"/>
      <c r="CE96" s="155"/>
      <c r="CF96" s="88">
        <f t="shared" si="457"/>
        <v>0</v>
      </c>
      <c r="CG96" s="359">
        <f>CC96*$A$102</f>
        <v>24500</v>
      </c>
      <c r="CH96" s="111"/>
      <c r="CI96" s="157"/>
      <c r="CJ96" s="158"/>
      <c r="CK96" s="158"/>
      <c r="CL96" s="158"/>
      <c r="CM96" s="143"/>
      <c r="CN96" s="158"/>
      <c r="CO96" s="144"/>
      <c r="CP96" s="111"/>
      <c r="CQ96" s="157"/>
      <c r="CR96" s="158"/>
      <c r="CS96" s="158"/>
      <c r="CT96" s="158"/>
      <c r="CU96" s="143"/>
      <c r="CV96" s="158"/>
      <c r="CW96" s="144"/>
      <c r="CX96" s="111"/>
      <c r="CY96" s="157"/>
      <c r="CZ96" s="158"/>
      <c r="DA96" s="158"/>
      <c r="DB96" s="158"/>
      <c r="DC96" s="143"/>
      <c r="DD96" s="158"/>
      <c r="DE96" s="144"/>
      <c r="DF96" s="6"/>
      <c r="DG96" s="353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</row>
    <row r="97" spans="1:135" s="11" customFormat="1" ht="13.15" customHeight="1">
      <c r="A97" s="396"/>
      <c r="B97" s="70" t="s">
        <v>14</v>
      </c>
      <c r="C97" s="334">
        <f>SUM(L97,T97,AB97,AJ97,AR97,AZ97,BH97,BQ97,BZ97,CI97,CQ97,CY97)</f>
        <v>176784725</v>
      </c>
      <c r="D97" s="334">
        <f t="shared" ref="D97:D100" si="476">SUM(M97,U97,AC97,AK97,AS97,BA97,BI97,BR97,CA97,CJ97,CR97,CZ97)</f>
        <v>19784725</v>
      </c>
      <c r="E97" s="334">
        <f t="shared" si="455"/>
        <v>157000000</v>
      </c>
      <c r="F97" s="334">
        <f t="shared" si="456"/>
        <v>157000000</v>
      </c>
      <c r="G97" s="14">
        <f t="shared" si="458"/>
        <v>0.11191422222706175</v>
      </c>
      <c r="H97" s="334">
        <f t="shared" si="459"/>
        <v>15000000</v>
      </c>
      <c r="I97" s="14">
        <f>H97/C97</f>
        <v>8.4848959659834869E-2</v>
      </c>
      <c r="J97" s="220">
        <f>F97*$A$102</f>
        <v>1099000</v>
      </c>
      <c r="K97" s="123"/>
      <c r="L97" s="80">
        <v>0</v>
      </c>
      <c r="M97" s="34">
        <v>0</v>
      </c>
      <c r="N97" s="34">
        <v>0</v>
      </c>
      <c r="O97" s="34">
        <v>0</v>
      </c>
      <c r="P97" s="73" t="e">
        <f t="shared" si="461"/>
        <v>#DIV/0!</v>
      </c>
      <c r="Q97" s="34">
        <v>0</v>
      </c>
      <c r="R97" s="74" t="e">
        <f>Q97/L97</f>
        <v>#DIV/0!</v>
      </c>
      <c r="S97" s="123"/>
      <c r="T97" s="80">
        <v>26150289</v>
      </c>
      <c r="U97" s="34">
        <v>1650289</v>
      </c>
      <c r="V97" s="34">
        <v>24500000</v>
      </c>
      <c r="W97" s="34">
        <v>24500000</v>
      </c>
      <c r="X97" s="73">
        <f t="shared" si="463"/>
        <v>6.3107868521070642E-2</v>
      </c>
      <c r="Y97" s="138">
        <v>0</v>
      </c>
      <c r="Z97" s="74">
        <f>Y97/T97</f>
        <v>0</v>
      </c>
      <c r="AA97" s="123"/>
      <c r="AB97" s="80">
        <v>29534436</v>
      </c>
      <c r="AC97" s="34">
        <v>5034436</v>
      </c>
      <c r="AD97" s="34">
        <v>24500000</v>
      </c>
      <c r="AE97" s="34">
        <v>24500000</v>
      </c>
      <c r="AF97" s="73">
        <f t="shared" si="465"/>
        <v>0.17045986590026638</v>
      </c>
      <c r="AG97" s="34">
        <v>0</v>
      </c>
      <c r="AH97" s="74">
        <f>AG97/AB97</f>
        <v>0</v>
      </c>
      <c r="AI97" s="123"/>
      <c r="AJ97" s="80">
        <v>27800000</v>
      </c>
      <c r="AK97" s="34">
        <v>0</v>
      </c>
      <c r="AL97" s="34">
        <v>27800000</v>
      </c>
      <c r="AM97" s="34">
        <v>27800000</v>
      </c>
      <c r="AN97" s="73">
        <f t="shared" si="467"/>
        <v>0</v>
      </c>
      <c r="AO97" s="34">
        <v>0</v>
      </c>
      <c r="AP97" s="74">
        <f t="shared" si="404"/>
        <v>0</v>
      </c>
      <c r="AQ97" s="123"/>
      <c r="AR97" s="80">
        <v>16000000</v>
      </c>
      <c r="AS97" s="34">
        <v>0</v>
      </c>
      <c r="AT97" s="34">
        <v>16000000</v>
      </c>
      <c r="AU97" s="34">
        <v>16000000</v>
      </c>
      <c r="AV97" s="73">
        <f t="shared" si="468"/>
        <v>0</v>
      </c>
      <c r="AW97" s="34">
        <v>0</v>
      </c>
      <c r="AX97" s="74">
        <f t="shared" si="405"/>
        <v>0</v>
      </c>
      <c r="AY97" s="123"/>
      <c r="AZ97" s="80">
        <v>11800000</v>
      </c>
      <c r="BA97" s="34">
        <v>0</v>
      </c>
      <c r="BB97" s="34">
        <v>11800000</v>
      </c>
      <c r="BC97" s="34">
        <v>11800000</v>
      </c>
      <c r="BD97" s="73">
        <f t="shared" si="469"/>
        <v>0</v>
      </c>
      <c r="BE97" s="34">
        <v>0</v>
      </c>
      <c r="BF97" s="74">
        <f t="shared" si="406"/>
        <v>0</v>
      </c>
      <c r="BG97" s="123"/>
      <c r="BH97" s="317"/>
      <c r="BI97" s="318"/>
      <c r="BJ97" s="318"/>
      <c r="BK97" s="318"/>
      <c r="BL97" s="73"/>
      <c r="BM97" s="318"/>
      <c r="BN97" s="74"/>
      <c r="BO97" s="220">
        <f>BK97*$A$102</f>
        <v>0</v>
      </c>
      <c r="BP97" s="123"/>
      <c r="BQ97" s="80"/>
      <c r="BR97" s="34"/>
      <c r="BS97" s="34"/>
      <c r="BT97" s="34"/>
      <c r="BU97" s="73"/>
      <c r="BV97" s="34"/>
      <c r="BW97" s="74"/>
      <c r="BX97" s="359"/>
      <c r="BY97" s="123"/>
      <c r="BZ97" s="317">
        <v>65500000</v>
      </c>
      <c r="CA97" s="318">
        <v>13100000</v>
      </c>
      <c r="CB97" s="318">
        <v>52400000</v>
      </c>
      <c r="CC97" s="318">
        <v>52400000</v>
      </c>
      <c r="CD97" s="73">
        <f t="shared" ref="CD97:CD100" si="477">CA97/BZ97</f>
        <v>0.2</v>
      </c>
      <c r="CE97" s="371">
        <v>15000000</v>
      </c>
      <c r="CF97" s="74">
        <f t="shared" si="457"/>
        <v>0.22900763358778625</v>
      </c>
      <c r="CG97" s="359">
        <f t="shared" si="475"/>
        <v>366800</v>
      </c>
      <c r="CH97" s="123"/>
      <c r="CI97" s="136"/>
      <c r="CJ97" s="137"/>
      <c r="CK97" s="137"/>
      <c r="CL97" s="137"/>
      <c r="CM97" s="133" t="e">
        <f t="shared" si="472"/>
        <v>#DIV/0!</v>
      </c>
      <c r="CN97" s="139"/>
      <c r="CO97" s="135">
        <v>0</v>
      </c>
      <c r="CP97" s="123"/>
      <c r="CQ97" s="136"/>
      <c r="CR97" s="137"/>
      <c r="CS97" s="137"/>
      <c r="CT97" s="137"/>
      <c r="CU97" s="133" t="e">
        <f t="shared" si="473"/>
        <v>#DIV/0!</v>
      </c>
      <c r="CV97" s="139"/>
      <c r="CW97" s="135">
        <v>0</v>
      </c>
      <c r="CX97" s="123"/>
      <c r="CY97" s="136"/>
      <c r="CZ97" s="137"/>
      <c r="DA97" s="137"/>
      <c r="DB97" s="137"/>
      <c r="DC97" s="133" t="e">
        <f t="shared" si="474"/>
        <v>#DIV/0!</v>
      </c>
      <c r="DD97" s="139"/>
      <c r="DE97" s="135">
        <v>0</v>
      </c>
      <c r="DF97" s="9"/>
      <c r="DG97" s="354"/>
      <c r="DH97" s="9"/>
      <c r="DI97" s="9"/>
      <c r="DJ97" s="9"/>
      <c r="DK97" s="9"/>
      <c r="DL97" s="9"/>
      <c r="DM97" s="9"/>
      <c r="DN97" s="9"/>
      <c r="DO97" s="9"/>
      <c r="DP97" s="9"/>
      <c r="DQ97" s="9"/>
      <c r="DR97" s="9"/>
      <c r="DS97" s="9"/>
      <c r="DT97" s="9"/>
      <c r="DU97" s="9"/>
      <c r="DV97" s="9"/>
      <c r="DW97" s="9"/>
      <c r="DX97" s="9"/>
      <c r="DY97" s="9"/>
      <c r="DZ97" s="9"/>
      <c r="EA97" s="9"/>
      <c r="EB97" s="9"/>
      <c r="EC97" s="9"/>
      <c r="ED97" s="9"/>
      <c r="EE97" s="9"/>
    </row>
    <row r="98" spans="1:135" s="11" customFormat="1" ht="13.15" customHeight="1">
      <c r="A98" s="396"/>
      <c r="B98" s="70" t="s">
        <v>15</v>
      </c>
      <c r="C98" s="334">
        <f>SUM(L98,T98,AB98,AJ98,AR98,AZ98,BH98,BQ98,BZ98,CI98,CQ98,CY98)</f>
        <v>23346500</v>
      </c>
      <c r="D98" s="334">
        <f t="shared" si="476"/>
        <v>0</v>
      </c>
      <c r="E98" s="334">
        <f t="shared" si="455"/>
        <v>23346500</v>
      </c>
      <c r="F98" s="334">
        <f t="shared" si="456"/>
        <v>23346500</v>
      </c>
      <c r="G98" s="14">
        <f t="shared" si="458"/>
        <v>0</v>
      </c>
      <c r="H98" s="334">
        <f t="shared" si="459"/>
        <v>0</v>
      </c>
      <c r="I98" s="14">
        <f>H98/C98</f>
        <v>0</v>
      </c>
      <c r="J98" s="220">
        <f>F98*$A$102</f>
        <v>163425.5</v>
      </c>
      <c r="K98" s="123"/>
      <c r="L98" s="80">
        <v>0</v>
      </c>
      <c r="M98" s="34">
        <v>0</v>
      </c>
      <c r="N98" s="34">
        <v>0</v>
      </c>
      <c r="O98" s="34">
        <v>0</v>
      </c>
      <c r="P98" s="73" t="e">
        <f t="shared" si="461"/>
        <v>#DIV/0!</v>
      </c>
      <c r="Q98" s="34">
        <v>0</v>
      </c>
      <c r="R98" s="74" t="e">
        <f>Q98/L98</f>
        <v>#DIV/0!</v>
      </c>
      <c r="S98" s="123"/>
      <c r="T98" s="80">
        <v>0</v>
      </c>
      <c r="U98" s="34">
        <v>0</v>
      </c>
      <c r="V98" s="34">
        <v>0</v>
      </c>
      <c r="W98" s="34">
        <v>0</v>
      </c>
      <c r="X98" s="73" t="e">
        <f t="shared" si="463"/>
        <v>#DIV/0!</v>
      </c>
      <c r="Y98" s="138">
        <v>0</v>
      </c>
      <c r="Z98" s="74" t="e">
        <f>Y98/T98</f>
        <v>#DIV/0!</v>
      </c>
      <c r="AA98" s="123"/>
      <c r="AB98" s="80">
        <v>0</v>
      </c>
      <c r="AC98" s="34">
        <v>0</v>
      </c>
      <c r="AD98" s="34">
        <v>0</v>
      </c>
      <c r="AE98" s="34">
        <v>0</v>
      </c>
      <c r="AF98" s="73" t="e">
        <f t="shared" si="465"/>
        <v>#DIV/0!</v>
      </c>
      <c r="AG98" s="34">
        <v>0</v>
      </c>
      <c r="AH98" s="74" t="e">
        <f>AG98/AB98</f>
        <v>#DIV/0!</v>
      </c>
      <c r="AI98" s="123"/>
      <c r="AJ98" s="80">
        <v>11606500</v>
      </c>
      <c r="AK98" s="34">
        <v>0</v>
      </c>
      <c r="AL98" s="34">
        <v>11606500</v>
      </c>
      <c r="AM98" s="34">
        <v>11606500</v>
      </c>
      <c r="AN98" s="73">
        <f t="shared" si="467"/>
        <v>0</v>
      </c>
      <c r="AO98" s="34">
        <v>0</v>
      </c>
      <c r="AP98" s="74">
        <f t="shared" si="404"/>
        <v>0</v>
      </c>
      <c r="AQ98" s="123"/>
      <c r="AR98" s="80">
        <v>820000</v>
      </c>
      <c r="AS98" s="34">
        <v>0</v>
      </c>
      <c r="AT98" s="34">
        <v>820000</v>
      </c>
      <c r="AU98" s="34">
        <v>820000</v>
      </c>
      <c r="AV98" s="73">
        <f t="shared" si="468"/>
        <v>0</v>
      </c>
      <c r="AW98" s="34">
        <v>0</v>
      </c>
      <c r="AX98" s="74">
        <f t="shared" si="405"/>
        <v>0</v>
      </c>
      <c r="AY98" s="123"/>
      <c r="AZ98" s="80">
        <v>820000</v>
      </c>
      <c r="BA98" s="34">
        <v>0</v>
      </c>
      <c r="BB98" s="34">
        <v>820000</v>
      </c>
      <c r="BC98" s="34">
        <v>820000</v>
      </c>
      <c r="BD98" s="73">
        <f t="shared" si="469"/>
        <v>0</v>
      </c>
      <c r="BE98" s="34">
        <v>0</v>
      </c>
      <c r="BF98" s="74">
        <f t="shared" si="406"/>
        <v>0</v>
      </c>
      <c r="BG98" s="123"/>
      <c r="BH98" s="317"/>
      <c r="BI98" s="318"/>
      <c r="BJ98" s="318"/>
      <c r="BK98" s="318"/>
      <c r="BL98" s="73"/>
      <c r="BM98" s="318"/>
      <c r="BN98" s="74"/>
      <c r="BO98" s="220">
        <f>BK98*$A$102</f>
        <v>0</v>
      </c>
      <c r="BP98" s="123"/>
      <c r="BQ98" s="80"/>
      <c r="BR98" s="34"/>
      <c r="BS98" s="34"/>
      <c r="BT98" s="34"/>
      <c r="BU98" s="73"/>
      <c r="BV98" s="34"/>
      <c r="BW98" s="74"/>
      <c r="BX98" s="359"/>
      <c r="BY98" s="123"/>
      <c r="BZ98" s="317">
        <v>10100000</v>
      </c>
      <c r="CA98" s="318">
        <v>0</v>
      </c>
      <c r="CB98" s="318">
        <v>10100000</v>
      </c>
      <c r="CC98" s="318">
        <v>10100000</v>
      </c>
      <c r="CD98" s="73">
        <f t="shared" si="477"/>
        <v>0</v>
      </c>
      <c r="CE98" s="371"/>
      <c r="CF98" s="74">
        <f t="shared" si="457"/>
        <v>0</v>
      </c>
      <c r="CG98" s="359">
        <f t="shared" si="475"/>
        <v>70700</v>
      </c>
      <c r="CH98" s="123"/>
      <c r="CI98" s="136"/>
      <c r="CJ98" s="137"/>
      <c r="CK98" s="137"/>
      <c r="CL98" s="137"/>
      <c r="CM98" s="133" t="e">
        <f t="shared" si="472"/>
        <v>#DIV/0!</v>
      </c>
      <c r="CN98" s="139"/>
      <c r="CO98" s="135">
        <v>0</v>
      </c>
      <c r="CP98" s="123"/>
      <c r="CQ98" s="136"/>
      <c r="CR98" s="137"/>
      <c r="CS98" s="137"/>
      <c r="CT98" s="137"/>
      <c r="CU98" s="133" t="e">
        <f t="shared" si="473"/>
        <v>#DIV/0!</v>
      </c>
      <c r="CV98" s="139"/>
      <c r="CW98" s="135">
        <v>0</v>
      </c>
      <c r="CX98" s="123"/>
      <c r="CY98" s="136"/>
      <c r="CZ98" s="137"/>
      <c r="DA98" s="137"/>
      <c r="DB98" s="137"/>
      <c r="DC98" s="133" t="e">
        <f t="shared" si="474"/>
        <v>#DIV/0!</v>
      </c>
      <c r="DD98" s="139"/>
      <c r="DE98" s="135">
        <v>0</v>
      </c>
      <c r="DF98" s="9"/>
      <c r="DG98" s="354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</row>
    <row r="99" spans="1:135" s="11" customFormat="1" ht="13.15" customHeight="1">
      <c r="A99" s="396"/>
      <c r="B99" s="70" t="s">
        <v>16</v>
      </c>
      <c r="C99" s="334">
        <f>SUM(L99,T99,AB99,AJ99,AR99,AZ99,BH99,BQ99,BZ99,CI99,CQ99,CY99)</f>
        <v>0</v>
      </c>
      <c r="D99" s="334">
        <f t="shared" si="476"/>
        <v>0</v>
      </c>
      <c r="E99" s="334">
        <f t="shared" si="455"/>
        <v>0</v>
      </c>
      <c r="F99" s="334">
        <f t="shared" si="456"/>
        <v>0</v>
      </c>
      <c r="G99" s="14" t="e">
        <f t="shared" si="458"/>
        <v>#DIV/0!</v>
      </c>
      <c r="H99" s="334">
        <f>SUM(Q99,Y99,AG99,AO99,AW99,BE99,BM100,BV99,CE99,CN99,CV99,DD99)</f>
        <v>0</v>
      </c>
      <c r="I99" s="14" t="e">
        <f t="shared" ref="I99" si="478">H99/C99</f>
        <v>#DIV/0!</v>
      </c>
      <c r="J99" s="220">
        <f>F99*$A$102</f>
        <v>0</v>
      </c>
      <c r="K99" s="123"/>
      <c r="L99" s="80">
        <v>0</v>
      </c>
      <c r="M99" s="34">
        <v>0</v>
      </c>
      <c r="N99" s="34">
        <v>0</v>
      </c>
      <c r="O99" s="34">
        <v>0</v>
      </c>
      <c r="P99" s="73" t="e">
        <f t="shared" si="461"/>
        <v>#DIV/0!</v>
      </c>
      <c r="Q99" s="34">
        <v>0</v>
      </c>
      <c r="R99" s="74" t="e">
        <f t="shared" ref="R99:R100" si="479">Q99/L99</f>
        <v>#DIV/0!</v>
      </c>
      <c r="S99" s="123"/>
      <c r="T99" s="80">
        <v>0</v>
      </c>
      <c r="U99" s="34">
        <v>0</v>
      </c>
      <c r="V99" s="34">
        <v>0</v>
      </c>
      <c r="W99" s="34">
        <v>0</v>
      </c>
      <c r="X99" s="73" t="e">
        <f t="shared" si="463"/>
        <v>#DIV/0!</v>
      </c>
      <c r="Y99" s="138">
        <v>0</v>
      </c>
      <c r="Z99" s="74" t="e">
        <f t="shared" ref="Z99:Z100" si="480">Y99/T99</f>
        <v>#DIV/0!</v>
      </c>
      <c r="AA99" s="123"/>
      <c r="AB99" s="80">
        <v>0</v>
      </c>
      <c r="AC99" s="34">
        <v>0</v>
      </c>
      <c r="AD99" s="34">
        <v>0</v>
      </c>
      <c r="AE99" s="34">
        <v>0</v>
      </c>
      <c r="AF99" s="73" t="e">
        <f t="shared" si="465"/>
        <v>#DIV/0!</v>
      </c>
      <c r="AG99" s="34">
        <v>0</v>
      </c>
      <c r="AH99" s="74" t="e">
        <f t="shared" ref="AH99:AH100" si="481">AG99/AB99</f>
        <v>#DIV/0!</v>
      </c>
      <c r="AI99" s="123"/>
      <c r="AJ99" s="80">
        <v>0</v>
      </c>
      <c r="AK99" s="34">
        <v>0</v>
      </c>
      <c r="AL99" s="34">
        <v>0</v>
      </c>
      <c r="AM99" s="34">
        <v>0</v>
      </c>
      <c r="AN99" s="73" t="e">
        <f t="shared" si="467"/>
        <v>#DIV/0!</v>
      </c>
      <c r="AO99" s="34">
        <v>0</v>
      </c>
      <c r="AP99" s="74" t="e">
        <f t="shared" ref="AP99:AP100" si="482">AO99/AJ99</f>
        <v>#DIV/0!</v>
      </c>
      <c r="AQ99" s="123"/>
      <c r="AR99" s="80">
        <v>0</v>
      </c>
      <c r="AS99" s="34">
        <v>0</v>
      </c>
      <c r="AT99" s="34">
        <v>0</v>
      </c>
      <c r="AU99" s="34">
        <v>0</v>
      </c>
      <c r="AV99" s="73" t="e">
        <f t="shared" si="468"/>
        <v>#DIV/0!</v>
      </c>
      <c r="AW99" s="34">
        <v>0</v>
      </c>
      <c r="AX99" s="74" t="e">
        <f t="shared" ref="AX99" si="483">AW99/AR99</f>
        <v>#DIV/0!</v>
      </c>
      <c r="AY99" s="123"/>
      <c r="AZ99" s="80">
        <v>0</v>
      </c>
      <c r="BA99" s="34">
        <v>0</v>
      </c>
      <c r="BB99" s="34">
        <v>0</v>
      </c>
      <c r="BC99" s="34">
        <v>0</v>
      </c>
      <c r="BD99" s="73" t="e">
        <f t="shared" si="469"/>
        <v>#DIV/0!</v>
      </c>
      <c r="BE99" s="34">
        <v>0</v>
      </c>
      <c r="BF99" s="74" t="e">
        <f t="shared" ref="BF99" si="484">BE99/AZ99</f>
        <v>#DIV/0!</v>
      </c>
      <c r="BG99" s="123"/>
      <c r="BH99" s="317"/>
      <c r="BI99" s="318"/>
      <c r="BJ99" s="318"/>
      <c r="BK99" s="318"/>
      <c r="BL99" s="73"/>
      <c r="BM99" s="321"/>
      <c r="BN99" s="74"/>
      <c r="BO99" s="220">
        <f>BK99*$A$102</f>
        <v>0</v>
      </c>
      <c r="BP99" s="123"/>
      <c r="BQ99" s="80"/>
      <c r="BR99" s="34"/>
      <c r="BS99" s="34"/>
      <c r="BT99" s="34"/>
      <c r="BU99" s="73"/>
      <c r="BV99" s="34"/>
      <c r="BW99" s="74"/>
      <c r="BX99" s="359"/>
      <c r="BY99" s="123"/>
      <c r="BZ99" s="317"/>
      <c r="CA99" s="318"/>
      <c r="CB99" s="318"/>
      <c r="CC99" s="318">
        <v>0</v>
      </c>
      <c r="CD99" s="73" t="e">
        <f t="shared" si="477"/>
        <v>#DIV/0!</v>
      </c>
      <c r="CE99" s="371"/>
      <c r="CF99" s="74"/>
      <c r="CG99" s="359">
        <f t="shared" si="475"/>
        <v>0</v>
      </c>
      <c r="CH99" s="123"/>
      <c r="CI99" s="136"/>
      <c r="CJ99" s="137"/>
      <c r="CK99" s="137"/>
      <c r="CL99" s="137"/>
      <c r="CM99" s="133" t="e">
        <f t="shared" si="472"/>
        <v>#DIV/0!</v>
      </c>
      <c r="CN99" s="139"/>
      <c r="CO99" s="135" t="e">
        <v>#DIV/0!</v>
      </c>
      <c r="CP99" s="123"/>
      <c r="CQ99" s="136"/>
      <c r="CR99" s="137"/>
      <c r="CS99" s="137"/>
      <c r="CT99" s="137"/>
      <c r="CU99" s="133" t="e">
        <f t="shared" si="473"/>
        <v>#DIV/0!</v>
      </c>
      <c r="CV99" s="139"/>
      <c r="CW99" s="135" t="e">
        <v>#DIV/0!</v>
      </c>
      <c r="CX99" s="123"/>
      <c r="CY99" s="136"/>
      <c r="CZ99" s="137"/>
      <c r="DA99" s="137"/>
      <c r="DB99" s="137"/>
      <c r="DC99" s="133" t="e">
        <f t="shared" si="474"/>
        <v>#DIV/0!</v>
      </c>
      <c r="DD99" s="139"/>
      <c r="DE99" s="135" t="e">
        <v>#DIV/0!</v>
      </c>
      <c r="DF99" s="9"/>
      <c r="DG99" s="354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</row>
    <row r="100" spans="1:135" s="11" customFormat="1" ht="13" customHeight="1">
      <c r="A100" s="396"/>
      <c r="B100" s="70" t="s">
        <v>17</v>
      </c>
      <c r="C100" s="334">
        <f>SUM(L100,T100,AB100,AJ100,AR100,AZ100,BH100,BQ100,BZ100,CI100,CQ100,CY100)</f>
        <v>92335000</v>
      </c>
      <c r="D100" s="334">
        <f t="shared" si="476"/>
        <v>0</v>
      </c>
      <c r="E100" s="334">
        <f t="shared" si="455"/>
        <v>92335000</v>
      </c>
      <c r="F100" s="334">
        <f>SUM(O100,W100,AE100,AM100,AU100,BC100,BK100,BT100,CC100,CL100,CT100,DB100)</f>
        <v>92335000</v>
      </c>
      <c r="G100" s="14">
        <f t="shared" si="458"/>
        <v>0</v>
      </c>
      <c r="H100" s="334">
        <f>SUM(Q100,Y100,AG100,AO100,AW100,BE100,BM101,BV100,CE100,CN100,CV100,DD100)</f>
        <v>25640000</v>
      </c>
      <c r="I100" s="14">
        <f>H100/C100</f>
        <v>0.27768451832999402</v>
      </c>
      <c r="J100" s="220">
        <f>F100*$A$102</f>
        <v>646345</v>
      </c>
      <c r="K100" s="123"/>
      <c r="L100" s="80">
        <v>0</v>
      </c>
      <c r="M100" s="34">
        <v>0</v>
      </c>
      <c r="N100" s="34">
        <v>0</v>
      </c>
      <c r="O100" s="34">
        <v>0</v>
      </c>
      <c r="P100" s="73" t="e">
        <f>M100/L100</f>
        <v>#DIV/0!</v>
      </c>
      <c r="Q100" s="34">
        <v>0</v>
      </c>
      <c r="R100" s="74" t="e">
        <f t="shared" si="479"/>
        <v>#DIV/0!</v>
      </c>
      <c r="S100" s="123"/>
      <c r="T100" s="80">
        <v>4657500</v>
      </c>
      <c r="U100" s="34">
        <v>0</v>
      </c>
      <c r="V100" s="34">
        <v>4657500</v>
      </c>
      <c r="W100" s="34">
        <v>4657500</v>
      </c>
      <c r="X100" s="73">
        <f>U100/T100</f>
        <v>0</v>
      </c>
      <c r="Y100" s="138">
        <v>0</v>
      </c>
      <c r="Z100" s="74">
        <f t="shared" si="480"/>
        <v>0</v>
      </c>
      <c r="AA100" s="123"/>
      <c r="AB100" s="80">
        <v>28070000</v>
      </c>
      <c r="AC100" s="34">
        <v>0</v>
      </c>
      <c r="AD100" s="34">
        <v>28070000</v>
      </c>
      <c r="AE100" s="34">
        <v>28070000</v>
      </c>
      <c r="AF100" s="73">
        <f>AC100/AB100</f>
        <v>0</v>
      </c>
      <c r="AG100" s="34">
        <v>10930000</v>
      </c>
      <c r="AH100" s="74">
        <f t="shared" si="481"/>
        <v>0.38938368364802278</v>
      </c>
      <c r="AI100" s="123"/>
      <c r="AJ100" s="80">
        <v>20477500</v>
      </c>
      <c r="AK100" s="34">
        <v>0</v>
      </c>
      <c r="AL100" s="34">
        <v>20477500</v>
      </c>
      <c r="AM100" s="34">
        <v>20477500</v>
      </c>
      <c r="AN100" s="73">
        <f t="shared" si="467"/>
        <v>0</v>
      </c>
      <c r="AO100" s="34">
        <v>0</v>
      </c>
      <c r="AP100" s="74">
        <f t="shared" si="482"/>
        <v>0</v>
      </c>
      <c r="AQ100" s="123"/>
      <c r="AR100" s="80">
        <v>6210000</v>
      </c>
      <c r="AS100" s="34">
        <v>0</v>
      </c>
      <c r="AT100" s="34">
        <v>6210000</v>
      </c>
      <c r="AU100" s="34">
        <v>6210000</v>
      </c>
      <c r="AV100" s="73">
        <f t="shared" si="468"/>
        <v>0</v>
      </c>
      <c r="AW100" s="34">
        <v>0</v>
      </c>
      <c r="AX100" s="74">
        <f>AW100/AR100</f>
        <v>0</v>
      </c>
      <c r="AY100" s="123"/>
      <c r="AZ100" s="80">
        <v>3500000</v>
      </c>
      <c r="BA100" s="34">
        <v>0</v>
      </c>
      <c r="BB100" s="34">
        <v>3500000</v>
      </c>
      <c r="BC100" s="34">
        <v>3500000</v>
      </c>
      <c r="BD100" s="73">
        <f t="shared" si="469"/>
        <v>0</v>
      </c>
      <c r="BE100" s="34">
        <v>0</v>
      </c>
      <c r="BF100" s="74">
        <f>BE100/AZ100</f>
        <v>0</v>
      </c>
      <c r="BG100" s="123"/>
      <c r="BH100" s="317"/>
      <c r="BI100" s="318"/>
      <c r="BJ100" s="318"/>
      <c r="BK100" s="318"/>
      <c r="BL100" s="73"/>
      <c r="BM100" s="318"/>
      <c r="BN100" s="74"/>
      <c r="BO100" s="220">
        <f>BK100*$A$102</f>
        <v>0</v>
      </c>
      <c r="BP100" s="123"/>
      <c r="BQ100" s="80"/>
      <c r="BR100" s="34"/>
      <c r="BS100" s="34"/>
      <c r="BT100" s="34"/>
      <c r="BU100" s="73"/>
      <c r="BV100" s="34"/>
      <c r="BW100" s="74"/>
      <c r="BX100" s="359"/>
      <c r="BY100" s="123"/>
      <c r="BZ100" s="317">
        <v>29420000</v>
      </c>
      <c r="CA100" s="318">
        <v>0</v>
      </c>
      <c r="CB100" s="318">
        <v>29420000</v>
      </c>
      <c r="CC100" s="318">
        <v>29420000</v>
      </c>
      <c r="CD100" s="73">
        <f t="shared" si="477"/>
        <v>0</v>
      </c>
      <c r="CE100" s="371">
        <v>14710000</v>
      </c>
      <c r="CF100" s="74">
        <f t="shared" si="457"/>
        <v>0.5</v>
      </c>
      <c r="CG100" s="359">
        <f t="shared" si="475"/>
        <v>205940</v>
      </c>
      <c r="CH100" s="123"/>
      <c r="CI100" s="136"/>
      <c r="CJ100" s="137"/>
      <c r="CK100" s="137"/>
      <c r="CL100" s="137"/>
      <c r="CM100" s="133" t="e">
        <f t="shared" si="472"/>
        <v>#DIV/0!</v>
      </c>
      <c r="CN100" s="139"/>
      <c r="CO100" s="135">
        <v>0</v>
      </c>
      <c r="CP100" s="123"/>
      <c r="CQ100" s="136"/>
      <c r="CR100" s="137"/>
      <c r="CS100" s="137"/>
      <c r="CT100" s="137"/>
      <c r="CU100" s="133" t="e">
        <f t="shared" si="473"/>
        <v>#DIV/0!</v>
      </c>
      <c r="CV100" s="139"/>
      <c r="CW100" s="135">
        <v>0</v>
      </c>
      <c r="CX100" s="123"/>
      <c r="CY100" s="136"/>
      <c r="CZ100" s="137"/>
      <c r="DA100" s="137"/>
      <c r="DB100" s="137"/>
      <c r="DC100" s="133" t="e">
        <f t="shared" si="474"/>
        <v>#DIV/0!</v>
      </c>
      <c r="DD100" s="139"/>
      <c r="DE100" s="135">
        <v>0</v>
      </c>
      <c r="DF100" s="9"/>
      <c r="DG100" s="354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</row>
    <row r="101" spans="1:135" s="33" customFormat="1" ht="13" customHeight="1">
      <c r="A101" s="396"/>
      <c r="B101" s="63" t="s">
        <v>18</v>
      </c>
      <c r="C101" s="335">
        <f>SUM(C89:C100)</f>
        <v>328642270</v>
      </c>
      <c r="D101" s="335">
        <f>SUM(D89:D100)</f>
        <v>19784725</v>
      </c>
      <c r="E101" s="335">
        <f>SUM(E89:E100)</f>
        <v>308857545</v>
      </c>
      <c r="F101" s="335">
        <f>SUM(F89:F100)</f>
        <v>308857545</v>
      </c>
      <c r="G101" s="15">
        <f>D101/C101</f>
        <v>6.0201400751035465E-2</v>
      </c>
      <c r="H101" s="335">
        <f>SUM(H89:H100)</f>
        <v>40640000</v>
      </c>
      <c r="I101" s="15">
        <f>H101/C101</f>
        <v>0.12366029482452151</v>
      </c>
      <c r="J101" s="221" t="b">
        <f>J102=F102</f>
        <v>1</v>
      </c>
      <c r="K101" s="124"/>
      <c r="L101" s="206">
        <f>SUM(L89:L100)</f>
        <v>0</v>
      </c>
      <c r="M101" s="41">
        <f>SUM(M89:M100)</f>
        <v>0</v>
      </c>
      <c r="N101" s="41">
        <f>SUM(N89:N100)</f>
        <v>0</v>
      </c>
      <c r="O101" s="41">
        <f>SUM(O89:O100)</f>
        <v>0</v>
      </c>
      <c r="P101" s="15" t="e">
        <f>M101/L101</f>
        <v>#DIV/0!</v>
      </c>
      <c r="Q101" s="41">
        <f>SUM(Q89:Q100)</f>
        <v>0</v>
      </c>
      <c r="R101" s="83" t="e">
        <f>Q101/L101</f>
        <v>#DIV/0!</v>
      </c>
      <c r="S101" s="124"/>
      <c r="T101" s="101">
        <f>SUM(T89:T100)</f>
        <v>32955772</v>
      </c>
      <c r="U101" s="102">
        <f>SUM(U89:U100)</f>
        <v>1650289</v>
      </c>
      <c r="V101" s="102">
        <f>SUM(V89:V100)</f>
        <v>31305483</v>
      </c>
      <c r="W101" s="102">
        <f>SUM(W89:W100)</f>
        <v>31305483</v>
      </c>
      <c r="X101" s="15">
        <f>U101/T101</f>
        <v>5.0075871383016002E-2</v>
      </c>
      <c r="Y101" s="102">
        <f>SUM(Y89:Y100)</f>
        <v>0</v>
      </c>
      <c r="Z101" s="83">
        <f>Y101/T101</f>
        <v>0</v>
      </c>
      <c r="AA101" s="124"/>
      <c r="AB101" s="101">
        <f>SUM(AB89:AB100)</f>
        <v>67422067</v>
      </c>
      <c r="AC101" s="102">
        <f>SUM(AC89:AC100)</f>
        <v>5034436</v>
      </c>
      <c r="AD101" s="102">
        <f>SUM(AD89:AD100)</f>
        <v>62387631</v>
      </c>
      <c r="AE101" s="102">
        <f>SUM(AE89:AE100)</f>
        <v>62387631</v>
      </c>
      <c r="AF101" s="15">
        <f>AC101/AB101</f>
        <v>7.4670448771616563E-2</v>
      </c>
      <c r="AG101" s="102">
        <f>SUM(AG89:AG100)</f>
        <v>10930000</v>
      </c>
      <c r="AH101" s="83">
        <f>AG101/AB101</f>
        <v>0.16211309570203478</v>
      </c>
      <c r="AI101" s="124"/>
      <c r="AJ101" s="101">
        <f>SUM(AJ89:AJ100)</f>
        <v>69701631</v>
      </c>
      <c r="AK101" s="102">
        <f>SUM(AK89:AK100)</f>
        <v>0</v>
      </c>
      <c r="AL101" s="102">
        <f>SUM(AL89:AL100)</f>
        <v>69701631</v>
      </c>
      <c r="AM101" s="102">
        <f>SUM(AM89:AM100)</f>
        <v>69701631</v>
      </c>
      <c r="AN101" s="15">
        <f>AK101/AJ101</f>
        <v>0</v>
      </c>
      <c r="AO101" s="102">
        <f>SUM(AO89:AO100)</f>
        <v>0</v>
      </c>
      <c r="AP101" s="83">
        <f>AO101/AJ101</f>
        <v>0</v>
      </c>
      <c r="AQ101" s="124"/>
      <c r="AR101" s="101">
        <f>SUM(AR89:AR100)</f>
        <v>23030000</v>
      </c>
      <c r="AS101" s="102">
        <f>SUM(AS89:AS100)</f>
        <v>0</v>
      </c>
      <c r="AT101" s="102">
        <f>SUM(AT89:AT100)</f>
        <v>23030000</v>
      </c>
      <c r="AU101" s="102">
        <f>SUM(AU89:AU100)</f>
        <v>23030000</v>
      </c>
      <c r="AV101" s="15">
        <f>AS101/AR101</f>
        <v>0</v>
      </c>
      <c r="AW101" s="102">
        <f>SUM(AW89:AW100)</f>
        <v>0</v>
      </c>
      <c r="AX101" s="83">
        <f>AW101/AR101</f>
        <v>0</v>
      </c>
      <c r="AY101" s="124"/>
      <c r="AZ101" s="101">
        <f>SUM(AZ89:AZ100)</f>
        <v>16120000</v>
      </c>
      <c r="BA101" s="102">
        <f>SUM(BA89:BA100)</f>
        <v>0</v>
      </c>
      <c r="BB101" s="102">
        <f>SUM(BB89:BB100)</f>
        <v>16120000</v>
      </c>
      <c r="BC101" s="102">
        <f>SUM(BC89:BC100)</f>
        <v>16120000</v>
      </c>
      <c r="BD101" s="15">
        <f>BA101/AZ101</f>
        <v>0</v>
      </c>
      <c r="BE101" s="102">
        <f>SUM(BE89:BE100)</f>
        <v>0</v>
      </c>
      <c r="BF101" s="83">
        <f>BE101/AZ101</f>
        <v>0</v>
      </c>
      <c r="BG101" s="124"/>
      <c r="BH101" s="319">
        <f>SUM(BH89:BH100)</f>
        <v>6092800</v>
      </c>
      <c r="BI101" s="320">
        <f>SUM(BI89:BI100)</f>
        <v>0</v>
      </c>
      <c r="BJ101" s="320">
        <f>SUM(BJ89:BJ100)</f>
        <v>6092800</v>
      </c>
      <c r="BK101" s="320">
        <f>SUM(BK89:BK100)</f>
        <v>6092800</v>
      </c>
      <c r="BL101" s="15">
        <f>BI101/BH101</f>
        <v>0</v>
      </c>
      <c r="BM101" s="320">
        <f>SUM(BM89:BM100)</f>
        <v>0</v>
      </c>
      <c r="BN101" s="83">
        <v>0</v>
      </c>
      <c r="BO101" s="221" t="b">
        <f>BO102=BK102</f>
        <v>1</v>
      </c>
      <c r="BP101" s="124"/>
      <c r="BQ101" s="101">
        <f>SUM(BQ89:BQ100)</f>
        <v>0</v>
      </c>
      <c r="BR101" s="102">
        <f>SUM(BR89:BR100)</f>
        <v>0</v>
      </c>
      <c r="BS101" s="102">
        <f>SUM(BS89:BS100)</f>
        <v>0</v>
      </c>
      <c r="BT101" s="102">
        <f>SUM(BT89:BT100)</f>
        <v>0</v>
      </c>
      <c r="BU101" s="15" t="e">
        <f>BR101/BQ101</f>
        <v>#DIV/0!</v>
      </c>
      <c r="BV101" s="102">
        <f>SUM(BV89:BV100)</f>
        <v>0</v>
      </c>
      <c r="BW101" s="83">
        <v>0</v>
      </c>
      <c r="BX101" s="221" t="b">
        <f>BX102=BT102</f>
        <v>1</v>
      </c>
      <c r="BY101" s="124"/>
      <c r="BZ101" s="101">
        <f>SUM(BZ89:BZ100)</f>
        <v>116820000</v>
      </c>
      <c r="CA101" s="102">
        <f>SUM(CA89:CA100)</f>
        <v>13100000</v>
      </c>
      <c r="CB101" s="102">
        <f>SUM(CB89:CB100)</f>
        <v>103720000</v>
      </c>
      <c r="CC101" s="102">
        <f>SUM(CC89:CC90,CC97:CC100)</f>
        <v>100220000</v>
      </c>
      <c r="CD101" s="15">
        <f>CA101/BZ101</f>
        <v>0.11213833247731553</v>
      </c>
      <c r="CE101" s="102">
        <f>SUM(CE89:CE100)</f>
        <v>29710000</v>
      </c>
      <c r="CF101" s="83">
        <f>CE101/BZ101</f>
        <v>0.25432288991611024</v>
      </c>
      <c r="CG101" s="221" t="b">
        <f>CG102=CC102</f>
        <v>1</v>
      </c>
      <c r="CH101" s="124"/>
      <c r="CI101" s="101">
        <f>SUM(CI89:CI100)</f>
        <v>0</v>
      </c>
      <c r="CJ101" s="102">
        <f>SUM(CJ89:CJ100)</f>
        <v>0</v>
      </c>
      <c r="CK101" s="102">
        <f>SUM(CK89:CK100)</f>
        <v>0</v>
      </c>
      <c r="CL101" s="102">
        <f>SUM(CL89:CL100)</f>
        <v>0</v>
      </c>
      <c r="CM101" s="15" t="e">
        <f>CJ101/CI101</f>
        <v>#DIV/0!</v>
      </c>
      <c r="CN101" s="102">
        <f>SUM(CN89:CN100)</f>
        <v>0</v>
      </c>
      <c r="CO101" s="83">
        <v>0</v>
      </c>
      <c r="CP101" s="124"/>
      <c r="CQ101" s="101">
        <f>SUM(CQ89:CQ100)</f>
        <v>0</v>
      </c>
      <c r="CR101" s="102">
        <f>SUM(CR89:CR100)</f>
        <v>0</v>
      </c>
      <c r="CS101" s="102">
        <f>SUM(CS89:CS100)</f>
        <v>0</v>
      </c>
      <c r="CT101" s="102">
        <f>SUM(CT89:CT100)</f>
        <v>0</v>
      </c>
      <c r="CU101" s="15" t="e">
        <f>CR101/CQ101</f>
        <v>#DIV/0!</v>
      </c>
      <c r="CV101" s="102">
        <f>SUM(CV89:CV100)</f>
        <v>0</v>
      </c>
      <c r="CW101" s="83">
        <v>0</v>
      </c>
      <c r="CX101" s="124"/>
      <c r="CY101" s="101">
        <f>SUM(CY89:CY100)</f>
        <v>0</v>
      </c>
      <c r="CZ101" s="102">
        <f>SUM(CZ89:CZ100)</f>
        <v>0</v>
      </c>
      <c r="DA101" s="102">
        <f>SUM(DA89:DA100)</f>
        <v>0</v>
      </c>
      <c r="DB101" s="102">
        <f>SUM(DB89:DB100)</f>
        <v>0</v>
      </c>
      <c r="DC101" s="15" t="e">
        <f>CZ101/CY101</f>
        <v>#DIV/0!</v>
      </c>
      <c r="DD101" s="102">
        <f>SUM(DD89:DD100)</f>
        <v>0</v>
      </c>
      <c r="DE101" s="83">
        <v>0</v>
      </c>
      <c r="DF101" s="32"/>
      <c r="DG101" s="351"/>
      <c r="DH101" s="32"/>
      <c r="DI101" s="32"/>
      <c r="DJ101" s="32"/>
      <c r="DK101" s="32"/>
      <c r="DL101" s="32"/>
      <c r="DM101" s="32"/>
      <c r="DN101" s="32"/>
      <c r="DO101" s="32"/>
      <c r="DP101" s="32"/>
      <c r="DQ101" s="32"/>
      <c r="DR101" s="32"/>
      <c r="DS101" s="32"/>
      <c r="DT101" s="32"/>
      <c r="DU101" s="32"/>
      <c r="DV101" s="32"/>
      <c r="DW101" s="32"/>
      <c r="DX101" s="32"/>
      <c r="DY101" s="32"/>
      <c r="DZ101" s="32"/>
      <c r="EA101" s="32"/>
      <c r="EB101" s="32"/>
      <c r="EC101" s="32"/>
      <c r="ED101" s="32"/>
      <c r="EE101" s="32"/>
    </row>
    <row r="102" spans="1:135" s="22" customFormat="1" ht="13" customHeight="1">
      <c r="A102" s="214">
        <v>7.0000000000000001E-3</v>
      </c>
      <c r="B102" s="191" t="s">
        <v>19</v>
      </c>
      <c r="C102" s="213">
        <f>C101*$A$102</f>
        <v>2300495.89</v>
      </c>
      <c r="D102" s="213">
        <f t="shared" ref="D102:E102" si="485">D101*$A$102</f>
        <v>138493.07500000001</v>
      </c>
      <c r="E102" s="213">
        <f t="shared" si="485"/>
        <v>2162002.8149999999</v>
      </c>
      <c r="F102" s="213">
        <f>F101*$A$102</f>
        <v>2162002.8149999999</v>
      </c>
      <c r="G102" s="181"/>
      <c r="H102" s="213">
        <f>H101*A102</f>
        <v>284480</v>
      </c>
      <c r="I102" s="181"/>
      <c r="J102" s="217">
        <f>SUM(J89:J100)</f>
        <v>2162002.8149999999</v>
      </c>
      <c r="K102" s="112"/>
      <c r="L102" s="245">
        <f>L101*$A$102</f>
        <v>0</v>
      </c>
      <c r="M102" s="213">
        <f t="shared" ref="M102" si="486">M101*$A$102</f>
        <v>0</v>
      </c>
      <c r="N102" s="213">
        <f t="shared" ref="N102" si="487">N101*$A$102</f>
        <v>0</v>
      </c>
      <c r="O102" s="213">
        <f t="shared" ref="O102" si="488">O101*$A$102</f>
        <v>0</v>
      </c>
      <c r="P102" s="243"/>
      <c r="Q102" s="213">
        <f>Q101*J102</f>
        <v>0</v>
      </c>
      <c r="R102" s="246"/>
      <c r="S102" s="112"/>
      <c r="T102" s="245">
        <f>T101*$A$102</f>
        <v>230690.40400000001</v>
      </c>
      <c r="U102" s="213">
        <f t="shared" ref="U102" si="489">U101*$A$102</f>
        <v>11552.023000000001</v>
      </c>
      <c r="V102" s="213">
        <f t="shared" ref="V102" si="490">V101*$A$102</f>
        <v>219138.38099999999</v>
      </c>
      <c r="W102" s="213">
        <f t="shared" ref="W102" si="491">W101*$A$102</f>
        <v>219138.38099999999</v>
      </c>
      <c r="X102" s="243"/>
      <c r="Y102" s="213">
        <f>Y101*R102</f>
        <v>0</v>
      </c>
      <c r="Z102" s="246"/>
      <c r="AA102" s="112"/>
      <c r="AB102" s="245">
        <f>AB101*$A$102</f>
        <v>471954.46899999998</v>
      </c>
      <c r="AC102" s="213">
        <f t="shared" ref="AC102" si="492">AC101*$A$102</f>
        <v>35241.052000000003</v>
      </c>
      <c r="AD102" s="213">
        <f t="shared" ref="AD102" si="493">AD101*$A$102</f>
        <v>436713.41700000002</v>
      </c>
      <c r="AE102" s="213">
        <f t="shared" ref="AE102" si="494">AE101*$A$102</f>
        <v>436713.41700000002</v>
      </c>
      <c r="AF102" s="243"/>
      <c r="AG102" s="213">
        <f>AG101*Z102</f>
        <v>0</v>
      </c>
      <c r="AH102" s="246"/>
      <c r="AI102" s="112"/>
      <c r="AJ102" s="245">
        <f>AJ101*$A$102</f>
        <v>487911.41700000002</v>
      </c>
      <c r="AK102" s="213">
        <f t="shared" ref="AK102" si="495">AK101*$A$102</f>
        <v>0</v>
      </c>
      <c r="AL102" s="213">
        <f t="shared" ref="AL102" si="496">AL101*$A$102</f>
        <v>487911.41700000002</v>
      </c>
      <c r="AM102" s="213">
        <f t="shared" ref="AM102" si="497">AM101*$A$102</f>
        <v>487911.41700000002</v>
      </c>
      <c r="AN102" s="243"/>
      <c r="AO102" s="213">
        <f>AO101*AH102</f>
        <v>0</v>
      </c>
      <c r="AP102" s="246"/>
      <c r="AQ102" s="112"/>
      <c r="AR102" s="183"/>
      <c r="AS102" s="180"/>
      <c r="AT102" s="180"/>
      <c r="AU102" s="180"/>
      <c r="AV102" s="181"/>
      <c r="AW102" s="180"/>
      <c r="AX102" s="182"/>
      <c r="AY102" s="112"/>
      <c r="AZ102" s="245">
        <f>AZ101*$A$102</f>
        <v>112840</v>
      </c>
      <c r="BA102" s="213">
        <f t="shared" ref="BA102" si="498">BA101*$A$102</f>
        <v>0</v>
      </c>
      <c r="BB102" s="213">
        <f t="shared" ref="BB102" si="499">BB101*$A$102</f>
        <v>112840</v>
      </c>
      <c r="BC102" s="213">
        <f t="shared" ref="BC102" si="500">BC101*$A$102</f>
        <v>112840</v>
      </c>
      <c r="BD102" s="243"/>
      <c r="BE102" s="213">
        <f>BE101*AX102</f>
        <v>0</v>
      </c>
      <c r="BF102" s="246"/>
      <c r="BG102" s="112"/>
      <c r="BH102" s="245">
        <f>BH101*$A$102</f>
        <v>42649.599999999999</v>
      </c>
      <c r="BI102" s="213">
        <f t="shared" ref="BI102" si="501">BI101*$A$102</f>
        <v>0</v>
      </c>
      <c r="BJ102" s="213">
        <f t="shared" ref="BJ102" si="502">BJ101*$A$102</f>
        <v>42649.599999999999</v>
      </c>
      <c r="BK102" s="213">
        <f t="shared" ref="BK102" si="503">BK101*$A$102</f>
        <v>42649.599999999999</v>
      </c>
      <c r="BL102" s="243"/>
      <c r="BM102" s="213">
        <f>BM101*BF102</f>
        <v>0</v>
      </c>
      <c r="BN102" s="246"/>
      <c r="BO102" s="217">
        <f>SUM(BO89:BO100)</f>
        <v>42649.599999999999</v>
      </c>
      <c r="BP102" s="112"/>
      <c r="BQ102" s="245">
        <f>BQ101*$A$102</f>
        <v>0</v>
      </c>
      <c r="BR102" s="213">
        <f t="shared" ref="BR102" si="504">BR101*$A$102</f>
        <v>0</v>
      </c>
      <c r="BS102" s="213">
        <f t="shared" ref="BS102" si="505">BS101*$A$102</f>
        <v>0</v>
      </c>
      <c r="BT102" s="213">
        <f t="shared" ref="BT102" si="506">BT101*$A$102</f>
        <v>0</v>
      </c>
      <c r="BU102" s="243"/>
      <c r="BV102" s="213">
        <f>BV101*BN102</f>
        <v>0</v>
      </c>
      <c r="BW102" s="246">
        <f>CE102102</f>
        <v>0</v>
      </c>
      <c r="BX102" s="217">
        <f>SUM(BX89:BX100)</f>
        <v>0</v>
      </c>
      <c r="BY102" s="112"/>
      <c r="BZ102" s="245">
        <f>BZ101*$A$102</f>
        <v>817740</v>
      </c>
      <c r="CA102" s="213">
        <f t="shared" ref="CA102" si="507">CA101*$A$102</f>
        <v>91700</v>
      </c>
      <c r="CB102" s="213">
        <f t="shared" ref="CB102" si="508">CB101*$A$102</f>
        <v>726040</v>
      </c>
      <c r="CC102" s="213">
        <f>CC101*$A$102</f>
        <v>701540</v>
      </c>
      <c r="CD102" s="243"/>
      <c r="CE102" s="213">
        <f>CE101*A102</f>
        <v>207970</v>
      </c>
      <c r="CF102" s="246"/>
      <c r="CG102" s="217">
        <f>SUM(CG89:CG90,CG97:CG100)</f>
        <v>701540</v>
      </c>
      <c r="CH102" s="112"/>
      <c r="CI102" s="245">
        <f>CI101*$A$102</f>
        <v>0</v>
      </c>
      <c r="CJ102" s="213">
        <f t="shared" ref="CJ102" si="509">CJ101*$A$102</f>
        <v>0</v>
      </c>
      <c r="CK102" s="213">
        <f t="shared" ref="CK102" si="510">CK101*$A$102</f>
        <v>0</v>
      </c>
      <c r="CL102" s="213">
        <f t="shared" ref="CL102" si="511">CL101*$A$102</f>
        <v>0</v>
      </c>
      <c r="CM102" s="243"/>
      <c r="CN102" s="213">
        <f>CN101*CF102</f>
        <v>0</v>
      </c>
      <c r="CO102" s="246"/>
      <c r="CP102" s="112"/>
      <c r="CQ102" s="245">
        <f>CQ101*$A$102</f>
        <v>0</v>
      </c>
      <c r="CR102" s="213">
        <f t="shared" ref="CR102" si="512">CR101*$A$102</f>
        <v>0</v>
      </c>
      <c r="CS102" s="213">
        <f t="shared" ref="CS102" si="513">CS101*$A$102</f>
        <v>0</v>
      </c>
      <c r="CT102" s="213">
        <f t="shared" ref="CT102" si="514">CT101*$A$102</f>
        <v>0</v>
      </c>
      <c r="CU102" s="243"/>
      <c r="CV102" s="213">
        <f>CV101*CO102</f>
        <v>0</v>
      </c>
      <c r="CW102" s="246"/>
      <c r="CX102" s="112"/>
      <c r="CY102" s="245">
        <f>CY101*$A$102</f>
        <v>0</v>
      </c>
      <c r="CZ102" s="213">
        <f t="shared" ref="CZ102" si="515">CZ101*$A$102</f>
        <v>0</v>
      </c>
      <c r="DA102" s="213">
        <f t="shared" ref="DA102" si="516">DA101*$A$102</f>
        <v>0</v>
      </c>
      <c r="DB102" s="213">
        <f t="shared" ref="DB102" si="517">DB101*$A$102</f>
        <v>0</v>
      </c>
      <c r="DC102" s="243"/>
      <c r="DD102" s="213">
        <f>DD101*CW102</f>
        <v>0</v>
      </c>
      <c r="DE102" s="246"/>
      <c r="DF102" s="8"/>
      <c r="DG102" s="351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</row>
    <row r="103" spans="1:135" s="11" customFormat="1" ht="13.15" customHeight="1">
      <c r="A103" s="395" t="s">
        <v>26</v>
      </c>
      <c r="B103" s="69" t="s">
        <v>12</v>
      </c>
      <c r="C103" s="325">
        <f>SUM(L103,T103,AB103,AJ103,AR103,AZ103,BH103,BQ103,BZ103,CI103,CQ103,CY103)</f>
        <v>1474000000</v>
      </c>
      <c r="D103" s="325">
        <f t="shared" ref="D103:D113" si="518">SUM(M103,U103,AC103,AK103,AS103,BA103,BI103,BR103,CA103,CJ103,CR103,CZ103)</f>
        <v>906000000</v>
      </c>
      <c r="E103" s="325">
        <f t="shared" ref="E103:E113" si="519">SUM(N103,V103,AD103,AL103,AT103,BB103,BJ103,BS103,CB103,CK103,CS103,DA103)</f>
        <v>568000000</v>
      </c>
      <c r="F103" s="325">
        <f t="shared" ref="F103:F113" si="520">SUM(O103,W103,AE103,AM103,AU103,BC103,BK103,BT103,CC103,CL103,CT103,DB103)</f>
        <v>568000000</v>
      </c>
      <c r="G103" s="14">
        <f>D103/C103</f>
        <v>0.61465400271370418</v>
      </c>
      <c r="H103" s="325">
        <f>SUM(Q103,Y103,AG103,AO103,AW103,BE103,BM103,BV103,CE103,CN103,CV103,DD103)</f>
        <v>958210706</v>
      </c>
      <c r="I103" s="14">
        <f>H103/C103</f>
        <v>0.65007510583446404</v>
      </c>
      <c r="J103" s="220">
        <f>F103*$A$115</f>
        <v>2840000</v>
      </c>
      <c r="K103" s="125"/>
      <c r="L103" s="328">
        <v>152000000</v>
      </c>
      <c r="M103" s="325">
        <v>96000000</v>
      </c>
      <c r="N103" s="325">
        <v>56000000</v>
      </c>
      <c r="O103" s="325">
        <v>56000000</v>
      </c>
      <c r="P103" s="73">
        <f>M103/L103</f>
        <v>0.63157894736842102</v>
      </c>
      <c r="Q103" s="325">
        <v>112182727</v>
      </c>
      <c r="R103" s="74">
        <f>Q103/L103</f>
        <v>0.73804425657894734</v>
      </c>
      <c r="S103" s="125"/>
      <c r="T103" s="168">
        <v>152000000</v>
      </c>
      <c r="U103" s="169">
        <v>96000000</v>
      </c>
      <c r="V103" s="169">
        <v>56000000</v>
      </c>
      <c r="W103" s="169">
        <v>56000000</v>
      </c>
      <c r="X103" s="87">
        <f>U103/T103</f>
        <v>0.63157894736842102</v>
      </c>
      <c r="Y103" s="170">
        <v>11190173</v>
      </c>
      <c r="Z103" s="88">
        <f>Y103/T103</f>
        <v>7.361955921052632E-2</v>
      </c>
      <c r="AA103" s="125"/>
      <c r="AB103" s="165">
        <v>225000000</v>
      </c>
      <c r="AC103" s="166">
        <v>145000000</v>
      </c>
      <c r="AD103" s="166">
        <v>80000000</v>
      </c>
      <c r="AE103" s="166">
        <v>80000000</v>
      </c>
      <c r="AF103" s="87">
        <f>AC103/AB103</f>
        <v>0.64444444444444449</v>
      </c>
      <c r="AG103" s="166">
        <v>223689744</v>
      </c>
      <c r="AH103" s="88">
        <f>AG103/AB103</f>
        <v>0.99417663999999994</v>
      </c>
      <c r="AI103" s="125"/>
      <c r="AJ103" s="168">
        <v>225000000</v>
      </c>
      <c r="AK103" s="169">
        <v>169000000</v>
      </c>
      <c r="AL103" s="169">
        <v>56000000</v>
      </c>
      <c r="AM103" s="169">
        <v>56000000</v>
      </c>
      <c r="AN103" s="87">
        <f>AK103/AJ103</f>
        <v>0.75111111111111106</v>
      </c>
      <c r="AO103" s="169">
        <v>118951860</v>
      </c>
      <c r="AP103" s="88">
        <f>AO103/AJ103</f>
        <v>0.52867493333333337</v>
      </c>
      <c r="AQ103" s="125"/>
      <c r="AR103" s="165">
        <v>225000000</v>
      </c>
      <c r="AS103" s="166">
        <v>169000000</v>
      </c>
      <c r="AT103" s="166">
        <v>56000000</v>
      </c>
      <c r="AU103" s="166">
        <v>56000000</v>
      </c>
      <c r="AV103" s="87">
        <f>AS103/AR103</f>
        <v>0.75111111111111106</v>
      </c>
      <c r="AW103" s="166">
        <v>110375282</v>
      </c>
      <c r="AX103" s="88">
        <f>AW103/AR103</f>
        <v>0.49055680888888886</v>
      </c>
      <c r="AY103" s="125"/>
      <c r="AZ103" s="168">
        <v>225000000</v>
      </c>
      <c r="BA103" s="169">
        <v>129000000</v>
      </c>
      <c r="BB103" s="169">
        <v>96000000</v>
      </c>
      <c r="BC103" s="169">
        <v>96000000</v>
      </c>
      <c r="BD103" s="87">
        <f>BA103/AZ103</f>
        <v>0.57333333333333336</v>
      </c>
      <c r="BE103" s="169">
        <v>126032506</v>
      </c>
      <c r="BF103" s="88">
        <f>BE103/AZ103</f>
        <v>0.5601444711111111</v>
      </c>
      <c r="BG103" s="125"/>
      <c r="BH103" s="323">
        <v>90000000</v>
      </c>
      <c r="BI103" s="324">
        <v>34000000</v>
      </c>
      <c r="BJ103" s="324">
        <v>56000000</v>
      </c>
      <c r="BK103" s="324">
        <v>56000000</v>
      </c>
      <c r="BL103" s="73">
        <f>BI103/BH103</f>
        <v>0.37777777777777777</v>
      </c>
      <c r="BM103" s="322">
        <v>60967738</v>
      </c>
      <c r="BN103" s="74">
        <f>BM103/BH103</f>
        <v>0.67741931111111109</v>
      </c>
      <c r="BO103" s="220">
        <f>BK103*$A$115</f>
        <v>280000</v>
      </c>
      <c r="BP103" s="125"/>
      <c r="BQ103" s="360">
        <f>90000000</f>
        <v>90000000</v>
      </c>
      <c r="BR103" s="361">
        <f>BQ103-BT103</f>
        <v>34000000</v>
      </c>
      <c r="BS103" s="361">
        <v>56000000</v>
      </c>
      <c r="BT103" s="361">
        <v>56000000</v>
      </c>
      <c r="BU103" s="73">
        <f>BR103/BQ103</f>
        <v>0.37777777777777777</v>
      </c>
      <c r="BV103" s="361">
        <v>97703739</v>
      </c>
      <c r="BW103" s="74">
        <f>BV103/BQ103</f>
        <v>1.0855971</v>
      </c>
      <c r="BX103" s="359">
        <f>BT103*$A$115</f>
        <v>280000</v>
      </c>
      <c r="BY103" s="125"/>
      <c r="BZ103" s="360">
        <v>90000000</v>
      </c>
      <c r="CA103" s="361">
        <v>34000000</v>
      </c>
      <c r="CB103" s="361">
        <v>56000000</v>
      </c>
      <c r="CC103" s="361">
        <v>56000000</v>
      </c>
      <c r="CD103" s="73">
        <f>CA103/BZ103</f>
        <v>0.37777777777777777</v>
      </c>
      <c r="CE103" s="166">
        <v>97116937</v>
      </c>
      <c r="CF103" s="74">
        <f>CE103/BZ103</f>
        <v>1.0790770777777778</v>
      </c>
      <c r="CG103" s="359">
        <f>CC103*$A$115</f>
        <v>280000</v>
      </c>
      <c r="CH103" s="125"/>
      <c r="CI103" s="178"/>
      <c r="CJ103" s="174"/>
      <c r="CK103" s="174"/>
      <c r="CL103" s="174"/>
      <c r="CM103" s="133" t="e">
        <f>CJ103/CI103</f>
        <v>#DIV/0!</v>
      </c>
      <c r="CN103" s="175"/>
      <c r="CO103" s="135" t="e">
        <f>CN103/CI103</f>
        <v>#DIV/0!</v>
      </c>
      <c r="CP103" s="125"/>
      <c r="CQ103" s="178"/>
      <c r="CR103" s="174"/>
      <c r="CS103" s="174"/>
      <c r="CT103" s="174"/>
      <c r="CU103" s="133" t="e">
        <f>CR103/CQ103</f>
        <v>#DIV/0!</v>
      </c>
      <c r="CV103" s="175"/>
      <c r="CW103" s="135" t="e">
        <f>CV103/CQ103</f>
        <v>#DIV/0!</v>
      </c>
      <c r="CX103" s="125"/>
      <c r="CY103" s="178"/>
      <c r="CZ103" s="174"/>
      <c r="DA103" s="174"/>
      <c r="DB103" s="174"/>
      <c r="DC103" s="133" t="e">
        <f>CZ103/CY103</f>
        <v>#DIV/0!</v>
      </c>
      <c r="DD103" s="175"/>
      <c r="DE103" s="135" t="e">
        <f>DD103/CY103</f>
        <v>#DIV/0!</v>
      </c>
      <c r="DF103" s="9"/>
      <c r="DG103" s="354"/>
      <c r="DH103" s="9"/>
      <c r="DI103" s="9"/>
      <c r="DJ103" s="9"/>
      <c r="DK103" s="9"/>
      <c r="DL103" s="9"/>
      <c r="DM103" s="9"/>
      <c r="DN103" s="9"/>
      <c r="DO103" s="9"/>
      <c r="DP103" s="9"/>
      <c r="DQ103" s="9"/>
      <c r="DR103" s="9"/>
      <c r="DS103" s="9"/>
      <c r="DT103" s="9"/>
      <c r="DU103" s="9"/>
      <c r="DV103" s="9"/>
      <c r="DW103" s="9"/>
      <c r="DX103" s="9"/>
      <c r="DY103" s="9"/>
      <c r="DZ103" s="9"/>
      <c r="EA103" s="9"/>
      <c r="EB103" s="9"/>
      <c r="EC103" s="9"/>
      <c r="ED103" s="9"/>
      <c r="EE103" s="9"/>
    </row>
    <row r="104" spans="1:135" s="11" customFormat="1" ht="13.15" customHeight="1">
      <c r="A104" s="396"/>
      <c r="B104" s="70" t="s">
        <v>13</v>
      </c>
      <c r="C104" s="325">
        <f>SUM(L104,T104,AB104,AJ104,AR104,AZ104,BH104,BQ104,BZ104,CI104,CQ104,CY104)</f>
        <v>560731062.48000002</v>
      </c>
      <c r="D104" s="325">
        <f t="shared" si="518"/>
        <v>194783518</v>
      </c>
      <c r="E104" s="325">
        <f t="shared" si="519"/>
        <v>384233528.48000002</v>
      </c>
      <c r="F104" s="325">
        <f t="shared" si="520"/>
        <v>384233528.48000002</v>
      </c>
      <c r="G104" s="14">
        <f t="shared" ref="G104:G113" si="521">D104/C104</f>
        <v>0.34737422453200989</v>
      </c>
      <c r="H104" s="325">
        <f t="shared" ref="H104:H113" si="522">SUM(Q104,Y104,AG104,AO104,AW104,BE104,BM104,BV104,CE104,CN104,CV104,DD104)</f>
        <v>0</v>
      </c>
      <c r="I104" s="14">
        <f t="shared" ref="I104" si="523">H104/C104</f>
        <v>0</v>
      </c>
      <c r="J104" s="220">
        <f>F104*$A$115</f>
        <v>1921167.6424000002</v>
      </c>
      <c r="K104" s="125"/>
      <c r="L104" s="328">
        <v>120000000</v>
      </c>
      <c r="M104" s="325">
        <v>120000000</v>
      </c>
      <c r="N104" s="325">
        <v>0</v>
      </c>
      <c r="O104" s="325">
        <v>0</v>
      </c>
      <c r="P104" s="73">
        <f t="shared" ref="P104:P113" si="524">M104/L104</f>
        <v>1</v>
      </c>
      <c r="Q104" s="325">
        <v>0</v>
      </c>
      <c r="R104" s="74">
        <f t="shared" ref="R104" si="525">Q104/L104</f>
        <v>0</v>
      </c>
      <c r="S104" s="125"/>
      <c r="T104" s="168">
        <v>140000000</v>
      </c>
      <c r="U104" s="169">
        <v>74657446</v>
      </c>
      <c r="V104" s="169">
        <v>65342554</v>
      </c>
      <c r="W104" s="169">
        <v>65342554</v>
      </c>
      <c r="X104" s="87">
        <f t="shared" ref="X104:X113" si="526">U104/T104</f>
        <v>0.53326747142857145</v>
      </c>
      <c r="Y104" s="170">
        <v>0</v>
      </c>
      <c r="Z104" s="88">
        <f t="shared" ref="Z104" si="527">Y104/T104</f>
        <v>0</v>
      </c>
      <c r="AA104" s="125"/>
      <c r="AB104" s="165">
        <v>140000000</v>
      </c>
      <c r="AC104" s="166">
        <v>126072</v>
      </c>
      <c r="AD104" s="166">
        <v>139873928</v>
      </c>
      <c r="AE104" s="166">
        <v>139873928</v>
      </c>
      <c r="AF104" s="87">
        <f t="shared" ref="AF104:AF113" si="528">AC104/AB104</f>
        <v>9.0051428571428572E-4</v>
      </c>
      <c r="AG104" s="166">
        <v>0</v>
      </c>
      <c r="AH104" s="88">
        <f t="shared" ref="AH104" si="529">AG104/AB104</f>
        <v>0</v>
      </c>
      <c r="AI104" s="125"/>
      <c r="AJ104" s="168">
        <v>84239909</v>
      </c>
      <c r="AK104" s="169">
        <v>0</v>
      </c>
      <c r="AL104" s="169">
        <v>84239909</v>
      </c>
      <c r="AM104" s="169">
        <v>84239909</v>
      </c>
      <c r="AN104" s="87">
        <f t="shared" ref="AN104:AN113" si="530">AK104/AJ104</f>
        <v>0</v>
      </c>
      <c r="AO104" s="169">
        <v>0</v>
      </c>
      <c r="AP104" s="88">
        <f t="shared" ref="AP104" si="531">AO104/AJ104</f>
        <v>0</v>
      </c>
      <c r="AQ104" s="125"/>
      <c r="AR104" s="165">
        <v>17321188</v>
      </c>
      <c r="AS104" s="166">
        <v>0</v>
      </c>
      <c r="AT104" s="166">
        <v>17321188</v>
      </c>
      <c r="AU104" s="166">
        <v>17321188</v>
      </c>
      <c r="AV104" s="87">
        <f t="shared" ref="AV104:AV113" si="532">AS104/AR104</f>
        <v>0</v>
      </c>
      <c r="AW104" s="166">
        <v>0</v>
      </c>
      <c r="AX104" s="88">
        <f t="shared" ref="AX104" si="533">AW104/AR104</f>
        <v>0</v>
      </c>
      <c r="AY104" s="125"/>
      <c r="AZ104" s="168">
        <v>58449965.479999997</v>
      </c>
      <c r="BA104" s="169">
        <v>0</v>
      </c>
      <c r="BB104" s="169">
        <v>58449965.479999997</v>
      </c>
      <c r="BC104" s="169">
        <v>58449965.479999997</v>
      </c>
      <c r="BD104" s="87">
        <f t="shared" ref="BD104:BD113" si="534">BA104/AZ104</f>
        <v>0</v>
      </c>
      <c r="BE104" s="169">
        <v>0</v>
      </c>
      <c r="BF104" s="88">
        <f t="shared" ref="BF104" si="535">BE104/AZ104</f>
        <v>0</v>
      </c>
      <c r="BG104" s="125"/>
      <c r="BH104" s="323">
        <v>0</v>
      </c>
      <c r="BI104" s="324">
        <v>0</v>
      </c>
      <c r="BJ104" s="324">
        <v>13439196</v>
      </c>
      <c r="BK104" s="324">
        <v>13439196</v>
      </c>
      <c r="BL104" s="73" t="e">
        <f t="shared" ref="BL104:BL113" si="536">BI104/BH104</f>
        <v>#DIV/0!</v>
      </c>
      <c r="BM104" s="322"/>
      <c r="BN104" s="74" t="e">
        <f t="shared" ref="BN104" si="537">BM104/BH104</f>
        <v>#DIV/0!</v>
      </c>
      <c r="BO104" s="220">
        <f>BK104*$A$115</f>
        <v>67195.98</v>
      </c>
      <c r="BP104" s="125"/>
      <c r="BQ104" s="360">
        <v>0</v>
      </c>
      <c r="BR104" s="361">
        <v>0</v>
      </c>
      <c r="BS104" s="361">
        <v>4846788</v>
      </c>
      <c r="BT104" s="361">
        <v>4846788</v>
      </c>
      <c r="BU104" s="73" t="e">
        <f t="shared" ref="BU104:BU113" si="538">BR104/BQ104</f>
        <v>#DIV/0!</v>
      </c>
      <c r="BV104" s="361">
        <v>0</v>
      </c>
      <c r="BW104" s="74" t="e">
        <f t="shared" ref="BW104" si="539">BV104/BQ104</f>
        <v>#DIV/0!</v>
      </c>
      <c r="BX104" s="359">
        <f>BT104*$A$115</f>
        <v>24233.94</v>
      </c>
      <c r="BY104" s="125"/>
      <c r="BZ104" s="361">
        <v>720000</v>
      </c>
      <c r="CA104" s="361">
        <v>0</v>
      </c>
      <c r="CB104" s="361">
        <v>720000</v>
      </c>
      <c r="CC104" s="361">
        <v>720000</v>
      </c>
      <c r="CD104" s="73">
        <f t="shared" ref="CD104:CD113" si="540">CA104/BZ104</f>
        <v>0</v>
      </c>
      <c r="CE104" s="166">
        <v>0</v>
      </c>
      <c r="CF104" s="74">
        <f t="shared" ref="CF104" si="541">CE104/BZ104</f>
        <v>0</v>
      </c>
      <c r="CG104" s="359">
        <f>CC104*$A$115</f>
        <v>3600</v>
      </c>
      <c r="CH104" s="125"/>
      <c r="CI104" s="178"/>
      <c r="CJ104" s="174"/>
      <c r="CK104" s="174"/>
      <c r="CL104" s="174"/>
      <c r="CM104" s="133" t="e">
        <f t="shared" ref="CM104:CM113" si="542">CJ104/CI104</f>
        <v>#DIV/0!</v>
      </c>
      <c r="CN104" s="175"/>
      <c r="CO104" s="135" t="e">
        <f t="shared" ref="CO104" si="543">CN104/CI104</f>
        <v>#DIV/0!</v>
      </c>
      <c r="CP104" s="125"/>
      <c r="CQ104" s="178"/>
      <c r="CR104" s="174"/>
      <c r="CS104" s="174"/>
      <c r="CT104" s="174"/>
      <c r="CU104" s="133" t="e">
        <f t="shared" ref="CU104:CU113" si="544">CR104/CQ104</f>
        <v>#DIV/0!</v>
      </c>
      <c r="CV104" s="175"/>
      <c r="CW104" s="135" t="e">
        <f t="shared" ref="CW104" si="545">CV104/CQ104</f>
        <v>#DIV/0!</v>
      </c>
      <c r="CX104" s="125"/>
      <c r="CY104" s="178"/>
      <c r="CZ104" s="174"/>
      <c r="DA104" s="174"/>
      <c r="DB104" s="174"/>
      <c r="DC104" s="133" t="e">
        <f t="shared" ref="DC104:DC113" si="546">CZ104/CY104</f>
        <v>#DIV/0!</v>
      </c>
      <c r="DD104" s="175"/>
      <c r="DE104" s="135" t="e">
        <f t="shared" ref="DE104" si="547">DD104/CY104</f>
        <v>#DIV/0!</v>
      </c>
      <c r="DF104" s="9"/>
      <c r="DG104" s="354"/>
      <c r="DH104" s="9"/>
      <c r="DI104" s="9"/>
      <c r="DJ104" s="9"/>
      <c r="DK104" s="9"/>
      <c r="DL104" s="9"/>
      <c r="DM104" s="9"/>
      <c r="DN104" s="9"/>
      <c r="DO104" s="9"/>
      <c r="DP104" s="9"/>
      <c r="DQ104" s="9"/>
      <c r="DR104" s="9"/>
      <c r="DS104" s="9"/>
      <c r="DT104" s="9"/>
      <c r="DU104" s="9"/>
      <c r="DV104" s="9"/>
      <c r="DW104" s="9"/>
      <c r="DX104" s="9"/>
      <c r="DY104" s="9"/>
      <c r="DZ104" s="9"/>
      <c r="EA104" s="9"/>
      <c r="EB104" s="9"/>
      <c r="EC104" s="9"/>
      <c r="ED104" s="9"/>
      <c r="EE104" s="9"/>
    </row>
    <row r="105" spans="1:135" s="11" customFormat="1" ht="13.15" customHeight="1">
      <c r="A105" s="396"/>
      <c r="B105" s="70" t="s">
        <v>188</v>
      </c>
      <c r="C105" s="148"/>
      <c r="D105" s="148"/>
      <c r="E105" s="148"/>
      <c r="F105" s="148"/>
      <c r="G105" s="14"/>
      <c r="H105" s="148"/>
      <c r="I105" s="14"/>
      <c r="J105" s="220"/>
      <c r="K105" s="119"/>
      <c r="L105" s="78"/>
      <c r="M105" s="21"/>
      <c r="N105" s="21"/>
      <c r="O105" s="21"/>
      <c r="P105" s="73"/>
      <c r="Q105" s="84"/>
      <c r="R105" s="74"/>
      <c r="S105" s="119"/>
      <c r="T105" s="86"/>
      <c r="U105" s="84"/>
      <c r="V105" s="84"/>
      <c r="W105" s="84"/>
      <c r="X105" s="87"/>
      <c r="Y105" s="85"/>
      <c r="Z105" s="17"/>
      <c r="AA105" s="119"/>
      <c r="AB105" s="86"/>
      <c r="AC105" s="84"/>
      <c r="AD105" s="84"/>
      <c r="AE105" s="84"/>
      <c r="AF105" s="87"/>
      <c r="AG105" s="84"/>
      <c r="AH105" s="88"/>
      <c r="AI105" s="119"/>
      <c r="AJ105" s="78"/>
      <c r="AK105" s="21"/>
      <c r="AL105" s="21"/>
      <c r="AM105" s="21"/>
      <c r="AN105" s="73"/>
      <c r="AO105" s="21"/>
      <c r="AP105" s="74"/>
      <c r="AQ105" s="119"/>
      <c r="AR105" s="78"/>
      <c r="AS105" s="21"/>
      <c r="AT105" s="21"/>
      <c r="AU105" s="21"/>
      <c r="AV105" s="73"/>
      <c r="AW105" s="21"/>
      <c r="AX105" s="74"/>
      <c r="AY105" s="119"/>
      <c r="AZ105" s="78"/>
      <c r="BA105" s="21"/>
      <c r="BB105" s="21"/>
      <c r="BC105" s="21"/>
      <c r="BD105" s="73"/>
      <c r="BE105" s="21"/>
      <c r="BF105" s="74"/>
      <c r="BG105" s="119"/>
      <c r="BH105" s="78"/>
      <c r="BI105" s="21"/>
      <c r="BJ105" s="21"/>
      <c r="BK105" s="21"/>
      <c r="BL105" s="73"/>
      <c r="BM105" s="21"/>
      <c r="BN105" s="74"/>
      <c r="BO105" s="220"/>
      <c r="BP105" s="119"/>
      <c r="BQ105" s="78"/>
      <c r="BR105" s="21"/>
      <c r="BS105" s="21"/>
      <c r="BT105" s="21"/>
      <c r="BU105" s="73"/>
      <c r="BV105" s="21"/>
      <c r="BW105" s="74"/>
      <c r="BX105" s="359"/>
      <c r="BY105" s="119"/>
      <c r="BZ105" s="78"/>
      <c r="CA105" s="21"/>
      <c r="CB105" s="21"/>
      <c r="CC105" s="21"/>
      <c r="CD105" s="73"/>
      <c r="CE105" s="84"/>
      <c r="CF105" s="74"/>
      <c r="CG105" s="359"/>
      <c r="CH105" s="119"/>
      <c r="CI105" s="314"/>
      <c r="CJ105" s="315"/>
      <c r="CK105" s="315"/>
      <c r="CL105" s="315"/>
      <c r="CM105" s="133"/>
      <c r="CN105" s="316"/>
      <c r="CO105" s="135"/>
      <c r="CP105" s="119"/>
      <c r="CQ105" s="314"/>
      <c r="CR105" s="315"/>
      <c r="CS105" s="315"/>
      <c r="CT105" s="315"/>
      <c r="CU105" s="133"/>
      <c r="CV105" s="316"/>
      <c r="CW105" s="135"/>
      <c r="CX105" s="119"/>
      <c r="CY105" s="314"/>
      <c r="CZ105" s="315"/>
      <c r="DA105" s="315"/>
      <c r="DB105" s="315"/>
      <c r="DC105" s="133"/>
      <c r="DD105" s="316"/>
      <c r="DE105" s="135"/>
      <c r="DF105" s="9"/>
      <c r="DG105" s="354"/>
      <c r="DH105" s="9"/>
      <c r="DI105" s="9"/>
      <c r="DJ105" s="9"/>
      <c r="DK105" s="9"/>
      <c r="DL105" s="9"/>
      <c r="DM105" s="9"/>
      <c r="DN105" s="9"/>
      <c r="DO105" s="9"/>
      <c r="DP105" s="9"/>
      <c r="DQ105" s="9"/>
      <c r="DR105" s="9"/>
      <c r="DS105" s="9"/>
      <c r="DT105" s="9"/>
      <c r="DU105" s="9"/>
      <c r="DV105" s="9"/>
      <c r="DW105" s="9"/>
      <c r="DX105" s="9"/>
      <c r="DY105" s="9"/>
      <c r="DZ105" s="9"/>
      <c r="EA105" s="9"/>
      <c r="EB105" s="9"/>
      <c r="EC105" s="9"/>
      <c r="ED105" s="9"/>
      <c r="EE105" s="9"/>
    </row>
    <row r="106" spans="1:135" s="7" customFormat="1" ht="13" customHeight="1">
      <c r="A106" s="396"/>
      <c r="B106" s="70" t="s">
        <v>119</v>
      </c>
      <c r="C106" s="325"/>
      <c r="D106" s="325"/>
      <c r="E106" s="325"/>
      <c r="F106" s="325"/>
      <c r="G106" s="14"/>
      <c r="H106" s="327"/>
      <c r="I106" s="14"/>
      <c r="J106" s="216"/>
      <c r="K106" s="111"/>
      <c r="L106" s="328"/>
      <c r="M106" s="325"/>
      <c r="N106" s="325"/>
      <c r="O106" s="325"/>
      <c r="P106" s="73"/>
      <c r="Q106" s="325"/>
      <c r="R106" s="74"/>
      <c r="S106" s="111"/>
      <c r="T106" s="154"/>
      <c r="U106" s="155"/>
      <c r="V106" s="155"/>
      <c r="W106" s="155"/>
      <c r="X106" s="87"/>
      <c r="Y106" s="155"/>
      <c r="Z106" s="88"/>
      <c r="AA106" s="111"/>
      <c r="AB106" s="72"/>
      <c r="AC106" s="66"/>
      <c r="AD106" s="66"/>
      <c r="AE106" s="66"/>
      <c r="AF106" s="73"/>
      <c r="AG106" s="155"/>
      <c r="AH106" s="74"/>
      <c r="AI106" s="111"/>
      <c r="AJ106" s="154"/>
      <c r="AK106" s="155"/>
      <c r="AL106" s="155"/>
      <c r="AM106" s="155"/>
      <c r="AN106" s="87"/>
      <c r="AO106" s="155"/>
      <c r="AP106" s="88"/>
      <c r="AQ106" s="111"/>
      <c r="AR106" s="154"/>
      <c r="AS106" s="155"/>
      <c r="AT106" s="155"/>
      <c r="AU106" s="155"/>
      <c r="AV106" s="87"/>
      <c r="AW106" s="155"/>
      <c r="AX106" s="88"/>
      <c r="AY106" s="111"/>
      <c r="AZ106" s="154"/>
      <c r="BA106" s="155"/>
      <c r="BB106" s="155"/>
      <c r="BC106" s="155"/>
      <c r="BD106" s="87"/>
      <c r="BE106" s="155"/>
      <c r="BF106" s="88"/>
      <c r="BG106" s="111"/>
      <c r="BH106" s="168"/>
      <c r="BI106" s="169"/>
      <c r="BJ106" s="169"/>
      <c r="BK106" s="169"/>
      <c r="BL106" s="87"/>
      <c r="BM106" s="155"/>
      <c r="BN106" s="88"/>
      <c r="BO106" s="216"/>
      <c r="BP106" s="111"/>
      <c r="BQ106" s="154"/>
      <c r="BR106" s="155"/>
      <c r="BS106" s="155"/>
      <c r="BT106" s="155"/>
      <c r="BU106" s="87"/>
      <c r="BV106" s="155"/>
      <c r="BW106" s="88"/>
      <c r="BX106" s="359"/>
      <c r="BY106" s="111"/>
      <c r="BZ106" s="154"/>
      <c r="CA106" s="155"/>
      <c r="CB106" s="155"/>
      <c r="CC106" s="155"/>
      <c r="CD106" s="87"/>
      <c r="CE106" s="155"/>
      <c r="CF106" s="88"/>
      <c r="CG106" s="359"/>
      <c r="CH106" s="111"/>
      <c r="CI106" s="157"/>
      <c r="CJ106" s="158"/>
      <c r="CK106" s="158"/>
      <c r="CL106" s="158"/>
      <c r="CM106" s="143"/>
      <c r="CN106" s="158"/>
      <c r="CO106" s="144"/>
      <c r="CP106" s="111"/>
      <c r="CQ106" s="157"/>
      <c r="CR106" s="158"/>
      <c r="CS106" s="158"/>
      <c r="CT106" s="158"/>
      <c r="CU106" s="143"/>
      <c r="CV106" s="158"/>
      <c r="CW106" s="144"/>
      <c r="CX106" s="111"/>
      <c r="CY106" s="157"/>
      <c r="CZ106" s="158"/>
      <c r="DA106" s="158"/>
      <c r="DB106" s="158"/>
      <c r="DC106" s="143"/>
      <c r="DD106" s="158"/>
      <c r="DE106" s="144"/>
      <c r="DF106" s="6"/>
      <c r="DG106" s="353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</row>
    <row r="107" spans="1:135" s="7" customFormat="1" ht="13" customHeight="1">
      <c r="A107" s="396"/>
      <c r="B107" s="70" t="s">
        <v>120</v>
      </c>
      <c r="C107" s="334">
        <f>C101*5%</f>
        <v>16432113.5</v>
      </c>
      <c r="D107" s="325"/>
      <c r="E107" s="325"/>
      <c r="F107" s="325"/>
      <c r="G107" s="14"/>
      <c r="H107" s="327"/>
      <c r="I107" s="14"/>
      <c r="J107" s="216"/>
      <c r="K107" s="111"/>
      <c r="L107" s="328"/>
      <c r="M107" s="325"/>
      <c r="N107" s="325"/>
      <c r="O107" s="325"/>
      <c r="P107" s="73"/>
      <c r="Q107" s="325"/>
      <c r="R107" s="74"/>
      <c r="S107" s="111"/>
      <c r="T107" s="154"/>
      <c r="U107" s="155"/>
      <c r="V107" s="155"/>
      <c r="W107" s="155"/>
      <c r="X107" s="87"/>
      <c r="Y107" s="155"/>
      <c r="Z107" s="88"/>
      <c r="AA107" s="111"/>
      <c r="AB107" s="72"/>
      <c r="AC107" s="66"/>
      <c r="AD107" s="66"/>
      <c r="AE107" s="66"/>
      <c r="AF107" s="73"/>
      <c r="AG107" s="155"/>
      <c r="AH107" s="74"/>
      <c r="AI107" s="111"/>
      <c r="AJ107" s="154"/>
      <c r="AK107" s="155"/>
      <c r="AL107" s="155"/>
      <c r="AM107" s="155"/>
      <c r="AN107" s="87"/>
      <c r="AO107" s="155"/>
      <c r="AP107" s="88"/>
      <c r="AQ107" s="111"/>
      <c r="AR107" s="154"/>
      <c r="AS107" s="155"/>
      <c r="AT107" s="155"/>
      <c r="AU107" s="155"/>
      <c r="AV107" s="87"/>
      <c r="AW107" s="155"/>
      <c r="AX107" s="88"/>
      <c r="AY107" s="111"/>
      <c r="AZ107" s="154"/>
      <c r="BA107" s="155"/>
      <c r="BB107" s="155"/>
      <c r="BC107" s="155"/>
      <c r="BD107" s="87"/>
      <c r="BE107" s="155"/>
      <c r="BF107" s="88"/>
      <c r="BG107" s="111"/>
      <c r="BH107" s="168"/>
      <c r="BI107" s="169"/>
      <c r="BJ107" s="169"/>
      <c r="BK107" s="169"/>
      <c r="BL107" s="87"/>
      <c r="BM107" s="155"/>
      <c r="BN107" s="88"/>
      <c r="BO107" s="216"/>
      <c r="BP107" s="111"/>
      <c r="BQ107" s="154"/>
      <c r="BR107" s="155"/>
      <c r="BS107" s="155"/>
      <c r="BT107" s="155"/>
      <c r="BU107" s="87"/>
      <c r="BV107" s="155"/>
      <c r="BW107" s="88"/>
      <c r="BX107" s="359"/>
      <c r="BY107" s="111"/>
      <c r="BZ107" s="154"/>
      <c r="CA107" s="155"/>
      <c r="CB107" s="155"/>
      <c r="CC107" s="155"/>
      <c r="CD107" s="87"/>
      <c r="CE107" s="155"/>
      <c r="CF107" s="88"/>
      <c r="CG107" s="359"/>
      <c r="CH107" s="111"/>
      <c r="CI107" s="157"/>
      <c r="CJ107" s="158"/>
      <c r="CK107" s="158"/>
      <c r="CL107" s="158"/>
      <c r="CM107" s="143"/>
      <c r="CN107" s="158"/>
      <c r="CO107" s="144"/>
      <c r="CP107" s="111"/>
      <c r="CQ107" s="157"/>
      <c r="CR107" s="158"/>
      <c r="CS107" s="158"/>
      <c r="CT107" s="158"/>
      <c r="CU107" s="143"/>
      <c r="CV107" s="158"/>
      <c r="CW107" s="144"/>
      <c r="CX107" s="111"/>
      <c r="CY107" s="157"/>
      <c r="CZ107" s="158"/>
      <c r="DA107" s="158"/>
      <c r="DB107" s="158"/>
      <c r="DC107" s="143"/>
      <c r="DD107" s="158"/>
      <c r="DE107" s="144"/>
      <c r="DF107" s="6"/>
      <c r="DG107" s="353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</row>
    <row r="108" spans="1:135" s="7" customFormat="1" ht="13" customHeight="1">
      <c r="A108" s="396"/>
      <c r="B108" s="70" t="s">
        <v>121</v>
      </c>
      <c r="C108" s="325"/>
      <c r="D108" s="325"/>
      <c r="E108" s="325"/>
      <c r="F108" s="325"/>
      <c r="G108" s="14"/>
      <c r="H108" s="327"/>
      <c r="I108" s="14"/>
      <c r="J108" s="216"/>
      <c r="K108" s="111"/>
      <c r="L108" s="328"/>
      <c r="M108" s="325"/>
      <c r="N108" s="325"/>
      <c r="O108" s="325"/>
      <c r="P108" s="73"/>
      <c r="Q108" s="325"/>
      <c r="R108" s="74"/>
      <c r="S108" s="111"/>
      <c r="T108" s="154"/>
      <c r="U108" s="155"/>
      <c r="V108" s="155"/>
      <c r="W108" s="155"/>
      <c r="X108" s="87"/>
      <c r="Y108" s="155"/>
      <c r="Z108" s="88"/>
      <c r="AA108" s="111"/>
      <c r="AB108" s="72"/>
      <c r="AC108" s="66"/>
      <c r="AD108" s="66"/>
      <c r="AE108" s="66"/>
      <c r="AF108" s="73"/>
      <c r="AG108" s="155"/>
      <c r="AH108" s="74"/>
      <c r="AI108" s="111"/>
      <c r="AJ108" s="154"/>
      <c r="AK108" s="155"/>
      <c r="AL108" s="155"/>
      <c r="AM108" s="155"/>
      <c r="AN108" s="87"/>
      <c r="AO108" s="155"/>
      <c r="AP108" s="88"/>
      <c r="AQ108" s="111"/>
      <c r="AR108" s="154"/>
      <c r="AS108" s="155"/>
      <c r="AT108" s="155"/>
      <c r="AU108" s="155"/>
      <c r="AV108" s="87"/>
      <c r="AW108" s="155"/>
      <c r="AX108" s="88"/>
      <c r="AY108" s="111"/>
      <c r="AZ108" s="154"/>
      <c r="BA108" s="155"/>
      <c r="BB108" s="155"/>
      <c r="BC108" s="155"/>
      <c r="BD108" s="87"/>
      <c r="BE108" s="155"/>
      <c r="BF108" s="88"/>
      <c r="BG108" s="111"/>
      <c r="BH108" s="168"/>
      <c r="BI108" s="169"/>
      <c r="BJ108" s="169"/>
      <c r="BK108" s="169"/>
      <c r="BL108" s="87"/>
      <c r="BM108" s="155"/>
      <c r="BN108" s="88"/>
      <c r="BO108" s="216"/>
      <c r="BP108" s="111"/>
      <c r="BQ108" s="154"/>
      <c r="BR108" s="155"/>
      <c r="BS108" s="155"/>
      <c r="BT108" s="155"/>
      <c r="BU108" s="87"/>
      <c r="BV108" s="155"/>
      <c r="BW108" s="88"/>
      <c r="BX108" s="359"/>
      <c r="BY108" s="111"/>
      <c r="BZ108" s="154"/>
      <c r="CA108" s="155"/>
      <c r="CB108" s="155"/>
      <c r="CC108" s="155"/>
      <c r="CD108" s="87"/>
      <c r="CE108" s="155"/>
      <c r="CF108" s="88"/>
      <c r="CG108" s="359"/>
      <c r="CH108" s="111"/>
      <c r="CI108" s="157"/>
      <c r="CJ108" s="158"/>
      <c r="CK108" s="158"/>
      <c r="CL108" s="158"/>
      <c r="CM108" s="143"/>
      <c r="CN108" s="158"/>
      <c r="CO108" s="144"/>
      <c r="CP108" s="111"/>
      <c r="CQ108" s="157"/>
      <c r="CR108" s="158"/>
      <c r="CS108" s="158"/>
      <c r="CT108" s="158"/>
      <c r="CU108" s="143"/>
      <c r="CV108" s="158"/>
      <c r="CW108" s="144"/>
      <c r="CX108" s="111"/>
      <c r="CY108" s="157"/>
      <c r="CZ108" s="158"/>
      <c r="DA108" s="158"/>
      <c r="DB108" s="158"/>
      <c r="DC108" s="143"/>
      <c r="DD108" s="158"/>
      <c r="DE108" s="144"/>
      <c r="DF108" s="6"/>
      <c r="DG108" s="353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</row>
    <row r="109" spans="1:135" s="7" customFormat="1" ht="13" customHeight="1">
      <c r="A109" s="396"/>
      <c r="B109" s="70" t="s">
        <v>122</v>
      </c>
      <c r="C109" s="325"/>
      <c r="D109" s="325"/>
      <c r="E109" s="325"/>
      <c r="F109" s="325"/>
      <c r="G109" s="14"/>
      <c r="H109" s="327"/>
      <c r="I109" s="14"/>
      <c r="J109" s="216"/>
      <c r="K109" s="111"/>
      <c r="L109" s="328"/>
      <c r="M109" s="325"/>
      <c r="N109" s="325"/>
      <c r="O109" s="325"/>
      <c r="P109" s="73"/>
      <c r="Q109" s="325"/>
      <c r="R109" s="74"/>
      <c r="S109" s="111"/>
      <c r="T109" s="154"/>
      <c r="U109" s="155"/>
      <c r="V109" s="155"/>
      <c r="W109" s="155"/>
      <c r="X109" s="87"/>
      <c r="Y109" s="155"/>
      <c r="Z109" s="88"/>
      <c r="AA109" s="111"/>
      <c r="AB109" s="72"/>
      <c r="AC109" s="66"/>
      <c r="AD109" s="66"/>
      <c r="AE109" s="66"/>
      <c r="AF109" s="73"/>
      <c r="AG109" s="155"/>
      <c r="AH109" s="74"/>
      <c r="AI109" s="111"/>
      <c r="AJ109" s="154"/>
      <c r="AK109" s="155"/>
      <c r="AL109" s="155"/>
      <c r="AM109" s="155"/>
      <c r="AN109" s="87"/>
      <c r="AO109" s="155"/>
      <c r="AP109" s="88"/>
      <c r="AQ109" s="111"/>
      <c r="AR109" s="154"/>
      <c r="AS109" s="155"/>
      <c r="AT109" s="155"/>
      <c r="AU109" s="155"/>
      <c r="AV109" s="87"/>
      <c r="AW109" s="155"/>
      <c r="AX109" s="88"/>
      <c r="AY109" s="111"/>
      <c r="AZ109" s="154"/>
      <c r="BA109" s="155"/>
      <c r="BB109" s="155"/>
      <c r="BC109" s="155"/>
      <c r="BD109" s="87"/>
      <c r="BE109" s="155"/>
      <c r="BF109" s="88"/>
      <c r="BG109" s="111"/>
      <c r="BH109" s="168"/>
      <c r="BI109" s="169"/>
      <c r="BJ109" s="169"/>
      <c r="BK109" s="169"/>
      <c r="BL109" s="87"/>
      <c r="BM109" s="155"/>
      <c r="BN109" s="88"/>
      <c r="BO109" s="216"/>
      <c r="BP109" s="111"/>
      <c r="BQ109" s="154"/>
      <c r="BR109" s="155"/>
      <c r="BS109" s="155"/>
      <c r="BT109" s="155"/>
      <c r="BU109" s="87"/>
      <c r="BV109" s="155"/>
      <c r="BW109" s="88"/>
      <c r="BX109" s="359"/>
      <c r="BY109" s="111"/>
      <c r="BZ109" s="154"/>
      <c r="CA109" s="155"/>
      <c r="CB109" s="155"/>
      <c r="CC109" s="155"/>
      <c r="CD109" s="87"/>
      <c r="CE109" s="155"/>
      <c r="CF109" s="88"/>
      <c r="CG109" s="359"/>
      <c r="CH109" s="111"/>
      <c r="CI109" s="157"/>
      <c r="CJ109" s="158"/>
      <c r="CK109" s="158"/>
      <c r="CL109" s="158"/>
      <c r="CM109" s="143"/>
      <c r="CN109" s="158"/>
      <c r="CO109" s="144"/>
      <c r="CP109" s="111"/>
      <c r="CQ109" s="157"/>
      <c r="CR109" s="158"/>
      <c r="CS109" s="158"/>
      <c r="CT109" s="158"/>
      <c r="CU109" s="143"/>
      <c r="CV109" s="158"/>
      <c r="CW109" s="144"/>
      <c r="CX109" s="111"/>
      <c r="CY109" s="157"/>
      <c r="CZ109" s="158"/>
      <c r="DA109" s="158"/>
      <c r="DB109" s="158"/>
      <c r="DC109" s="143"/>
      <c r="DD109" s="158"/>
      <c r="DE109" s="144"/>
      <c r="DF109" s="6"/>
      <c r="DG109" s="353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</row>
    <row r="110" spans="1:135" s="11" customFormat="1" ht="13.15" customHeight="1">
      <c r="A110" s="396"/>
      <c r="B110" s="70" t="s">
        <v>14</v>
      </c>
      <c r="C110" s="325">
        <f>SUM(L110,T110,AB110,AJ110,AR110,AZ110,BH110,BQ110,BZ110,CI110,CQ110,CY110)</f>
        <v>1954000000</v>
      </c>
      <c r="D110" s="325">
        <f t="shared" si="518"/>
        <v>1290748000</v>
      </c>
      <c r="E110" s="325">
        <f t="shared" si="519"/>
        <v>663251999</v>
      </c>
      <c r="F110" s="325">
        <f t="shared" si="520"/>
        <v>663252000</v>
      </c>
      <c r="G110" s="14">
        <f t="shared" si="521"/>
        <v>0.66056704196519955</v>
      </c>
      <c r="H110" s="325">
        <f t="shared" si="522"/>
        <v>2541063315</v>
      </c>
      <c r="I110" s="14">
        <f>H110/C110</f>
        <v>1.3004418193449334</v>
      </c>
      <c r="J110" s="220">
        <f>F110*$A$115</f>
        <v>3316260</v>
      </c>
      <c r="K110" s="125"/>
      <c r="L110" s="328">
        <v>220000000</v>
      </c>
      <c r="M110" s="325">
        <v>134000000</v>
      </c>
      <c r="N110" s="325">
        <v>86000000</v>
      </c>
      <c r="O110" s="325">
        <v>86000000</v>
      </c>
      <c r="P110" s="73">
        <f t="shared" si="524"/>
        <v>0.60909090909090913</v>
      </c>
      <c r="Q110" s="325">
        <v>233696773</v>
      </c>
      <c r="R110" s="74">
        <f>Q110/L110</f>
        <v>1.0622580590909092</v>
      </c>
      <c r="S110" s="125"/>
      <c r="T110" s="168">
        <v>250000000</v>
      </c>
      <c r="U110" s="169">
        <v>158800000</v>
      </c>
      <c r="V110" s="169">
        <v>91200000</v>
      </c>
      <c r="W110" s="169">
        <v>91200000</v>
      </c>
      <c r="X110" s="87">
        <f t="shared" si="526"/>
        <v>0.63519999999999999</v>
      </c>
      <c r="Y110" s="170">
        <v>361445089</v>
      </c>
      <c r="Z110" s="88">
        <f>Y110/T110</f>
        <v>1.445780356</v>
      </c>
      <c r="AA110" s="125"/>
      <c r="AB110" s="165">
        <v>275000000</v>
      </c>
      <c r="AC110" s="166">
        <v>181648000</v>
      </c>
      <c r="AD110" s="166">
        <v>93352000</v>
      </c>
      <c r="AE110" s="166">
        <v>93352000</v>
      </c>
      <c r="AF110" s="87">
        <f t="shared" si="528"/>
        <v>0.6605381818181818</v>
      </c>
      <c r="AG110" s="166">
        <v>453645414</v>
      </c>
      <c r="AH110" s="88">
        <f>AG110/AB110</f>
        <v>1.6496196872727273</v>
      </c>
      <c r="AI110" s="125"/>
      <c r="AJ110" s="168">
        <v>275000000</v>
      </c>
      <c r="AK110" s="169">
        <v>187300000</v>
      </c>
      <c r="AL110" s="169">
        <v>87700000</v>
      </c>
      <c r="AM110" s="169">
        <v>87700000</v>
      </c>
      <c r="AN110" s="87">
        <f t="shared" si="530"/>
        <v>0.68109090909090908</v>
      </c>
      <c r="AO110" s="169">
        <v>369952944</v>
      </c>
      <c r="AP110" s="88">
        <f>AO110/AJ110</f>
        <v>1.3452834327272727</v>
      </c>
      <c r="AQ110" s="125"/>
      <c r="AR110" s="165">
        <v>275000000</v>
      </c>
      <c r="AS110" s="166">
        <v>188000000</v>
      </c>
      <c r="AT110" s="166">
        <v>87000000</v>
      </c>
      <c r="AU110" s="166">
        <v>87000000</v>
      </c>
      <c r="AV110" s="87">
        <f t="shared" si="532"/>
        <v>0.6836363636363636</v>
      </c>
      <c r="AW110" s="166">
        <v>382718151</v>
      </c>
      <c r="AX110" s="88">
        <f>AW110/AR110</f>
        <v>1.3917023672727273</v>
      </c>
      <c r="AY110" s="125"/>
      <c r="AZ110" s="168">
        <v>275000000</v>
      </c>
      <c r="BA110" s="169">
        <v>188000000</v>
      </c>
      <c r="BB110" s="169">
        <v>87000000</v>
      </c>
      <c r="BC110" s="169">
        <v>87000000</v>
      </c>
      <c r="BD110" s="87">
        <f t="shared" si="534"/>
        <v>0.6836363636363636</v>
      </c>
      <c r="BE110" s="169">
        <v>340143400</v>
      </c>
      <c r="BF110" s="88">
        <f>BE110/AZ110</f>
        <v>1.2368850909090909</v>
      </c>
      <c r="BG110" s="125"/>
      <c r="BH110" s="323">
        <v>128000000</v>
      </c>
      <c r="BI110" s="324">
        <v>83500000</v>
      </c>
      <c r="BJ110" s="324">
        <v>44499999</v>
      </c>
      <c r="BK110" s="324">
        <v>44500000</v>
      </c>
      <c r="BL110" s="73">
        <f t="shared" si="536"/>
        <v>0.65234375</v>
      </c>
      <c r="BM110" s="322">
        <v>129879435</v>
      </c>
      <c r="BN110" s="74">
        <f>BM110/BH110</f>
        <v>1.0146830859375</v>
      </c>
      <c r="BO110" s="220">
        <f>BK110*$A$115</f>
        <v>222500</v>
      </c>
      <c r="BP110" s="125"/>
      <c r="BQ110" s="360">
        <v>128000000</v>
      </c>
      <c r="BR110" s="361">
        <f t="shared" ref="BR110:BR113" si="548">BQ110-BT110</f>
        <v>83500000</v>
      </c>
      <c r="BS110" s="361">
        <v>44500000</v>
      </c>
      <c r="BT110" s="361">
        <v>44500000</v>
      </c>
      <c r="BU110" s="73">
        <f t="shared" si="538"/>
        <v>0.65234375</v>
      </c>
      <c r="BV110" s="361">
        <v>133403926</v>
      </c>
      <c r="BW110" s="74">
        <f>BV110/BQ110</f>
        <v>1.0422181718750001</v>
      </c>
      <c r="BX110" s="359">
        <f>BT110*$A$115</f>
        <v>222500</v>
      </c>
      <c r="BY110" s="125"/>
      <c r="BZ110" s="360">
        <v>128000000</v>
      </c>
      <c r="CA110" s="361">
        <v>86000000</v>
      </c>
      <c r="CB110" s="361">
        <v>42000000</v>
      </c>
      <c r="CC110" s="361">
        <v>42000000</v>
      </c>
      <c r="CD110" s="73">
        <f t="shared" si="540"/>
        <v>0.671875</v>
      </c>
      <c r="CE110" s="166">
        <v>136178183</v>
      </c>
      <c r="CF110" s="74">
        <f>CE110/BZ110</f>
        <v>1.0638920546874999</v>
      </c>
      <c r="CG110" s="359">
        <f>CC110*$A$115</f>
        <v>210000</v>
      </c>
      <c r="CH110" s="125"/>
      <c r="CI110" s="178"/>
      <c r="CJ110" s="174"/>
      <c r="CK110" s="174"/>
      <c r="CL110" s="174"/>
      <c r="CM110" s="133" t="e">
        <f t="shared" si="542"/>
        <v>#DIV/0!</v>
      </c>
      <c r="CN110" s="175"/>
      <c r="CO110" s="135" t="e">
        <f>CN110/CI110</f>
        <v>#DIV/0!</v>
      </c>
      <c r="CP110" s="125"/>
      <c r="CQ110" s="178"/>
      <c r="CR110" s="174"/>
      <c r="CS110" s="174"/>
      <c r="CT110" s="174"/>
      <c r="CU110" s="133" t="e">
        <f t="shared" si="544"/>
        <v>#DIV/0!</v>
      </c>
      <c r="CV110" s="175"/>
      <c r="CW110" s="135" t="e">
        <f>CV110/CQ110</f>
        <v>#DIV/0!</v>
      </c>
      <c r="CX110" s="125"/>
      <c r="CY110" s="178"/>
      <c r="CZ110" s="174"/>
      <c r="DA110" s="174"/>
      <c r="DB110" s="174"/>
      <c r="DC110" s="133" t="e">
        <f t="shared" si="546"/>
        <v>#DIV/0!</v>
      </c>
      <c r="DD110" s="175"/>
      <c r="DE110" s="135" t="e">
        <f>DD110/CY110</f>
        <v>#DIV/0!</v>
      </c>
      <c r="DF110" s="9"/>
      <c r="DG110" s="354"/>
      <c r="DH110" s="9"/>
      <c r="DI110" s="9"/>
      <c r="DJ110" s="9"/>
      <c r="DK110" s="9"/>
      <c r="DL110" s="9"/>
      <c r="DM110" s="9"/>
      <c r="DN110" s="9"/>
      <c r="DO110" s="9"/>
      <c r="DP110" s="9"/>
      <c r="DQ110" s="9"/>
      <c r="DR110" s="9"/>
      <c r="DS110" s="9"/>
      <c r="DT110" s="9"/>
      <c r="DU110" s="9"/>
      <c r="DV110" s="9"/>
      <c r="DW110" s="9"/>
      <c r="DX110" s="9"/>
      <c r="DY110" s="9"/>
      <c r="DZ110" s="9"/>
      <c r="EA110" s="9"/>
      <c r="EB110" s="9"/>
      <c r="EC110" s="9"/>
      <c r="ED110" s="9"/>
      <c r="EE110" s="9"/>
    </row>
    <row r="111" spans="1:135" s="11" customFormat="1" ht="13.15" customHeight="1">
      <c r="A111" s="396"/>
      <c r="B111" s="70" t="s">
        <v>15</v>
      </c>
      <c r="C111" s="325">
        <f>SUM(L111,T111,AB111,AJ111,AR111,AZ111,BH111,BQ111,BZ111,CI111,CQ111,CY111)</f>
        <v>595000000</v>
      </c>
      <c r="D111" s="325">
        <f t="shared" ref="D111" si="549">SUM(M111,U111,AC111,AK111,AS111,BA111,BI111,BR111,CA111,CJ111,CR111,CZ111)</f>
        <v>327647260</v>
      </c>
      <c r="E111" s="325">
        <f t="shared" ref="E111" si="550">SUM(N111,V111,AD111,AL111,AT111,BB111,BJ111,BS111,CB111,CK111,CS111,DA111)</f>
        <v>97352740</v>
      </c>
      <c r="F111" s="325">
        <f t="shared" ref="F111" si="551">SUM(O111,W111,AE111,AM111,AU111,BC111,BK111,BT111,CC111,CL111,CT111,DB111)</f>
        <v>97352740</v>
      </c>
      <c r="G111" s="14">
        <f t="shared" ref="G111" si="552">D111/C111</f>
        <v>0.55066766386554622</v>
      </c>
      <c r="H111" s="325">
        <f t="shared" ref="H111" si="553">SUM(Q111,Y111,AG111,AO111,AW111,BE111,BM111,BV111,CE111,CN111,CV111,DD111)</f>
        <v>12131612</v>
      </c>
      <c r="I111" s="14">
        <f>H111/C111</f>
        <v>2.0389263865546219E-2</v>
      </c>
      <c r="J111" s="220">
        <f>F111*$A$115</f>
        <v>486763.7</v>
      </c>
      <c r="K111" s="125"/>
      <c r="L111" s="328">
        <v>0</v>
      </c>
      <c r="M111" s="325">
        <v>0</v>
      </c>
      <c r="N111" s="325">
        <v>0</v>
      </c>
      <c r="O111" s="325">
        <v>0</v>
      </c>
      <c r="P111" s="73" t="e">
        <f t="shared" si="524"/>
        <v>#DIV/0!</v>
      </c>
      <c r="Q111" s="325">
        <v>0</v>
      </c>
      <c r="R111" s="74" t="e">
        <f>Q111/L111</f>
        <v>#DIV/0!</v>
      </c>
      <c r="S111" s="125"/>
      <c r="T111" s="168">
        <v>85000000</v>
      </c>
      <c r="U111" s="169">
        <v>37583697</v>
      </c>
      <c r="V111" s="169">
        <v>47416303</v>
      </c>
      <c r="W111" s="169">
        <v>47416303</v>
      </c>
      <c r="X111" s="87">
        <f t="shared" si="526"/>
        <v>0.4421611411764706</v>
      </c>
      <c r="Y111" s="170">
        <v>0</v>
      </c>
      <c r="Z111" s="88">
        <f>Y111/T111</f>
        <v>0</v>
      </c>
      <c r="AA111" s="125"/>
      <c r="AB111" s="165">
        <v>85000000</v>
      </c>
      <c r="AC111" s="166">
        <v>66048564</v>
      </c>
      <c r="AD111" s="166">
        <v>18951436</v>
      </c>
      <c r="AE111" s="166">
        <v>18951436</v>
      </c>
      <c r="AF111" s="87">
        <f>AC111/AB111</f>
        <v>0.77704192941176475</v>
      </c>
      <c r="AG111" s="166">
        <v>0</v>
      </c>
      <c r="AH111" s="88">
        <f>AG111/AB111</f>
        <v>0</v>
      </c>
      <c r="AI111" s="125"/>
      <c r="AJ111" s="168">
        <v>85000000</v>
      </c>
      <c r="AK111" s="169">
        <v>78247792</v>
      </c>
      <c r="AL111" s="169">
        <v>6752208</v>
      </c>
      <c r="AM111" s="169">
        <v>6752208</v>
      </c>
      <c r="AN111" s="87">
        <f>AK111/AJ111</f>
        <v>0.92056225882352938</v>
      </c>
      <c r="AO111" s="169">
        <v>0</v>
      </c>
      <c r="AP111" s="88">
        <f>AO111/AJ111</f>
        <v>0</v>
      </c>
      <c r="AQ111" s="125"/>
      <c r="AR111" s="165">
        <v>85000000</v>
      </c>
      <c r="AS111" s="166">
        <v>0</v>
      </c>
      <c r="AT111" s="166">
        <v>0</v>
      </c>
      <c r="AU111" s="166">
        <v>0</v>
      </c>
      <c r="AV111" s="87">
        <f>AS111/AR111</f>
        <v>0</v>
      </c>
      <c r="AW111" s="166">
        <v>0</v>
      </c>
      <c r="AX111" s="88">
        <f>AW111/AR111</f>
        <v>0</v>
      </c>
      <c r="AY111" s="125"/>
      <c r="AZ111" s="168">
        <v>85000000</v>
      </c>
      <c r="BA111" s="169">
        <v>73512969</v>
      </c>
      <c r="BB111" s="169">
        <v>11487031</v>
      </c>
      <c r="BC111" s="169">
        <v>11487031</v>
      </c>
      <c r="BD111" s="87">
        <f>BA111/AZ111</f>
        <v>0.86485845882352941</v>
      </c>
      <c r="BE111" s="169">
        <v>12131612</v>
      </c>
      <c r="BF111" s="88">
        <f>BE111/AZ111</f>
        <v>0.14272484705882352</v>
      </c>
      <c r="BG111" s="125"/>
      <c r="BH111" s="323">
        <v>85000000</v>
      </c>
      <c r="BI111" s="324">
        <v>0</v>
      </c>
      <c r="BJ111" s="324">
        <v>0</v>
      </c>
      <c r="BK111" s="324">
        <v>0</v>
      </c>
      <c r="BL111" s="73">
        <f>BI111/BH111</f>
        <v>0</v>
      </c>
      <c r="BM111" s="322"/>
      <c r="BN111" s="74">
        <f>BM111/BH111</f>
        <v>0</v>
      </c>
      <c r="BO111" s="220">
        <f>BK111*$A$115</f>
        <v>0</v>
      </c>
      <c r="BP111" s="125"/>
      <c r="BQ111" s="360">
        <f t="shared" ref="BQ111" si="554">BJ111</f>
        <v>0</v>
      </c>
      <c r="BR111" s="361">
        <v>0</v>
      </c>
      <c r="BS111" s="361">
        <f t="shared" ref="BS111:BT111" si="555">BR111</f>
        <v>0</v>
      </c>
      <c r="BT111" s="361">
        <f t="shared" si="555"/>
        <v>0</v>
      </c>
      <c r="BU111" s="73" t="e">
        <f>BR111/BQ111</f>
        <v>#DIV/0!</v>
      </c>
      <c r="BV111" s="361">
        <v>0</v>
      </c>
      <c r="BW111" s="74" t="e">
        <f>BV111/BQ111</f>
        <v>#DIV/0!</v>
      </c>
      <c r="BX111" s="359">
        <f>BT111*$A$115</f>
        <v>0</v>
      </c>
      <c r="BY111" s="125"/>
      <c r="BZ111" s="360">
        <v>85000000</v>
      </c>
      <c r="CA111" s="361">
        <v>72254238</v>
      </c>
      <c r="CB111" s="361">
        <v>12745762</v>
      </c>
      <c r="CC111" s="361">
        <v>12745762</v>
      </c>
      <c r="CD111" s="73">
        <f>CA111/BZ111</f>
        <v>0.85004985882352946</v>
      </c>
      <c r="CE111" s="322"/>
      <c r="CF111" s="74">
        <f>CE111/BZ111</f>
        <v>0</v>
      </c>
      <c r="CG111" s="359">
        <f>CC111*$A$115</f>
        <v>63728.810000000005</v>
      </c>
      <c r="CH111" s="125"/>
      <c r="CI111" s="178"/>
      <c r="CJ111" s="174"/>
      <c r="CK111" s="174"/>
      <c r="CL111" s="174"/>
      <c r="CM111" s="133" t="e">
        <f>CJ111/CI111</f>
        <v>#DIV/0!</v>
      </c>
      <c r="CN111" s="175"/>
      <c r="CO111" s="135" t="e">
        <f>CN111/CI111</f>
        <v>#DIV/0!</v>
      </c>
      <c r="CP111" s="125"/>
      <c r="CQ111" s="178"/>
      <c r="CR111" s="174"/>
      <c r="CS111" s="174"/>
      <c r="CT111" s="174"/>
      <c r="CU111" s="133" t="e">
        <f>CR111/CQ111</f>
        <v>#DIV/0!</v>
      </c>
      <c r="CV111" s="175"/>
      <c r="CW111" s="135" t="e">
        <f>CV111/CQ111</f>
        <v>#DIV/0!</v>
      </c>
      <c r="CX111" s="125"/>
      <c r="CY111" s="178"/>
      <c r="CZ111" s="174"/>
      <c r="DA111" s="174"/>
      <c r="DB111" s="174"/>
      <c r="DC111" s="133" t="e">
        <f>CZ111/CY111</f>
        <v>#DIV/0!</v>
      </c>
      <c r="DD111" s="175"/>
      <c r="DE111" s="135" t="e">
        <f>DD111/CY111</f>
        <v>#DIV/0!</v>
      </c>
      <c r="DF111" s="9"/>
      <c r="DG111" s="354"/>
      <c r="DH111" s="9"/>
      <c r="DI111" s="9"/>
      <c r="DJ111" s="9"/>
      <c r="DK111" s="9"/>
      <c r="DL111" s="9"/>
      <c r="DM111" s="9"/>
      <c r="DN111" s="9"/>
      <c r="DO111" s="9"/>
      <c r="DP111" s="9"/>
      <c r="DQ111" s="9"/>
      <c r="DR111" s="9"/>
      <c r="DS111" s="9"/>
      <c r="DT111" s="9"/>
      <c r="DU111" s="9"/>
      <c r="DV111" s="9"/>
      <c r="DW111" s="9"/>
      <c r="DX111" s="9"/>
      <c r="DY111" s="9"/>
      <c r="DZ111" s="9"/>
      <c r="EA111" s="9"/>
      <c r="EB111" s="9"/>
      <c r="EC111" s="9"/>
      <c r="ED111" s="9"/>
      <c r="EE111" s="9"/>
    </row>
    <row r="112" spans="1:135" s="11" customFormat="1" ht="13.15" customHeight="1">
      <c r="A112" s="396"/>
      <c r="B112" s="70" t="s">
        <v>16</v>
      </c>
      <c r="C112" s="325">
        <f>SUM(L112,T112,AB112,AJ112,AR112,AZ112,BH112,BQ112,BZ112,CI112,CQ112,CY112)</f>
        <v>38000000</v>
      </c>
      <c r="D112" s="325">
        <f t="shared" si="518"/>
        <v>24000000</v>
      </c>
      <c r="E112" s="325">
        <f t="shared" si="519"/>
        <v>14000000</v>
      </c>
      <c r="F112" s="325">
        <f t="shared" si="520"/>
        <v>14000000</v>
      </c>
      <c r="G112" s="14">
        <f t="shared" si="521"/>
        <v>0.63157894736842102</v>
      </c>
      <c r="H112" s="325">
        <f t="shared" si="522"/>
        <v>0</v>
      </c>
      <c r="I112" s="14">
        <f t="shared" ref="I112" si="556">H112/C112</f>
        <v>0</v>
      </c>
      <c r="J112" s="220">
        <f>F112*$A$115</f>
        <v>70000</v>
      </c>
      <c r="K112" s="125"/>
      <c r="L112" s="328">
        <v>38000000</v>
      </c>
      <c r="M112" s="325">
        <v>24000000</v>
      </c>
      <c r="N112" s="325">
        <v>14000000</v>
      </c>
      <c r="O112" s="325">
        <v>14000000</v>
      </c>
      <c r="P112" s="73">
        <f>M112/L112</f>
        <v>0.63157894736842102</v>
      </c>
      <c r="Q112" s="325">
        <v>0</v>
      </c>
      <c r="R112" s="74">
        <f t="shared" ref="R112" si="557">Q112/L112</f>
        <v>0</v>
      </c>
      <c r="S112" s="125"/>
      <c r="T112" s="168">
        <v>0</v>
      </c>
      <c r="U112" s="169">
        <v>0</v>
      </c>
      <c r="V112" s="169">
        <v>0</v>
      </c>
      <c r="W112" s="169">
        <v>0</v>
      </c>
      <c r="X112" s="87" t="e">
        <f>U112/T112</f>
        <v>#DIV/0!</v>
      </c>
      <c r="Y112" s="170">
        <v>0</v>
      </c>
      <c r="Z112" s="88" t="e">
        <f t="shared" ref="Z112" si="558">Y112/T112</f>
        <v>#DIV/0!</v>
      </c>
      <c r="AA112" s="125"/>
      <c r="AB112" s="165">
        <v>0</v>
      </c>
      <c r="AC112" s="166">
        <v>0</v>
      </c>
      <c r="AD112" s="166">
        <v>0</v>
      </c>
      <c r="AE112" s="166">
        <v>0</v>
      </c>
      <c r="AF112" s="87" t="e">
        <f>AC112/AB112</f>
        <v>#DIV/0!</v>
      </c>
      <c r="AG112" s="166">
        <v>0</v>
      </c>
      <c r="AH112" s="88" t="e">
        <f t="shared" ref="AH112" si="559">AG112/AB112</f>
        <v>#DIV/0!</v>
      </c>
      <c r="AI112" s="125"/>
      <c r="AJ112" s="168">
        <v>0</v>
      </c>
      <c r="AK112" s="169">
        <v>0</v>
      </c>
      <c r="AL112" s="169">
        <v>0</v>
      </c>
      <c r="AM112" s="169">
        <v>0</v>
      </c>
      <c r="AN112" s="87" t="e">
        <f>AK112/AJ112</f>
        <v>#DIV/0!</v>
      </c>
      <c r="AO112" s="169">
        <v>0</v>
      </c>
      <c r="AP112" s="88" t="e">
        <f t="shared" ref="AP112" si="560">AO112/AJ112</f>
        <v>#DIV/0!</v>
      </c>
      <c r="AQ112" s="125"/>
      <c r="AR112" s="165"/>
      <c r="AS112" s="166"/>
      <c r="AT112" s="166"/>
      <c r="AU112" s="166"/>
      <c r="AV112" s="87" t="e">
        <f>AS112/AR112</f>
        <v>#DIV/0!</v>
      </c>
      <c r="AW112" s="166"/>
      <c r="AX112" s="88" t="e">
        <f t="shared" ref="AX112" si="561">AW112/AR112</f>
        <v>#DIV/0!</v>
      </c>
      <c r="AY112" s="125"/>
      <c r="AZ112" s="168">
        <v>0</v>
      </c>
      <c r="BA112" s="169">
        <v>0</v>
      </c>
      <c r="BB112" s="169">
        <v>0</v>
      </c>
      <c r="BC112" s="169">
        <v>0</v>
      </c>
      <c r="BD112" s="87" t="e">
        <f>BA112/AZ112</f>
        <v>#DIV/0!</v>
      </c>
      <c r="BE112" s="169">
        <v>0</v>
      </c>
      <c r="BF112" s="88" t="e">
        <f t="shared" ref="BF112" si="562">BE112/AZ112</f>
        <v>#DIV/0!</v>
      </c>
      <c r="BG112" s="125"/>
      <c r="BH112" s="323"/>
      <c r="BI112" s="324"/>
      <c r="BJ112" s="324"/>
      <c r="BK112" s="324"/>
      <c r="BL112" s="73" t="e">
        <f>BI112/BH112</f>
        <v>#DIV/0!</v>
      </c>
      <c r="BM112" s="322"/>
      <c r="BN112" s="74" t="e">
        <f t="shared" ref="BN112" si="563">BM112/BH112</f>
        <v>#DIV/0!</v>
      </c>
      <c r="BO112" s="220">
        <f>BK112*$A$115</f>
        <v>0</v>
      </c>
      <c r="BP112" s="125"/>
      <c r="BQ112" s="360">
        <v>0</v>
      </c>
      <c r="BR112" s="361">
        <v>0</v>
      </c>
      <c r="BS112" s="361">
        <v>0</v>
      </c>
      <c r="BT112" s="361">
        <v>0</v>
      </c>
      <c r="BU112" s="73" t="e">
        <f>BR112/BQ112</f>
        <v>#DIV/0!</v>
      </c>
      <c r="BV112" s="361">
        <v>0</v>
      </c>
      <c r="BW112" s="74" t="e">
        <f t="shared" ref="BW112" si="564">BV112/BQ112</f>
        <v>#DIV/0!</v>
      </c>
      <c r="BX112" s="359">
        <f>BT112*$A$115</f>
        <v>0</v>
      </c>
      <c r="BY112" s="125"/>
      <c r="BZ112" s="360"/>
      <c r="CA112" s="361"/>
      <c r="CB112" s="361"/>
      <c r="CC112" s="361"/>
      <c r="CD112" s="73" t="e">
        <f>CA112/BZ112</f>
        <v>#DIV/0!</v>
      </c>
      <c r="CE112" s="322"/>
      <c r="CF112" s="74" t="e">
        <f t="shared" ref="CF112" si="565">CE112/BZ112</f>
        <v>#DIV/0!</v>
      </c>
      <c r="CG112" s="359">
        <f>CC112*$A$115</f>
        <v>0</v>
      </c>
      <c r="CH112" s="125"/>
      <c r="CI112" s="178"/>
      <c r="CJ112" s="174"/>
      <c r="CK112" s="174"/>
      <c r="CL112" s="174"/>
      <c r="CM112" s="133" t="e">
        <f>CJ112/CI112</f>
        <v>#DIV/0!</v>
      </c>
      <c r="CN112" s="175"/>
      <c r="CO112" s="135" t="e">
        <f t="shared" ref="CO112" si="566">CN112/CI112</f>
        <v>#DIV/0!</v>
      </c>
      <c r="CP112" s="125"/>
      <c r="CQ112" s="178"/>
      <c r="CR112" s="174"/>
      <c r="CS112" s="174"/>
      <c r="CT112" s="174"/>
      <c r="CU112" s="133" t="e">
        <f>CR112/CQ112</f>
        <v>#DIV/0!</v>
      </c>
      <c r="CV112" s="175"/>
      <c r="CW112" s="135" t="e">
        <f t="shared" ref="CW112" si="567">CV112/CQ112</f>
        <v>#DIV/0!</v>
      </c>
      <c r="CX112" s="125"/>
      <c r="CY112" s="178"/>
      <c r="CZ112" s="174"/>
      <c r="DA112" s="174"/>
      <c r="DB112" s="174"/>
      <c r="DC112" s="133" t="e">
        <f>CZ112/CY112</f>
        <v>#DIV/0!</v>
      </c>
      <c r="DD112" s="175"/>
      <c r="DE112" s="135" t="e">
        <f t="shared" ref="DE112" si="568">DD112/CY112</f>
        <v>#DIV/0!</v>
      </c>
      <c r="DF112" s="9"/>
      <c r="DG112" s="354"/>
      <c r="DH112" s="9"/>
      <c r="DI112" s="9"/>
      <c r="DJ112" s="9"/>
      <c r="DK112" s="9"/>
      <c r="DL112" s="9"/>
      <c r="DM112" s="9"/>
      <c r="DN112" s="9"/>
      <c r="DO112" s="9"/>
      <c r="DP112" s="9"/>
      <c r="DQ112" s="9"/>
      <c r="DR112" s="9"/>
      <c r="DS112" s="9"/>
      <c r="DT112" s="9"/>
      <c r="DU112" s="9"/>
      <c r="DV112" s="9"/>
      <c r="DW112" s="9"/>
      <c r="DX112" s="9"/>
      <c r="DY112" s="9"/>
      <c r="DZ112" s="9"/>
      <c r="EA112" s="9"/>
      <c r="EB112" s="9"/>
      <c r="EC112" s="9"/>
      <c r="ED112" s="9"/>
      <c r="EE112" s="9"/>
    </row>
    <row r="113" spans="1:135" s="11" customFormat="1" ht="13.15" customHeight="1">
      <c r="A113" s="396"/>
      <c r="B113" s="70" t="s">
        <v>17</v>
      </c>
      <c r="C113" s="325">
        <f>SUM(L113,T113,AB113,AJ113,AR113,AZ113,BH113,BQ113,BZ113,CI113,CQ113,CY113)</f>
        <v>372000000</v>
      </c>
      <c r="D113" s="325">
        <f t="shared" si="518"/>
        <v>199034000</v>
      </c>
      <c r="E113" s="325">
        <f t="shared" si="519"/>
        <v>172966000</v>
      </c>
      <c r="F113" s="325">
        <f t="shared" si="520"/>
        <v>183466000</v>
      </c>
      <c r="G113" s="14">
        <f t="shared" si="521"/>
        <v>0.53503763440860219</v>
      </c>
      <c r="H113" s="325">
        <f t="shared" si="522"/>
        <v>0</v>
      </c>
      <c r="I113" s="14">
        <f>H113/C113</f>
        <v>0</v>
      </c>
      <c r="J113" s="220">
        <f>F113*$A$115</f>
        <v>917330</v>
      </c>
      <c r="K113" s="125"/>
      <c r="L113" s="328">
        <v>120000000</v>
      </c>
      <c r="M113" s="325">
        <v>59034000</v>
      </c>
      <c r="N113" s="325">
        <v>60966000</v>
      </c>
      <c r="O113" s="325">
        <v>60966000</v>
      </c>
      <c r="P113" s="73">
        <f t="shared" si="524"/>
        <v>0.49195</v>
      </c>
      <c r="Q113" s="325">
        <v>0</v>
      </c>
      <c r="R113" s="74">
        <f>Q113/L113</f>
        <v>0</v>
      </c>
      <c r="S113" s="125"/>
      <c r="T113" s="168">
        <v>38000000</v>
      </c>
      <c r="U113" s="169">
        <v>24000000</v>
      </c>
      <c r="V113" s="169">
        <v>14000000</v>
      </c>
      <c r="W113" s="169">
        <v>14000000</v>
      </c>
      <c r="X113" s="87">
        <f t="shared" si="526"/>
        <v>0.63157894736842102</v>
      </c>
      <c r="Y113" s="170">
        <v>0</v>
      </c>
      <c r="Z113" s="88">
        <f>Y113/T113</f>
        <v>0</v>
      </c>
      <c r="AA113" s="125"/>
      <c r="AB113" s="165">
        <v>38000000</v>
      </c>
      <c r="AC113" s="166">
        <v>24000000</v>
      </c>
      <c r="AD113" s="166">
        <v>14000000</v>
      </c>
      <c r="AE113" s="166">
        <v>14000000</v>
      </c>
      <c r="AF113" s="87">
        <f t="shared" si="528"/>
        <v>0.63157894736842102</v>
      </c>
      <c r="AG113" s="166">
        <v>0</v>
      </c>
      <c r="AH113" s="88">
        <f>AG113/AB113</f>
        <v>0</v>
      </c>
      <c r="AI113" s="125"/>
      <c r="AJ113" s="168">
        <v>38000000</v>
      </c>
      <c r="AK113" s="169">
        <v>24000000</v>
      </c>
      <c r="AL113" s="169">
        <v>14000000</v>
      </c>
      <c r="AM113" s="169">
        <v>14000000</v>
      </c>
      <c r="AN113" s="87">
        <f t="shared" si="530"/>
        <v>0.63157894736842102</v>
      </c>
      <c r="AO113" s="169">
        <v>0</v>
      </c>
      <c r="AP113" s="88">
        <f>AO113/AJ113</f>
        <v>0</v>
      </c>
      <c r="AQ113" s="125"/>
      <c r="AR113" s="165">
        <v>25000000</v>
      </c>
      <c r="AS113" s="166">
        <v>11000000</v>
      </c>
      <c r="AT113" s="166">
        <v>14000000</v>
      </c>
      <c r="AU113" s="166">
        <v>14000000</v>
      </c>
      <c r="AV113" s="87">
        <f t="shared" si="532"/>
        <v>0.44</v>
      </c>
      <c r="AW113" s="166">
        <v>0</v>
      </c>
      <c r="AX113" s="88">
        <f>AW113/AR113</f>
        <v>0</v>
      </c>
      <c r="AY113" s="125"/>
      <c r="AZ113" s="168">
        <v>38000000</v>
      </c>
      <c r="BA113" s="169">
        <v>24000000</v>
      </c>
      <c r="BB113" s="169">
        <v>14000000</v>
      </c>
      <c r="BC113" s="169">
        <v>14000000</v>
      </c>
      <c r="BD113" s="87">
        <f t="shared" si="534"/>
        <v>0.63157894736842102</v>
      </c>
      <c r="BE113" s="169">
        <v>0</v>
      </c>
      <c r="BF113" s="88">
        <f>BE113/AZ113</f>
        <v>0</v>
      </c>
      <c r="BG113" s="125"/>
      <c r="BH113" s="323">
        <v>25000000</v>
      </c>
      <c r="BI113" s="324">
        <v>11000000</v>
      </c>
      <c r="BJ113" s="324">
        <v>14000000</v>
      </c>
      <c r="BK113" s="324">
        <v>14000000</v>
      </c>
      <c r="BL113" s="73">
        <f t="shared" si="536"/>
        <v>0.44</v>
      </c>
      <c r="BM113" s="322"/>
      <c r="BN113" s="74">
        <f>BM113/BH113</f>
        <v>0</v>
      </c>
      <c r="BO113" s="220">
        <f>BK113*$A$115</f>
        <v>70000</v>
      </c>
      <c r="BP113" s="125"/>
      <c r="BQ113" s="360">
        <f>25000000</f>
        <v>25000000</v>
      </c>
      <c r="BR113" s="361">
        <f t="shared" si="548"/>
        <v>11000000</v>
      </c>
      <c r="BS113" s="361">
        <v>14000000</v>
      </c>
      <c r="BT113" s="361">
        <v>14000000</v>
      </c>
      <c r="BU113" s="73">
        <f t="shared" si="538"/>
        <v>0.44</v>
      </c>
      <c r="BV113" s="361">
        <v>0</v>
      </c>
      <c r="BW113" s="74">
        <f>BV113/BQ113</f>
        <v>0</v>
      </c>
      <c r="BX113" s="359">
        <f>BT113*$A$115</f>
        <v>70000</v>
      </c>
      <c r="BY113" s="125"/>
      <c r="BZ113" s="360">
        <v>25000000</v>
      </c>
      <c r="CA113" s="361">
        <v>11000000</v>
      </c>
      <c r="CB113" s="361">
        <v>14000000</v>
      </c>
      <c r="CC113" s="361">
        <v>24500000</v>
      </c>
      <c r="CD113" s="73">
        <f t="shared" si="540"/>
        <v>0.44</v>
      </c>
      <c r="CE113" s="322"/>
      <c r="CF113" s="74">
        <f>CE113/BZ113</f>
        <v>0</v>
      </c>
      <c r="CG113" s="359">
        <f>CC113*$A$115</f>
        <v>122500</v>
      </c>
      <c r="CH113" s="125"/>
      <c r="CI113" s="178"/>
      <c r="CJ113" s="174"/>
      <c r="CK113" s="174"/>
      <c r="CL113" s="174"/>
      <c r="CM113" s="133" t="e">
        <f t="shared" si="542"/>
        <v>#DIV/0!</v>
      </c>
      <c r="CN113" s="175"/>
      <c r="CO113" s="135" t="e">
        <f>CN113/CI113</f>
        <v>#DIV/0!</v>
      </c>
      <c r="CP113" s="125"/>
      <c r="CQ113" s="178"/>
      <c r="CR113" s="174"/>
      <c r="CS113" s="174"/>
      <c r="CT113" s="174"/>
      <c r="CU113" s="133" t="e">
        <f t="shared" si="544"/>
        <v>#DIV/0!</v>
      </c>
      <c r="CV113" s="175"/>
      <c r="CW113" s="135" t="e">
        <f>CV113/CQ113</f>
        <v>#DIV/0!</v>
      </c>
      <c r="CX113" s="125"/>
      <c r="CY113" s="178"/>
      <c r="CZ113" s="174"/>
      <c r="DA113" s="174"/>
      <c r="DB113" s="174"/>
      <c r="DC113" s="133" t="e">
        <f t="shared" si="546"/>
        <v>#DIV/0!</v>
      </c>
      <c r="DD113" s="175"/>
      <c r="DE113" s="135" t="e">
        <f>DD113/CY113</f>
        <v>#DIV/0!</v>
      </c>
      <c r="DF113" s="9"/>
      <c r="DG113" s="354"/>
      <c r="DH113" s="9"/>
      <c r="DI113" s="9"/>
      <c r="DJ113" s="9"/>
      <c r="DK113" s="9"/>
      <c r="DL113" s="9"/>
      <c r="DM113" s="9"/>
      <c r="DN113" s="9"/>
      <c r="DO113" s="9"/>
      <c r="DP113" s="9"/>
      <c r="DQ113" s="9"/>
      <c r="DR113" s="9"/>
      <c r="DS113" s="9"/>
      <c r="DT113" s="9"/>
      <c r="DU113" s="9"/>
      <c r="DV113" s="9"/>
      <c r="DW113" s="9"/>
      <c r="DX113" s="9"/>
      <c r="DY113" s="9"/>
      <c r="DZ113" s="9"/>
      <c r="EA113" s="9"/>
      <c r="EB113" s="9"/>
      <c r="EC113" s="9"/>
      <c r="ED113" s="9"/>
      <c r="EE113" s="9"/>
    </row>
    <row r="114" spans="1:135" s="29" customFormat="1" ht="13" customHeight="1">
      <c r="A114" s="396"/>
      <c r="B114" s="62" t="s">
        <v>18</v>
      </c>
      <c r="C114" s="326">
        <f>SUM(C103:C113)</f>
        <v>5010163175.9799995</v>
      </c>
      <c r="D114" s="326">
        <f>SUM(D103:D113)</f>
        <v>2942212778</v>
      </c>
      <c r="E114" s="326">
        <f>SUM(E103:E113)</f>
        <v>1899804267.48</v>
      </c>
      <c r="F114" s="326">
        <f>SUM(F103:F113)</f>
        <v>1910304268.48</v>
      </c>
      <c r="G114" s="15">
        <f>D114/C114</f>
        <v>0.58724889283161852</v>
      </c>
      <c r="H114" s="326">
        <f>SUM(H103:H113)</f>
        <v>3511405633</v>
      </c>
      <c r="I114" s="15">
        <f>H114/C114</f>
        <v>0.70085654092756389</v>
      </c>
      <c r="J114" s="221" t="b">
        <f>J115=F115</f>
        <v>1</v>
      </c>
      <c r="K114" s="126"/>
      <c r="L114" s="329">
        <f>SUM(L103:L113)</f>
        <v>650000000</v>
      </c>
      <c r="M114" s="326">
        <f>SUM(M103:M113)</f>
        <v>433034000</v>
      </c>
      <c r="N114" s="326">
        <f>SUM(N103:N113)</f>
        <v>216966000</v>
      </c>
      <c r="O114" s="326">
        <f>SUM(O103:O113)</f>
        <v>216966000</v>
      </c>
      <c r="P114" s="15">
        <f>M114/L114</f>
        <v>0.66620615384615389</v>
      </c>
      <c r="Q114" s="326">
        <f>SUM(Q103:Q113)</f>
        <v>345879500</v>
      </c>
      <c r="R114" s="83">
        <f>Q114/L114</f>
        <v>0.53212230769230773</v>
      </c>
      <c r="S114" s="126"/>
      <c r="T114" s="107">
        <f>SUM(T103:T113)</f>
        <v>665000000</v>
      </c>
      <c r="U114" s="108">
        <f>SUM(U103:U113)</f>
        <v>391041143</v>
      </c>
      <c r="V114" s="108">
        <f>SUM(V103:V113)</f>
        <v>273958857</v>
      </c>
      <c r="W114" s="108">
        <f>SUM(W103:W113)</f>
        <v>273958857</v>
      </c>
      <c r="X114" s="15">
        <f>U114/T114</f>
        <v>0.58803179398496241</v>
      </c>
      <c r="Y114" s="108">
        <f>SUM(Y103:Y113)</f>
        <v>372635262</v>
      </c>
      <c r="Z114" s="83">
        <f>Y114/T114</f>
        <v>0.56035377744360904</v>
      </c>
      <c r="AA114" s="126"/>
      <c r="AB114" s="103">
        <f>SUM(AB103:AB113)</f>
        <v>763000000</v>
      </c>
      <c r="AC114" s="104">
        <f>SUM(AC103:AC113)</f>
        <v>416822636</v>
      </c>
      <c r="AD114" s="104">
        <f>SUM(AD103:AD113)</f>
        <v>346177364</v>
      </c>
      <c r="AE114" s="104">
        <f>SUM(AE103:AE113)</f>
        <v>346177364</v>
      </c>
      <c r="AF114" s="15">
        <f>AC114/AB114</f>
        <v>0.54629441153342073</v>
      </c>
      <c r="AG114" s="104">
        <f>SUM(AG103:AG113)</f>
        <v>677335158</v>
      </c>
      <c r="AH114" s="83">
        <f>AG114/AB114</f>
        <v>0.8877262883355177</v>
      </c>
      <c r="AI114" s="126"/>
      <c r="AJ114" s="107">
        <f>SUM(AJ103:AJ113)</f>
        <v>707239909</v>
      </c>
      <c r="AK114" s="108">
        <f>SUM(AK103:AK113)</f>
        <v>458547792</v>
      </c>
      <c r="AL114" s="108">
        <f>SUM(AL103:AL113)</f>
        <v>248692117</v>
      </c>
      <c r="AM114" s="108">
        <f>SUM(AM103:AM113)</f>
        <v>248692117</v>
      </c>
      <c r="AN114" s="15">
        <f>AK114/AJ114</f>
        <v>0.64836243849468622</v>
      </c>
      <c r="AO114" s="108">
        <f>SUM(AO103:AO113)</f>
        <v>488904804</v>
      </c>
      <c r="AP114" s="83">
        <f>AO114/AJ114</f>
        <v>0.69128565537440567</v>
      </c>
      <c r="AQ114" s="126"/>
      <c r="AR114" s="103">
        <f>SUM(AR103:AR113)</f>
        <v>627321188</v>
      </c>
      <c r="AS114" s="104">
        <f t="shared" ref="AS114:AU114" si="569">SUM(AS103:AS113)</f>
        <v>368000000</v>
      </c>
      <c r="AT114" s="104">
        <f t="shared" si="569"/>
        <v>174321188</v>
      </c>
      <c r="AU114" s="104">
        <f t="shared" si="569"/>
        <v>174321188</v>
      </c>
      <c r="AV114" s="15">
        <f>AS114/AR114</f>
        <v>0.58662134651189246</v>
      </c>
      <c r="AW114" s="104">
        <f>SUM(AW103:AW113)</f>
        <v>493093433</v>
      </c>
      <c r="AX114" s="83">
        <f>AW114/AR114</f>
        <v>0.78603025440932506</v>
      </c>
      <c r="AY114" s="126"/>
      <c r="AZ114" s="107">
        <f>SUM(AZ103:AZ113)</f>
        <v>681449965.48000002</v>
      </c>
      <c r="BA114" s="108">
        <f t="shared" ref="BA114" si="570">SUM(BA103:BA113)</f>
        <v>414512969</v>
      </c>
      <c r="BB114" s="108">
        <f t="shared" ref="BB114" si="571">SUM(BB103:BB113)</f>
        <v>266936996.47999999</v>
      </c>
      <c r="BC114" s="108">
        <f t="shared" ref="BC114" si="572">SUM(BC103:BC113)</f>
        <v>266936996.47999999</v>
      </c>
      <c r="BD114" s="15">
        <f>BA114/AZ114</f>
        <v>0.60828085699296375</v>
      </c>
      <c r="BE114" s="108">
        <f>SUM(BE103:BE113)</f>
        <v>478307518</v>
      </c>
      <c r="BF114" s="83">
        <f>BE114/AZ114</f>
        <v>0.70189675284977016</v>
      </c>
      <c r="BG114" s="126"/>
      <c r="BH114" s="107">
        <f>SUM(BH103:BH113)</f>
        <v>328000000</v>
      </c>
      <c r="BI114" s="108">
        <f>SUM(BI103:BI113)</f>
        <v>128500000</v>
      </c>
      <c r="BJ114" s="108">
        <f>SUM(BJ103:BJ113)</f>
        <v>127939195</v>
      </c>
      <c r="BK114" s="108">
        <f>SUM(BK103:BK113)</f>
        <v>127939196</v>
      </c>
      <c r="BL114" s="15">
        <f>BI114/BH114</f>
        <v>0.39176829268292684</v>
      </c>
      <c r="BM114" s="104">
        <f>SUM(BM103:BM113)</f>
        <v>190847173</v>
      </c>
      <c r="BN114" s="83">
        <f>BM114/BH114</f>
        <v>0.58185113719512194</v>
      </c>
      <c r="BO114" s="221" t="b">
        <f>BO115=BK115</f>
        <v>1</v>
      </c>
      <c r="BP114" s="126"/>
      <c r="BQ114" s="103">
        <f>SUM(BQ103:BQ113)</f>
        <v>243000000</v>
      </c>
      <c r="BR114" s="104">
        <f>SUM(BR103:BR113)</f>
        <v>128500000</v>
      </c>
      <c r="BS114" s="104">
        <f t="shared" ref="BS114" si="573">SUM(BS103:BS113)</f>
        <v>119346788</v>
      </c>
      <c r="BT114" s="104">
        <f>SUM(BT103:BT113)</f>
        <v>119346788</v>
      </c>
      <c r="BU114" s="15">
        <f>BR114/BQ114</f>
        <v>0.5288065843621399</v>
      </c>
      <c r="BV114" s="104">
        <f>SUM(BV103:BV113)</f>
        <v>231107665</v>
      </c>
      <c r="BW114" s="83">
        <f>BV114/BQ114</f>
        <v>0.9510603497942387</v>
      </c>
      <c r="BX114" s="221" t="b">
        <f>BX115=BT115</f>
        <v>1</v>
      </c>
      <c r="BY114" s="126"/>
      <c r="BZ114" s="103">
        <f>SUM(BZ103:BZ113)</f>
        <v>328720000</v>
      </c>
      <c r="CA114" s="104">
        <f>SUM(CA103:CA113)</f>
        <v>203254238</v>
      </c>
      <c r="CB114" s="104">
        <f>SUM(CB103:CB113)</f>
        <v>125465762</v>
      </c>
      <c r="CC114" s="104">
        <f>SUM(CC103:CC113)</f>
        <v>135965762</v>
      </c>
      <c r="CD114" s="15">
        <f>CA114/BZ114</f>
        <v>0.6183202664881966</v>
      </c>
      <c r="CE114" s="104">
        <f>SUM(CE103:CE113)</f>
        <v>233295120</v>
      </c>
      <c r="CF114" s="83">
        <f>CE114/BZ114</f>
        <v>0.70970771477245076</v>
      </c>
      <c r="CG114" s="221" t="b">
        <f>CG115=CC115</f>
        <v>1</v>
      </c>
      <c r="CH114" s="126"/>
      <c r="CI114" s="103">
        <f>SUM(CI103:CI113)</f>
        <v>0</v>
      </c>
      <c r="CJ114" s="104">
        <f t="shared" ref="CJ114" si="574">SUM(CJ103:CJ113)</f>
        <v>0</v>
      </c>
      <c r="CK114" s="104">
        <f t="shared" ref="CK114" si="575">SUM(CK103:CK113)</f>
        <v>0</v>
      </c>
      <c r="CL114" s="104">
        <f t="shared" ref="CL114" si="576">SUM(CL103:CL113)</f>
        <v>0</v>
      </c>
      <c r="CM114" s="15" t="e">
        <f>CJ114/CI114</f>
        <v>#DIV/0!</v>
      </c>
      <c r="CN114" s="104">
        <f>SUM(CN103:CN113)</f>
        <v>0</v>
      </c>
      <c r="CO114" s="83" t="e">
        <f>CN114/CI114</f>
        <v>#DIV/0!</v>
      </c>
      <c r="CP114" s="126"/>
      <c r="CQ114" s="103">
        <f>SUM(CQ103:CQ113)</f>
        <v>0</v>
      </c>
      <c r="CR114" s="104">
        <f t="shared" ref="CR114" si="577">SUM(CR103:CR113)</f>
        <v>0</v>
      </c>
      <c r="CS114" s="104">
        <f t="shared" ref="CS114" si="578">SUM(CS103:CS113)</f>
        <v>0</v>
      </c>
      <c r="CT114" s="104">
        <f t="shared" ref="CT114" si="579">SUM(CT103:CT113)</f>
        <v>0</v>
      </c>
      <c r="CU114" s="15" t="e">
        <f>CR114/CQ114</f>
        <v>#DIV/0!</v>
      </c>
      <c r="CV114" s="104">
        <f>SUM(CV103:CV113)</f>
        <v>0</v>
      </c>
      <c r="CW114" s="83" t="e">
        <f>CV114/CQ114</f>
        <v>#DIV/0!</v>
      </c>
      <c r="CX114" s="126"/>
      <c r="CY114" s="103">
        <f>SUM(CY103:CY113)</f>
        <v>0</v>
      </c>
      <c r="CZ114" s="104">
        <f t="shared" ref="CZ114" si="580">SUM(CZ103:CZ113)</f>
        <v>0</v>
      </c>
      <c r="DA114" s="104">
        <f t="shared" ref="DA114" si="581">SUM(DA103:DA113)</f>
        <v>0</v>
      </c>
      <c r="DB114" s="104">
        <f t="shared" ref="DB114" si="582">SUM(DB103:DB113)</f>
        <v>0</v>
      </c>
      <c r="DC114" s="15" t="e">
        <f>CZ114/CY114</f>
        <v>#DIV/0!</v>
      </c>
      <c r="DD114" s="104">
        <f>SUM(DD103:DD113)</f>
        <v>0</v>
      </c>
      <c r="DE114" s="83" t="e">
        <f>DD114/CY114</f>
        <v>#DIV/0!</v>
      </c>
      <c r="DF114" s="28"/>
      <c r="DG114" s="351"/>
      <c r="DH114" s="28"/>
      <c r="DI114" s="28"/>
      <c r="DJ114" s="28"/>
      <c r="DK114" s="28"/>
      <c r="DL114" s="28"/>
      <c r="DM114" s="28"/>
      <c r="DN114" s="28"/>
      <c r="DO114" s="28"/>
      <c r="DP114" s="28"/>
      <c r="DQ114" s="28"/>
      <c r="DR114" s="28"/>
      <c r="DS114" s="28"/>
      <c r="DT114" s="28"/>
      <c r="DU114" s="28"/>
      <c r="DV114" s="28"/>
      <c r="DW114" s="28"/>
      <c r="DX114" s="28"/>
      <c r="DY114" s="28"/>
      <c r="DZ114" s="28"/>
      <c r="EA114" s="28"/>
      <c r="EB114" s="28"/>
      <c r="EC114" s="28"/>
      <c r="ED114" s="28"/>
      <c r="EE114" s="28"/>
    </row>
    <row r="115" spans="1:135" s="22" customFormat="1" ht="13" customHeight="1">
      <c r="A115" s="214">
        <v>5.0000000000000001E-3</v>
      </c>
      <c r="B115" s="191" t="s">
        <v>19</v>
      </c>
      <c r="C115" s="213">
        <f>C114*$A$115</f>
        <v>25050815.879899997</v>
      </c>
      <c r="D115" s="213">
        <f t="shared" ref="D115:E115" si="583">D114*$A$115</f>
        <v>14711063.890000001</v>
      </c>
      <c r="E115" s="213">
        <f t="shared" si="583"/>
        <v>9499021.3374000005</v>
      </c>
      <c r="F115" s="213">
        <f>F114*$A$115</f>
        <v>9551521.3423999995</v>
      </c>
      <c r="G115" s="181"/>
      <c r="H115" s="213">
        <f>H114*A115</f>
        <v>17557028.164999999</v>
      </c>
      <c r="I115" s="181"/>
      <c r="J115" s="217">
        <f>SUM(J103:J113)</f>
        <v>9551521.3423999995</v>
      </c>
      <c r="K115" s="112"/>
      <c r="L115" s="245">
        <f>L114*$A$115</f>
        <v>3250000</v>
      </c>
      <c r="M115" s="213">
        <f t="shared" ref="M115" si="584">M114*$A$115</f>
        <v>2165170</v>
      </c>
      <c r="N115" s="213">
        <f t="shared" ref="N115" si="585">N114*$A$115</f>
        <v>1084830</v>
      </c>
      <c r="O115" s="213">
        <f t="shared" ref="O115" si="586">O114*$A$115</f>
        <v>1084830</v>
      </c>
      <c r="P115" s="243"/>
      <c r="Q115" s="213">
        <f>Q114*J115</f>
        <v>3303675426148640.5</v>
      </c>
      <c r="R115" s="182"/>
      <c r="S115" s="112"/>
      <c r="T115" s="245">
        <f>T114*$A$115</f>
        <v>3325000</v>
      </c>
      <c r="U115" s="213">
        <f t="shared" ref="U115" si="587">U114*$A$115</f>
        <v>1955205.7150000001</v>
      </c>
      <c r="V115" s="213">
        <f t="shared" ref="V115" si="588">V114*$A$115</f>
        <v>1369794.2849999999</v>
      </c>
      <c r="W115" s="213">
        <f t="shared" ref="W115" si="589">W114*$A$115</f>
        <v>1369794.2849999999</v>
      </c>
      <c r="X115" s="243"/>
      <c r="Y115" s="213">
        <f>Y114*R115</f>
        <v>0</v>
      </c>
      <c r="Z115" s="182"/>
      <c r="AA115" s="112"/>
      <c r="AB115" s="245">
        <f>AB114*$A$115</f>
        <v>3815000</v>
      </c>
      <c r="AC115" s="213">
        <f t="shared" ref="AC115" si="590">AC114*$A$115</f>
        <v>2084113.18</v>
      </c>
      <c r="AD115" s="213">
        <f t="shared" ref="AD115" si="591">AD114*$A$115</f>
        <v>1730886.82</v>
      </c>
      <c r="AE115" s="213">
        <f t="shared" ref="AE115" si="592">AE114*$A$115</f>
        <v>1730886.82</v>
      </c>
      <c r="AF115" s="243"/>
      <c r="AG115" s="213">
        <f>AG114*Z115</f>
        <v>0</v>
      </c>
      <c r="AH115" s="182"/>
      <c r="AI115" s="112"/>
      <c r="AJ115" s="245">
        <f>AJ114*$A$115</f>
        <v>3536199.5449999999</v>
      </c>
      <c r="AK115" s="213">
        <f t="shared" ref="AK115" si="593">AK114*$A$115</f>
        <v>2292738.96</v>
      </c>
      <c r="AL115" s="213">
        <f t="shared" ref="AL115" si="594">AL114*$A$115</f>
        <v>1243460.585</v>
      </c>
      <c r="AM115" s="213">
        <f t="shared" ref="AM115" si="595">AM114*$A$115</f>
        <v>1243460.585</v>
      </c>
      <c r="AN115" s="243"/>
      <c r="AO115" s="213">
        <f>AO114*AH115</f>
        <v>0</v>
      </c>
      <c r="AP115" s="182"/>
      <c r="AQ115" s="112"/>
      <c r="AR115" s="245">
        <f>AR114*$A$115</f>
        <v>3136605.94</v>
      </c>
      <c r="AS115" s="213">
        <f t="shared" ref="AS115" si="596">AS114*$A$115</f>
        <v>1840000</v>
      </c>
      <c r="AT115" s="213">
        <f t="shared" ref="AT115" si="597">AT114*$A$115</f>
        <v>871605.94000000006</v>
      </c>
      <c r="AU115" s="213">
        <f t="shared" ref="AU115" si="598">AU114*$A$115</f>
        <v>871605.94000000006</v>
      </c>
      <c r="AV115" s="243"/>
      <c r="AW115" s="213">
        <f>AW114*AP115</f>
        <v>0</v>
      </c>
      <c r="AX115" s="182"/>
      <c r="AY115" s="112"/>
      <c r="AZ115" s="245">
        <f>AZ114*$A$115</f>
        <v>3407249.8274000003</v>
      </c>
      <c r="BA115" s="213">
        <f t="shared" ref="BA115" si="599">BA114*$A$115</f>
        <v>2072564.845</v>
      </c>
      <c r="BB115" s="213">
        <f t="shared" ref="BB115" si="600">BB114*$A$115</f>
        <v>1334684.9823999999</v>
      </c>
      <c r="BC115" s="213">
        <f t="shared" ref="BC115" si="601">BC114*$A$115</f>
        <v>1334684.9823999999</v>
      </c>
      <c r="BD115" s="243"/>
      <c r="BE115" s="213">
        <f>BE114*AX115</f>
        <v>0</v>
      </c>
      <c r="BF115" s="182"/>
      <c r="BG115" s="112"/>
      <c r="BH115" s="245">
        <f>BH114*$A$115</f>
        <v>1640000</v>
      </c>
      <c r="BI115" s="213">
        <f t="shared" ref="BI115" si="602">BI114*$A$115</f>
        <v>642500</v>
      </c>
      <c r="BJ115" s="213">
        <f t="shared" ref="BJ115" si="603">BJ114*$A$115</f>
        <v>639695.97499999998</v>
      </c>
      <c r="BK115" s="213">
        <f t="shared" ref="BK115" si="604">BK114*$A$115</f>
        <v>639695.98</v>
      </c>
      <c r="BL115" s="243"/>
      <c r="BM115" s="213">
        <f>BM114*A115</f>
        <v>954235.86499999999</v>
      </c>
      <c r="BN115" s="182"/>
      <c r="BO115" s="217">
        <f>SUM(BO103:BO113)</f>
        <v>639695.98</v>
      </c>
      <c r="BP115" s="112"/>
      <c r="BQ115" s="245">
        <f>BQ114*$A$115</f>
        <v>1215000</v>
      </c>
      <c r="BR115" s="213">
        <f>BR114*$A$115</f>
        <v>642500</v>
      </c>
      <c r="BS115" s="213">
        <f t="shared" ref="BS115" si="605">BS114*$A$115</f>
        <v>596733.94000000006</v>
      </c>
      <c r="BT115" s="213">
        <f t="shared" ref="BT115" si="606">BT114*$A$115</f>
        <v>596733.94000000006</v>
      </c>
      <c r="BU115" s="243"/>
      <c r="BV115" s="213">
        <f>BV114*A115</f>
        <v>1155538.325</v>
      </c>
      <c r="BW115" s="182"/>
      <c r="BX115" s="217">
        <f>SUM(BX103:BX113)</f>
        <v>596733.93999999994</v>
      </c>
      <c r="BY115" s="112"/>
      <c r="BZ115" s="245">
        <f>BZ114*$A$115</f>
        <v>1643600</v>
      </c>
      <c r="CA115" s="213">
        <f t="shared" ref="CA115" si="607">CA114*$A$115</f>
        <v>1016271.1900000001</v>
      </c>
      <c r="CB115" s="213">
        <f t="shared" ref="CB115" si="608">CB114*$A$115</f>
        <v>627328.81000000006</v>
      </c>
      <c r="CC115" s="213">
        <f t="shared" ref="CC115" si="609">CC114*$A$115</f>
        <v>679828.81</v>
      </c>
      <c r="CD115" s="243"/>
      <c r="CE115" s="213">
        <f>CE114*A115</f>
        <v>1166475.6000000001</v>
      </c>
      <c r="CF115" s="182"/>
      <c r="CG115" s="217">
        <f>SUM(CG103:CG113)</f>
        <v>679828.81</v>
      </c>
      <c r="CH115" s="112"/>
      <c r="CI115" s="245">
        <f>CI114*$A$115</f>
        <v>0</v>
      </c>
      <c r="CJ115" s="213">
        <f t="shared" ref="CJ115" si="610">CJ114*$A$115</f>
        <v>0</v>
      </c>
      <c r="CK115" s="213">
        <f t="shared" ref="CK115" si="611">CK114*$A$115</f>
        <v>0</v>
      </c>
      <c r="CL115" s="213">
        <f t="shared" ref="CL115" si="612">CL114*$A$115</f>
        <v>0</v>
      </c>
      <c r="CM115" s="243"/>
      <c r="CN115" s="213">
        <f>CN114*CF115</f>
        <v>0</v>
      </c>
      <c r="CO115" s="182"/>
      <c r="CP115" s="112"/>
      <c r="CQ115" s="245">
        <f>CQ114*$A$115</f>
        <v>0</v>
      </c>
      <c r="CR115" s="213">
        <f t="shared" ref="CR115" si="613">CR114*$A$115</f>
        <v>0</v>
      </c>
      <c r="CS115" s="213">
        <f t="shared" ref="CS115" si="614">CS114*$A$115</f>
        <v>0</v>
      </c>
      <c r="CT115" s="213">
        <f t="shared" ref="CT115" si="615">CT114*$A$115</f>
        <v>0</v>
      </c>
      <c r="CU115" s="243"/>
      <c r="CV115" s="213">
        <f>CV114*CO115</f>
        <v>0</v>
      </c>
      <c r="CW115" s="182"/>
      <c r="CX115" s="112"/>
      <c r="CY115" s="245">
        <f>CY114*$A$115</f>
        <v>0</v>
      </c>
      <c r="CZ115" s="213">
        <f t="shared" ref="CZ115" si="616">CZ114*$A$115</f>
        <v>0</v>
      </c>
      <c r="DA115" s="213">
        <f t="shared" ref="DA115" si="617">DA114*$A$115</f>
        <v>0</v>
      </c>
      <c r="DB115" s="213">
        <f t="shared" ref="DB115" si="618">DB114*$A$115</f>
        <v>0</v>
      </c>
      <c r="DC115" s="243"/>
      <c r="DD115" s="213">
        <f>DD114*CW115</f>
        <v>0</v>
      </c>
      <c r="DE115" s="246"/>
      <c r="DF115" s="8"/>
      <c r="DG115" s="351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</row>
    <row r="116" spans="1:135" s="11" customFormat="1" ht="13.15" customHeight="1">
      <c r="A116" s="395" t="s">
        <v>27</v>
      </c>
      <c r="B116" s="69" t="s">
        <v>12</v>
      </c>
      <c r="C116" s="346">
        <f>SUM(L116,T116,AB116,AJ116,AR116,AZ116,BH116,BQ116,BZ116,CI116,CQ116,CY116)</f>
        <v>5343934.4000000004</v>
      </c>
      <c r="D116" s="346">
        <f t="shared" ref="D116:D126" si="619">SUM(M116,U116,AC116,AK116,AS116,BA116,BI116,BR116,CA116,CJ116,CR116,CZ116)</f>
        <v>877374.4</v>
      </c>
      <c r="E116" s="346">
        <f t="shared" ref="E116:E126" si="620">SUM(N116,V116,AD116,AL116,AT116,BB116,BJ116,BS116,CB116,CK116,CS116,DA116)</f>
        <v>4466560</v>
      </c>
      <c r="F116" s="346">
        <f t="shared" ref="F116:F126" si="621">SUM(O116,W116,AE116,AM116,AU116,BC116,BK116,BT116,CC116,CL116,CT116,DB116)</f>
        <v>4466560</v>
      </c>
      <c r="G116" s="14">
        <f>D116/C116</f>
        <v>0.16418135671725312</v>
      </c>
      <c r="H116" s="346">
        <f>SUM(Q116,Y116,AG116,AO116,AW116,BE116,BM116,BV116,CE116,CN116,CV116,DD116)</f>
        <v>992846</v>
      </c>
      <c r="I116" s="14">
        <f>H116/C116</f>
        <v>0.18578933154568664</v>
      </c>
      <c r="J116" s="216">
        <f>F116*$A$128</f>
        <v>3394585.6</v>
      </c>
      <c r="K116" s="127"/>
      <c r="L116" s="81">
        <v>558000</v>
      </c>
      <c r="M116" s="71">
        <v>108000</v>
      </c>
      <c r="N116" s="71">
        <v>450000</v>
      </c>
      <c r="O116" s="71">
        <v>450000</v>
      </c>
      <c r="P116" s="73">
        <f>M116/L116</f>
        <v>0.19354838709677419</v>
      </c>
      <c r="Q116" s="164">
        <v>90000</v>
      </c>
      <c r="R116" s="74">
        <f>Q116/L116</f>
        <v>0.16129032258064516</v>
      </c>
      <c r="S116" s="127"/>
      <c r="T116" s="171">
        <v>558000</v>
      </c>
      <c r="U116" s="172">
        <v>108000</v>
      </c>
      <c r="V116" s="172">
        <v>450000</v>
      </c>
      <c r="W116" s="172">
        <v>450000</v>
      </c>
      <c r="X116" s="87">
        <f>U116/T116</f>
        <v>0.19354838709677419</v>
      </c>
      <c r="Y116" s="173">
        <v>112500</v>
      </c>
      <c r="Z116" s="88">
        <f>Y116/T116</f>
        <v>0.20161290322580644</v>
      </c>
      <c r="AA116" s="127"/>
      <c r="AB116" s="167">
        <v>558000</v>
      </c>
      <c r="AC116" s="164">
        <v>108000</v>
      </c>
      <c r="AD116" s="164">
        <v>450000</v>
      </c>
      <c r="AE116" s="164">
        <v>450000</v>
      </c>
      <c r="AF116" s="87">
        <f>AC116/AB116</f>
        <v>0.19354838709677419</v>
      </c>
      <c r="AG116" s="164">
        <v>118000</v>
      </c>
      <c r="AH116" s="88">
        <f>AG116/AB116</f>
        <v>0.21146953405017921</v>
      </c>
      <c r="AI116" s="127"/>
      <c r="AJ116" s="167">
        <v>558000</v>
      </c>
      <c r="AK116" s="164">
        <v>108000</v>
      </c>
      <c r="AL116" s="164">
        <v>450000</v>
      </c>
      <c r="AM116" s="164">
        <v>450000</v>
      </c>
      <c r="AN116" s="87">
        <f>AK116/AJ116</f>
        <v>0.19354838709677419</v>
      </c>
      <c r="AO116" s="164">
        <v>118000</v>
      </c>
      <c r="AP116" s="88">
        <f>AO116/AJ116</f>
        <v>0.21146953405017921</v>
      </c>
      <c r="AQ116" s="127"/>
      <c r="AR116" s="167">
        <v>558000</v>
      </c>
      <c r="AS116" s="164">
        <v>108000</v>
      </c>
      <c r="AT116" s="164">
        <v>450000</v>
      </c>
      <c r="AU116" s="164">
        <v>450000</v>
      </c>
      <c r="AV116" s="87">
        <f>AS116/AR116</f>
        <v>0.19354838709677419</v>
      </c>
      <c r="AW116" s="164">
        <v>110223</v>
      </c>
      <c r="AX116" s="88">
        <f>AW116/AR116</f>
        <v>0.19753225806451613</v>
      </c>
      <c r="AY116" s="127"/>
      <c r="AZ116" s="168">
        <v>652934.40000000002</v>
      </c>
      <c r="BA116" s="169">
        <v>126374.39999999999</v>
      </c>
      <c r="BB116" s="169">
        <v>526560</v>
      </c>
      <c r="BC116" s="169">
        <v>526560</v>
      </c>
      <c r="BD116" s="87">
        <f>BA116/AZ116</f>
        <v>0.19354838709677419</v>
      </c>
      <c r="BE116" s="169">
        <v>110223</v>
      </c>
      <c r="BF116" s="88">
        <f>BE116/AZ116</f>
        <v>0.16881175199223689</v>
      </c>
      <c r="BG116" s="127"/>
      <c r="BH116" s="81">
        <v>660000</v>
      </c>
      <c r="BI116" s="71">
        <v>80000</v>
      </c>
      <c r="BJ116" s="71">
        <v>580000</v>
      </c>
      <c r="BK116" s="71">
        <v>580000</v>
      </c>
      <c r="BL116" s="73">
        <f>BI116/BH116</f>
        <v>0.12121212121212122</v>
      </c>
      <c r="BM116" s="330">
        <v>105000</v>
      </c>
      <c r="BN116" s="74">
        <f>BM116/BH116</f>
        <v>0.15909090909090909</v>
      </c>
      <c r="BO116" s="216">
        <f>BK116*$A$128</f>
        <v>440800</v>
      </c>
      <c r="BP116" s="127"/>
      <c r="BQ116" s="81">
        <v>721000</v>
      </c>
      <c r="BR116" s="71">
        <v>106000</v>
      </c>
      <c r="BS116" s="71">
        <v>615000</v>
      </c>
      <c r="BT116" s="71">
        <v>615000</v>
      </c>
      <c r="BU116" s="73">
        <f>BR116/BQ116</f>
        <v>0.14701803051317613</v>
      </c>
      <c r="BV116" s="71">
        <v>120000</v>
      </c>
      <c r="BW116" s="74">
        <f>BV116/BQ116</f>
        <v>0.16643550624133149</v>
      </c>
      <c r="BX116" s="359">
        <f>BT116*$A$128</f>
        <v>467400</v>
      </c>
      <c r="BY116" s="127"/>
      <c r="BZ116" s="372">
        <v>520000</v>
      </c>
      <c r="CA116" s="373">
        <v>25000</v>
      </c>
      <c r="CB116" s="373">
        <v>495000</v>
      </c>
      <c r="CC116" s="373">
        <v>495000</v>
      </c>
      <c r="CD116" s="133">
        <f>CA116/BZ116</f>
        <v>4.807692307692308E-2</v>
      </c>
      <c r="CE116" s="376">
        <v>108900</v>
      </c>
      <c r="CF116" s="135">
        <f>CE116/BZ116</f>
        <v>0.20942307692307693</v>
      </c>
      <c r="CG116" s="359">
        <f>CC116*$A$128</f>
        <v>376200</v>
      </c>
      <c r="CH116" s="127"/>
      <c r="CI116" s="179"/>
      <c r="CJ116" s="176"/>
      <c r="CK116" s="176"/>
      <c r="CL116" s="176"/>
      <c r="CM116" s="133" t="e">
        <f>CJ116/CI116</f>
        <v>#DIV/0!</v>
      </c>
      <c r="CN116" s="177"/>
      <c r="CO116" s="135" t="e">
        <f>CN116/CI116</f>
        <v>#DIV/0!</v>
      </c>
      <c r="CP116" s="127"/>
      <c r="CQ116" s="179"/>
      <c r="CR116" s="176"/>
      <c r="CS116" s="176"/>
      <c r="CT116" s="176"/>
      <c r="CU116" s="133" t="e">
        <f>CR116/CQ116</f>
        <v>#DIV/0!</v>
      </c>
      <c r="CV116" s="177"/>
      <c r="CW116" s="135" t="e">
        <f>CV116/CQ116</f>
        <v>#DIV/0!</v>
      </c>
      <c r="CX116" s="127"/>
      <c r="CY116" s="179"/>
      <c r="CZ116" s="176"/>
      <c r="DA116" s="176"/>
      <c r="DB116" s="176"/>
      <c r="DC116" s="133" t="e">
        <f>CZ116/CY116</f>
        <v>#DIV/0!</v>
      </c>
      <c r="DD116" s="177"/>
      <c r="DE116" s="135" t="e">
        <f>DD116/CY116</f>
        <v>#DIV/0!</v>
      </c>
      <c r="DF116" s="9"/>
      <c r="DG116" s="354"/>
      <c r="DH116" s="9"/>
      <c r="DI116" s="9"/>
      <c r="DJ116" s="9"/>
      <c r="DK116" s="9"/>
      <c r="DL116" s="9"/>
      <c r="DM116" s="9"/>
      <c r="DN116" s="9"/>
      <c r="DO116" s="9"/>
      <c r="DP116" s="9"/>
      <c r="DQ116" s="9"/>
      <c r="DR116" s="9"/>
      <c r="DS116" s="9"/>
      <c r="DT116" s="9"/>
      <c r="DU116" s="9"/>
      <c r="DV116" s="9"/>
      <c r="DW116" s="9"/>
      <c r="DX116" s="9"/>
      <c r="DY116" s="9"/>
      <c r="DZ116" s="9"/>
      <c r="EA116" s="9"/>
      <c r="EB116" s="9"/>
      <c r="EC116" s="9"/>
      <c r="ED116" s="9"/>
      <c r="EE116" s="9"/>
    </row>
    <row r="117" spans="1:135" s="11" customFormat="1" ht="13.15" customHeight="1">
      <c r="A117" s="396"/>
      <c r="B117" s="70" t="s">
        <v>13</v>
      </c>
      <c r="C117" s="346">
        <f t="shared" ref="C117:C126" si="622">SUM(L117,T117,AB117,AJ117,AR117,AZ117,BH117,BQ117,BZ117,CI117,CQ117,CY117)</f>
        <v>1401184.2</v>
      </c>
      <c r="D117" s="346">
        <f t="shared" si="619"/>
        <v>141069.20000000001</v>
      </c>
      <c r="E117" s="346">
        <f t="shared" si="620"/>
        <v>1290551</v>
      </c>
      <c r="F117" s="346">
        <f t="shared" si="621"/>
        <v>1276031</v>
      </c>
      <c r="G117" s="14">
        <f t="shared" ref="G117:G126" si="623">D117/C117</f>
        <v>0.10067855461116391</v>
      </c>
      <c r="H117" s="346">
        <f t="shared" ref="H117:H126" si="624">SUM(Q117,Y117,AG117,AO117,AW117,BE117,BM117,BV117,CE117,CN117,CV117,DD117)</f>
        <v>123289</v>
      </c>
      <c r="I117" s="14">
        <f t="shared" ref="I117" si="625">H117/C117</f>
        <v>8.7989145181625664E-2</v>
      </c>
      <c r="J117" s="216">
        <f>F117*$A$128</f>
        <v>969783.56</v>
      </c>
      <c r="K117" s="127"/>
      <c r="L117" s="81">
        <v>30138.2</v>
      </c>
      <c r="M117" s="71">
        <v>5833.2</v>
      </c>
      <c r="N117" s="71">
        <v>24305</v>
      </c>
      <c r="O117" s="71">
        <v>24305</v>
      </c>
      <c r="P117" s="73">
        <f t="shared" ref="P117:P126" si="626">M117/L117</f>
        <v>0.19354838709677419</v>
      </c>
      <c r="Q117" s="164">
        <v>0</v>
      </c>
      <c r="R117" s="74">
        <f t="shared" ref="R117" si="627">Q117/L117</f>
        <v>0</v>
      </c>
      <c r="S117" s="127"/>
      <c r="T117" s="171">
        <v>0</v>
      </c>
      <c r="U117" s="172">
        <v>0</v>
      </c>
      <c r="V117" s="172">
        <v>0</v>
      </c>
      <c r="W117" s="172">
        <v>0</v>
      </c>
      <c r="X117" s="87" t="e">
        <f t="shared" ref="X117:X126" si="628">U117/T117</f>
        <v>#DIV/0!</v>
      </c>
      <c r="Y117" s="173">
        <v>0</v>
      </c>
      <c r="Z117" s="88" t="e">
        <f t="shared" ref="Z117" si="629">Y117/T117</f>
        <v>#DIV/0!</v>
      </c>
      <c r="AA117" s="127"/>
      <c r="AB117" s="167">
        <v>143446</v>
      </c>
      <c r="AC117" s="164">
        <v>0</v>
      </c>
      <c r="AD117" s="164">
        <v>143446</v>
      </c>
      <c r="AE117" s="164">
        <v>143446</v>
      </c>
      <c r="AF117" s="87">
        <f t="shared" ref="AF117:AF126" si="630">AC117/AB117</f>
        <v>0</v>
      </c>
      <c r="AG117" s="164">
        <v>20000</v>
      </c>
      <c r="AH117" s="88">
        <f t="shared" ref="AH117" si="631">AG117/AB117</f>
        <v>0.13942528895891138</v>
      </c>
      <c r="AI117" s="127"/>
      <c r="AJ117" s="167">
        <v>210300</v>
      </c>
      <c r="AK117" s="164"/>
      <c r="AL117" s="164">
        <v>210300</v>
      </c>
      <c r="AM117" s="164">
        <v>210300</v>
      </c>
      <c r="AN117" s="87">
        <f t="shared" ref="AN117:AN126" si="632">AK117/AJ117</f>
        <v>0</v>
      </c>
      <c r="AO117" s="164">
        <v>15129</v>
      </c>
      <c r="AP117" s="88">
        <f t="shared" ref="AP117" si="633">AO117/AJ117</f>
        <v>7.1940085592011413E-2</v>
      </c>
      <c r="AQ117" s="127"/>
      <c r="AR117" s="167">
        <v>8700</v>
      </c>
      <c r="AS117" s="164">
        <v>0</v>
      </c>
      <c r="AT117" s="164">
        <v>8700</v>
      </c>
      <c r="AU117" s="164">
        <v>8700</v>
      </c>
      <c r="AV117" s="87">
        <f t="shared" ref="AV117:AV126" si="634">AS117/AR117</f>
        <v>0</v>
      </c>
      <c r="AW117" s="164">
        <v>2000</v>
      </c>
      <c r="AX117" s="88">
        <f t="shared" ref="AX117" si="635">AW117/AR117</f>
        <v>0.22988505747126436</v>
      </c>
      <c r="AY117" s="127"/>
      <c r="AZ117" s="168">
        <v>278600</v>
      </c>
      <c r="BA117" s="169">
        <v>30436</v>
      </c>
      <c r="BB117" s="169">
        <v>278600</v>
      </c>
      <c r="BC117" s="169">
        <v>278600</v>
      </c>
      <c r="BD117" s="87">
        <f t="shared" ref="BD117:BD126" si="636">BA117/AZ117</f>
        <v>0.10924623115577889</v>
      </c>
      <c r="BE117" s="169">
        <v>2000</v>
      </c>
      <c r="BF117" s="88">
        <f t="shared" ref="BF117" si="637">BE117/AZ117</f>
        <v>7.1787508973438618E-3</v>
      </c>
      <c r="BG117" s="127"/>
      <c r="BH117" s="81">
        <v>320000</v>
      </c>
      <c r="BI117" s="71">
        <v>22400</v>
      </c>
      <c r="BJ117" s="71">
        <v>297600</v>
      </c>
      <c r="BK117" s="71">
        <v>297600</v>
      </c>
      <c r="BL117" s="73">
        <f t="shared" ref="BL117:BL126" si="638">BI117/BH117</f>
        <v>7.0000000000000007E-2</v>
      </c>
      <c r="BM117" s="330">
        <v>5520</v>
      </c>
      <c r="BN117" s="74">
        <f t="shared" ref="BN117" si="639">BM117/BH117</f>
        <v>1.7250000000000001E-2</v>
      </c>
      <c r="BO117" s="216">
        <f>BK117*$A$128</f>
        <v>226176</v>
      </c>
      <c r="BP117" s="127"/>
      <c r="BQ117" s="81">
        <v>230000</v>
      </c>
      <c r="BR117" s="71">
        <v>64400</v>
      </c>
      <c r="BS117" s="71">
        <v>165600</v>
      </c>
      <c r="BT117" s="71">
        <v>165000</v>
      </c>
      <c r="BU117" s="73">
        <f t="shared" ref="BU117:BU126" si="640">BR117/BQ117</f>
        <v>0.28000000000000003</v>
      </c>
      <c r="BV117" s="71">
        <v>43000</v>
      </c>
      <c r="BW117" s="74">
        <f t="shared" ref="BW117:BW120" si="641">BV117/BQ117</f>
        <v>0.18695652173913044</v>
      </c>
      <c r="BX117" s="359">
        <f>BT117*$A$128</f>
        <v>125400</v>
      </c>
      <c r="BY117" s="127"/>
      <c r="BZ117" s="372">
        <v>180000</v>
      </c>
      <c r="CA117" s="373">
        <v>18000</v>
      </c>
      <c r="CB117" s="373">
        <v>162000</v>
      </c>
      <c r="CC117" s="373">
        <f>SUM(CC118:CC122)</f>
        <v>148080</v>
      </c>
      <c r="CD117" s="133">
        <f t="shared" ref="CD117:CD126" si="642">CA117/BZ117</f>
        <v>0.1</v>
      </c>
      <c r="CE117" s="376">
        <v>35640</v>
      </c>
      <c r="CF117" s="135">
        <f t="shared" ref="CF117:CF122" si="643">CE117/BZ117</f>
        <v>0.19800000000000001</v>
      </c>
      <c r="CG117" s="359">
        <f>CC117*$A$128</f>
        <v>112540.8</v>
      </c>
      <c r="CH117" s="127"/>
      <c r="CI117" s="179"/>
      <c r="CJ117" s="176"/>
      <c r="CK117" s="176"/>
      <c r="CL117" s="176"/>
      <c r="CM117" s="133" t="e">
        <f t="shared" ref="CM117:CM126" si="644">CJ117/CI117</f>
        <v>#DIV/0!</v>
      </c>
      <c r="CN117" s="177"/>
      <c r="CO117" s="135" t="e">
        <f t="shared" ref="CO117" si="645">CN117/CI117</f>
        <v>#DIV/0!</v>
      </c>
      <c r="CP117" s="127"/>
      <c r="CQ117" s="179"/>
      <c r="CR117" s="176"/>
      <c r="CS117" s="176"/>
      <c r="CT117" s="176"/>
      <c r="CU117" s="133" t="e">
        <f t="shared" ref="CU117:CU126" si="646">CR117/CQ117</f>
        <v>#DIV/0!</v>
      </c>
      <c r="CV117" s="177"/>
      <c r="CW117" s="135" t="e">
        <f t="shared" ref="CW117" si="647">CV117/CQ117</f>
        <v>#DIV/0!</v>
      </c>
      <c r="CX117" s="127"/>
      <c r="CY117" s="179"/>
      <c r="CZ117" s="176"/>
      <c r="DA117" s="176"/>
      <c r="DB117" s="176"/>
      <c r="DC117" s="133" t="e">
        <f t="shared" ref="DC117:DC126" si="648">CZ117/CY117</f>
        <v>#DIV/0!</v>
      </c>
      <c r="DD117" s="177"/>
      <c r="DE117" s="135" t="e">
        <f t="shared" ref="DE117" si="649">DD117/CY117</f>
        <v>#DIV/0!</v>
      </c>
      <c r="DF117" s="9"/>
      <c r="DG117" s="354"/>
      <c r="DH117" s="9"/>
      <c r="DI117" s="9"/>
      <c r="DJ117" s="9"/>
      <c r="DK117" s="9"/>
      <c r="DL117" s="9"/>
      <c r="DM117" s="9"/>
      <c r="DN117" s="9"/>
      <c r="DO117" s="9"/>
      <c r="DP117" s="9"/>
      <c r="DQ117" s="9"/>
      <c r="DR117" s="9"/>
      <c r="DS117" s="9"/>
      <c r="DT117" s="9"/>
      <c r="DU117" s="9"/>
      <c r="DV117" s="9"/>
      <c r="DW117" s="9"/>
      <c r="DX117" s="9"/>
      <c r="DY117" s="9"/>
      <c r="DZ117" s="9"/>
      <c r="EA117" s="9"/>
      <c r="EB117" s="9"/>
      <c r="EC117" s="9"/>
      <c r="ED117" s="9"/>
      <c r="EE117" s="9"/>
    </row>
    <row r="118" spans="1:135" s="11" customFormat="1" ht="13.15" customHeight="1">
      <c r="A118" s="396"/>
      <c r="B118" s="70" t="s">
        <v>188</v>
      </c>
      <c r="C118" s="148"/>
      <c r="D118" s="148"/>
      <c r="E118" s="148"/>
      <c r="F118" s="148"/>
      <c r="G118" s="14"/>
      <c r="H118" s="148"/>
      <c r="I118" s="14"/>
      <c r="J118" s="220"/>
      <c r="K118" s="119"/>
      <c r="L118" s="78"/>
      <c r="M118" s="21"/>
      <c r="N118" s="21"/>
      <c r="O118" s="21"/>
      <c r="P118" s="73"/>
      <c r="Q118" s="84"/>
      <c r="R118" s="74"/>
      <c r="S118" s="119"/>
      <c r="T118" s="86"/>
      <c r="U118" s="84"/>
      <c r="V118" s="84"/>
      <c r="W118" s="84"/>
      <c r="X118" s="87"/>
      <c r="Y118" s="85"/>
      <c r="Z118" s="17"/>
      <c r="AA118" s="119"/>
      <c r="AB118" s="86"/>
      <c r="AC118" s="84"/>
      <c r="AD118" s="84"/>
      <c r="AE118" s="84"/>
      <c r="AF118" s="87"/>
      <c r="AG118" s="84"/>
      <c r="AH118" s="88"/>
      <c r="AI118" s="119"/>
      <c r="AJ118" s="78"/>
      <c r="AK118" s="21"/>
      <c r="AL118" s="21"/>
      <c r="AM118" s="21"/>
      <c r="AN118" s="73"/>
      <c r="AO118" s="21"/>
      <c r="AP118" s="74"/>
      <c r="AQ118" s="119"/>
      <c r="AR118" s="78"/>
      <c r="AS118" s="21"/>
      <c r="AT118" s="21"/>
      <c r="AU118" s="21"/>
      <c r="AV118" s="73"/>
      <c r="AW118" s="21"/>
      <c r="AX118" s="74"/>
      <c r="AY118" s="119"/>
      <c r="AZ118" s="78"/>
      <c r="BA118" s="21"/>
      <c r="BB118" s="21"/>
      <c r="BC118" s="21"/>
      <c r="BD118" s="73"/>
      <c r="BE118" s="21"/>
      <c r="BF118" s="74"/>
      <c r="BG118" s="119"/>
      <c r="BH118" s="78"/>
      <c r="BI118" s="21"/>
      <c r="BJ118" s="21"/>
      <c r="BK118" s="21"/>
      <c r="BL118" s="73"/>
      <c r="BM118" s="21"/>
      <c r="BN118" s="74"/>
      <c r="BO118" s="220"/>
      <c r="BP118" s="119"/>
      <c r="BQ118" s="78"/>
      <c r="BR118" s="21"/>
      <c r="BS118" s="21"/>
      <c r="BT118" s="21"/>
      <c r="BU118" s="73"/>
      <c r="BV118" s="21"/>
      <c r="BW118" s="74"/>
      <c r="BX118" s="359"/>
      <c r="BY118" s="119"/>
      <c r="BZ118" s="374"/>
      <c r="CA118" s="346"/>
      <c r="CB118" s="346"/>
      <c r="CC118" s="346"/>
      <c r="CD118" s="133" t="e">
        <f t="shared" si="642"/>
        <v>#DIV/0!</v>
      </c>
      <c r="CE118" s="378"/>
      <c r="CF118" s="135" t="e">
        <f t="shared" si="643"/>
        <v>#DIV/0!</v>
      </c>
      <c r="CG118" s="359"/>
      <c r="CH118" s="119"/>
      <c r="CI118" s="314"/>
      <c r="CJ118" s="315"/>
      <c r="CK118" s="315"/>
      <c r="CL118" s="315"/>
      <c r="CM118" s="133"/>
      <c r="CN118" s="316"/>
      <c r="CO118" s="135"/>
      <c r="CP118" s="119"/>
      <c r="CQ118" s="314"/>
      <c r="CR118" s="315"/>
      <c r="CS118" s="315"/>
      <c r="CT118" s="315"/>
      <c r="CU118" s="133"/>
      <c r="CV118" s="316"/>
      <c r="CW118" s="135"/>
      <c r="CX118" s="119"/>
      <c r="CY118" s="314"/>
      <c r="CZ118" s="315"/>
      <c r="DA118" s="315"/>
      <c r="DB118" s="315"/>
      <c r="DC118" s="133"/>
      <c r="DD118" s="316"/>
      <c r="DE118" s="135"/>
      <c r="DF118" s="9"/>
      <c r="DG118" s="354"/>
      <c r="DH118" s="9"/>
      <c r="DI118" s="9"/>
      <c r="DJ118" s="9"/>
      <c r="DK118" s="9"/>
      <c r="DL118" s="9"/>
      <c r="DM118" s="9"/>
      <c r="DN118" s="9"/>
      <c r="DO118" s="9"/>
      <c r="DP118" s="9"/>
      <c r="DQ118" s="9"/>
      <c r="DR118" s="9"/>
      <c r="DS118" s="9"/>
      <c r="DT118" s="9"/>
      <c r="DU118" s="9"/>
      <c r="DV118" s="9"/>
      <c r="DW118" s="9"/>
      <c r="DX118" s="9"/>
      <c r="DY118" s="9"/>
      <c r="DZ118" s="9"/>
      <c r="EA118" s="9"/>
      <c r="EB118" s="9"/>
      <c r="EC118" s="9"/>
      <c r="ED118" s="9"/>
      <c r="EE118" s="9"/>
    </row>
    <row r="119" spans="1:135" s="7" customFormat="1" ht="13" customHeight="1">
      <c r="A119" s="396"/>
      <c r="B119" s="70" t="s">
        <v>119</v>
      </c>
      <c r="C119" s="346"/>
      <c r="D119" s="346"/>
      <c r="E119" s="346"/>
      <c r="F119" s="346"/>
      <c r="G119" s="14"/>
      <c r="H119" s="346"/>
      <c r="I119" s="14"/>
      <c r="J119" s="216"/>
      <c r="K119" s="111"/>
      <c r="L119" s="72"/>
      <c r="M119" s="66"/>
      <c r="N119" s="66"/>
      <c r="O119" s="66"/>
      <c r="P119" s="73"/>
      <c r="Q119" s="66"/>
      <c r="R119" s="74"/>
      <c r="S119" s="111"/>
      <c r="T119" s="154"/>
      <c r="U119" s="155"/>
      <c r="V119" s="155"/>
      <c r="W119" s="155"/>
      <c r="X119" s="87"/>
      <c r="Y119" s="155"/>
      <c r="Z119" s="88"/>
      <c r="AA119" s="111"/>
      <c r="AB119" s="72"/>
      <c r="AC119" s="66"/>
      <c r="AD119" s="66"/>
      <c r="AE119" s="66"/>
      <c r="AF119" s="73"/>
      <c r="AG119" s="155"/>
      <c r="AH119" s="74"/>
      <c r="AI119" s="111"/>
      <c r="AJ119" s="154"/>
      <c r="AK119" s="155"/>
      <c r="AL119" s="155"/>
      <c r="AM119" s="155"/>
      <c r="AN119" s="87"/>
      <c r="AO119" s="155"/>
      <c r="AP119" s="88"/>
      <c r="AQ119" s="111"/>
      <c r="AR119" s="154"/>
      <c r="AS119" s="155"/>
      <c r="AT119" s="155"/>
      <c r="AU119" s="155"/>
      <c r="AV119" s="87"/>
      <c r="AW119" s="155"/>
      <c r="AX119" s="88"/>
      <c r="AY119" s="111"/>
      <c r="AZ119" s="154"/>
      <c r="BA119" s="155"/>
      <c r="BB119" s="155"/>
      <c r="BC119" s="155"/>
      <c r="BD119" s="87"/>
      <c r="BE119" s="155"/>
      <c r="BF119" s="88"/>
      <c r="BG119" s="111"/>
      <c r="BH119" s="154"/>
      <c r="BI119" s="155"/>
      <c r="BJ119" s="155"/>
      <c r="BK119" s="155"/>
      <c r="BL119" s="87"/>
      <c r="BM119" s="155"/>
      <c r="BN119" s="88"/>
      <c r="BO119" s="216"/>
      <c r="BP119" s="111"/>
      <c r="BQ119" s="154">
        <v>161000</v>
      </c>
      <c r="BR119" s="155">
        <v>45500</v>
      </c>
      <c r="BS119" s="155">
        <v>115500</v>
      </c>
      <c r="BT119" s="155">
        <v>115500</v>
      </c>
      <c r="BU119" s="73">
        <f t="shared" si="640"/>
        <v>0.28260869565217389</v>
      </c>
      <c r="BV119" s="155">
        <v>30100</v>
      </c>
      <c r="BW119" s="74">
        <f t="shared" si="641"/>
        <v>0.18695652173913044</v>
      </c>
      <c r="BX119" s="359">
        <f t="shared" ref="BX119:BX124" si="650">BT119*$A$128</f>
        <v>87780</v>
      </c>
      <c r="BY119" s="111"/>
      <c r="BZ119" s="375">
        <v>90000</v>
      </c>
      <c r="CA119" s="376">
        <v>8000</v>
      </c>
      <c r="CB119" s="376">
        <v>82000</v>
      </c>
      <c r="CC119" s="376">
        <v>82000</v>
      </c>
      <c r="CD119" s="133">
        <f t="shared" si="642"/>
        <v>8.8888888888888892E-2</v>
      </c>
      <c r="CE119" s="376">
        <v>18040</v>
      </c>
      <c r="CF119" s="135">
        <f t="shared" si="643"/>
        <v>0.20044444444444445</v>
      </c>
      <c r="CG119" s="359">
        <f>CC119*$A$128</f>
        <v>62320</v>
      </c>
      <c r="CH119" s="111"/>
      <c r="CI119" s="157"/>
      <c r="CJ119" s="158"/>
      <c r="CK119" s="158"/>
      <c r="CL119" s="158"/>
      <c r="CM119" s="143"/>
      <c r="CN119" s="158"/>
      <c r="CO119" s="144"/>
      <c r="CP119" s="111"/>
      <c r="CQ119" s="157"/>
      <c r="CR119" s="158"/>
      <c r="CS119" s="158"/>
      <c r="CT119" s="158"/>
      <c r="CU119" s="143"/>
      <c r="CV119" s="158"/>
      <c r="CW119" s="144"/>
      <c r="CX119" s="111"/>
      <c r="CY119" s="157"/>
      <c r="CZ119" s="158"/>
      <c r="DA119" s="158"/>
      <c r="DB119" s="158"/>
      <c r="DC119" s="143"/>
      <c r="DD119" s="158"/>
      <c r="DE119" s="144"/>
      <c r="DF119" s="6"/>
      <c r="DG119" s="353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</row>
    <row r="120" spans="1:135" s="7" customFormat="1" ht="13" customHeight="1">
      <c r="A120" s="396"/>
      <c r="B120" s="70" t="s">
        <v>120</v>
      </c>
      <c r="C120" s="346"/>
      <c r="D120" s="346"/>
      <c r="E120" s="346"/>
      <c r="F120" s="346"/>
      <c r="G120" s="14"/>
      <c r="H120" s="346"/>
      <c r="I120" s="14"/>
      <c r="J120" s="216"/>
      <c r="K120" s="111"/>
      <c r="L120" s="72"/>
      <c r="M120" s="66"/>
      <c r="N120" s="66"/>
      <c r="O120" s="66"/>
      <c r="P120" s="73"/>
      <c r="Q120" s="66"/>
      <c r="R120" s="74"/>
      <c r="S120" s="111"/>
      <c r="T120" s="154"/>
      <c r="U120" s="155"/>
      <c r="V120" s="155"/>
      <c r="W120" s="155"/>
      <c r="X120" s="87"/>
      <c r="Y120" s="155"/>
      <c r="Z120" s="88"/>
      <c r="AA120" s="111"/>
      <c r="AB120" s="72"/>
      <c r="AC120" s="66"/>
      <c r="AD120" s="66"/>
      <c r="AE120" s="66"/>
      <c r="AF120" s="73"/>
      <c r="AG120" s="155"/>
      <c r="AH120" s="74"/>
      <c r="AI120" s="111"/>
      <c r="AJ120" s="154"/>
      <c r="AK120" s="155"/>
      <c r="AL120" s="155"/>
      <c r="AM120" s="155"/>
      <c r="AN120" s="87"/>
      <c r="AO120" s="155"/>
      <c r="AP120" s="88"/>
      <c r="AQ120" s="111"/>
      <c r="AR120" s="154"/>
      <c r="AS120" s="155"/>
      <c r="AT120" s="155"/>
      <c r="AU120" s="155"/>
      <c r="AV120" s="87"/>
      <c r="AW120" s="155"/>
      <c r="AX120" s="88"/>
      <c r="AY120" s="111"/>
      <c r="AZ120" s="154"/>
      <c r="BA120" s="155"/>
      <c r="BB120" s="155"/>
      <c r="BC120" s="155"/>
      <c r="BD120" s="87"/>
      <c r="BE120" s="155"/>
      <c r="BF120" s="88"/>
      <c r="BG120" s="111"/>
      <c r="BH120" s="154"/>
      <c r="BI120" s="155"/>
      <c r="BJ120" s="155"/>
      <c r="BK120" s="155"/>
      <c r="BL120" s="87"/>
      <c r="BM120" s="155"/>
      <c r="BN120" s="88"/>
      <c r="BO120" s="216"/>
      <c r="BP120" s="111"/>
      <c r="BQ120" s="154">
        <v>69000</v>
      </c>
      <c r="BR120" s="155">
        <v>18900</v>
      </c>
      <c r="BS120" s="155">
        <v>50100</v>
      </c>
      <c r="BT120" s="155">
        <v>49500</v>
      </c>
      <c r="BU120" s="73">
        <f t="shared" si="640"/>
        <v>0.27391304347826084</v>
      </c>
      <c r="BV120" s="155">
        <v>12900</v>
      </c>
      <c r="BW120" s="74">
        <f t="shared" si="641"/>
        <v>0.18695652173913044</v>
      </c>
      <c r="BX120" s="359">
        <f t="shared" si="650"/>
        <v>37620</v>
      </c>
      <c r="BY120" s="111"/>
      <c r="BZ120" s="375">
        <v>55000</v>
      </c>
      <c r="CA120" s="376">
        <v>5320</v>
      </c>
      <c r="CB120" s="376">
        <v>49680</v>
      </c>
      <c r="CC120" s="376">
        <v>49680</v>
      </c>
      <c r="CD120" s="133">
        <f t="shared" si="642"/>
        <v>9.6727272727272731E-2</v>
      </c>
      <c r="CE120" s="376">
        <v>10929.6</v>
      </c>
      <c r="CF120" s="135">
        <f t="shared" si="643"/>
        <v>0.19872000000000001</v>
      </c>
      <c r="CG120" s="359">
        <f>CC120*$A$128</f>
        <v>37756.800000000003</v>
      </c>
      <c r="CH120" s="111"/>
      <c r="CI120" s="157"/>
      <c r="CJ120" s="158"/>
      <c r="CK120" s="158"/>
      <c r="CL120" s="158"/>
      <c r="CM120" s="143"/>
      <c r="CN120" s="158"/>
      <c r="CO120" s="144"/>
      <c r="CP120" s="111"/>
      <c r="CQ120" s="157"/>
      <c r="CR120" s="158"/>
      <c r="CS120" s="158"/>
      <c r="CT120" s="158"/>
      <c r="CU120" s="143"/>
      <c r="CV120" s="158"/>
      <c r="CW120" s="144"/>
      <c r="CX120" s="111"/>
      <c r="CY120" s="157"/>
      <c r="CZ120" s="158"/>
      <c r="DA120" s="158"/>
      <c r="DB120" s="158"/>
      <c r="DC120" s="143"/>
      <c r="DD120" s="158"/>
      <c r="DE120" s="144"/>
      <c r="DF120" s="6"/>
      <c r="DG120" s="353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</row>
    <row r="121" spans="1:135" s="7" customFormat="1" ht="13" customHeight="1">
      <c r="A121" s="396"/>
      <c r="B121" s="70" t="s">
        <v>121</v>
      </c>
      <c r="C121" s="346"/>
      <c r="D121" s="346"/>
      <c r="E121" s="346"/>
      <c r="F121" s="346"/>
      <c r="G121" s="14"/>
      <c r="H121" s="346"/>
      <c r="I121" s="14"/>
      <c r="J121" s="216"/>
      <c r="K121" s="111"/>
      <c r="L121" s="72"/>
      <c r="M121" s="66"/>
      <c r="N121" s="66"/>
      <c r="O121" s="66"/>
      <c r="P121" s="73"/>
      <c r="Q121" s="66"/>
      <c r="R121" s="74"/>
      <c r="S121" s="111"/>
      <c r="T121" s="154"/>
      <c r="U121" s="155"/>
      <c r="V121" s="155"/>
      <c r="W121" s="155"/>
      <c r="X121" s="87"/>
      <c r="Y121" s="155"/>
      <c r="Z121" s="88"/>
      <c r="AA121" s="111"/>
      <c r="AB121" s="72"/>
      <c r="AC121" s="66"/>
      <c r="AD121" s="66"/>
      <c r="AE121" s="66"/>
      <c r="AF121" s="73"/>
      <c r="AG121" s="155"/>
      <c r="AH121" s="74"/>
      <c r="AI121" s="111"/>
      <c r="AJ121" s="154"/>
      <c r="AK121" s="155"/>
      <c r="AL121" s="155"/>
      <c r="AM121" s="155"/>
      <c r="AN121" s="87"/>
      <c r="AO121" s="155"/>
      <c r="AP121" s="88"/>
      <c r="AQ121" s="111"/>
      <c r="AR121" s="154"/>
      <c r="AS121" s="155"/>
      <c r="AT121" s="155"/>
      <c r="AU121" s="155"/>
      <c r="AV121" s="87"/>
      <c r="AW121" s="155"/>
      <c r="AX121" s="88"/>
      <c r="AY121" s="111"/>
      <c r="AZ121" s="154"/>
      <c r="BA121" s="155"/>
      <c r="BB121" s="155"/>
      <c r="BC121" s="155"/>
      <c r="BD121" s="87"/>
      <c r="BE121" s="155"/>
      <c r="BF121" s="88"/>
      <c r="BG121" s="111"/>
      <c r="BH121" s="154"/>
      <c r="BI121" s="155"/>
      <c r="BJ121" s="155"/>
      <c r="BK121" s="155"/>
      <c r="BL121" s="87"/>
      <c r="BM121" s="155"/>
      <c r="BN121" s="88"/>
      <c r="BO121" s="216"/>
      <c r="BP121" s="111"/>
      <c r="BQ121" s="154"/>
      <c r="BR121" s="155"/>
      <c r="BS121" s="155"/>
      <c r="BT121" s="155"/>
      <c r="BU121" s="87"/>
      <c r="BV121" s="155"/>
      <c r="BW121" s="88"/>
      <c r="BX121" s="359">
        <f t="shared" si="650"/>
        <v>0</v>
      </c>
      <c r="BY121" s="111"/>
      <c r="BZ121" s="375"/>
      <c r="CA121" s="376">
        <v>0</v>
      </c>
      <c r="CB121" s="376"/>
      <c r="CC121" s="376"/>
      <c r="CD121" s="133" t="e">
        <f t="shared" si="642"/>
        <v>#DIV/0!</v>
      </c>
      <c r="CE121" s="376">
        <v>0</v>
      </c>
      <c r="CF121" s="135" t="e">
        <f t="shared" si="643"/>
        <v>#DIV/0!</v>
      </c>
      <c r="CG121" s="359">
        <f t="shared" ref="CG121" si="651">CC121*$A$128</f>
        <v>0</v>
      </c>
      <c r="CH121" s="111"/>
      <c r="CI121" s="157"/>
      <c r="CJ121" s="158"/>
      <c r="CK121" s="158"/>
      <c r="CL121" s="158"/>
      <c r="CM121" s="143"/>
      <c r="CN121" s="158"/>
      <c r="CO121" s="144"/>
      <c r="CP121" s="111"/>
      <c r="CQ121" s="157"/>
      <c r="CR121" s="158"/>
      <c r="CS121" s="158"/>
      <c r="CT121" s="158"/>
      <c r="CU121" s="143"/>
      <c r="CV121" s="158"/>
      <c r="CW121" s="144"/>
      <c r="CX121" s="111"/>
      <c r="CY121" s="157"/>
      <c r="CZ121" s="158"/>
      <c r="DA121" s="158"/>
      <c r="DB121" s="158"/>
      <c r="DC121" s="143"/>
      <c r="DD121" s="158"/>
      <c r="DE121" s="144"/>
      <c r="DF121" s="6"/>
      <c r="DG121" s="353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</row>
    <row r="122" spans="1:135" s="7" customFormat="1" ht="13" customHeight="1">
      <c r="A122" s="396"/>
      <c r="B122" s="70" t="s">
        <v>122</v>
      </c>
      <c r="C122" s="346"/>
      <c r="D122" s="346"/>
      <c r="E122" s="346"/>
      <c r="F122" s="346"/>
      <c r="G122" s="14"/>
      <c r="H122" s="346"/>
      <c r="I122" s="14"/>
      <c r="J122" s="216"/>
      <c r="K122" s="111"/>
      <c r="L122" s="72"/>
      <c r="M122" s="66"/>
      <c r="N122" s="66"/>
      <c r="O122" s="66"/>
      <c r="P122" s="73"/>
      <c r="Q122" s="66"/>
      <c r="R122" s="74"/>
      <c r="S122" s="111"/>
      <c r="T122" s="154"/>
      <c r="U122" s="155"/>
      <c r="V122" s="155"/>
      <c r="W122" s="155"/>
      <c r="X122" s="87"/>
      <c r="Y122" s="155"/>
      <c r="Z122" s="88"/>
      <c r="AA122" s="111"/>
      <c r="AB122" s="72"/>
      <c r="AC122" s="66"/>
      <c r="AD122" s="66"/>
      <c r="AE122" s="66"/>
      <c r="AF122" s="73"/>
      <c r="AG122" s="155"/>
      <c r="AH122" s="74"/>
      <c r="AI122" s="111"/>
      <c r="AJ122" s="154"/>
      <c r="AK122" s="155"/>
      <c r="AL122" s="155"/>
      <c r="AM122" s="155"/>
      <c r="AN122" s="87"/>
      <c r="AO122" s="155"/>
      <c r="AP122" s="88"/>
      <c r="AQ122" s="111"/>
      <c r="AR122" s="154"/>
      <c r="AS122" s="155"/>
      <c r="AT122" s="155"/>
      <c r="AU122" s="155"/>
      <c r="AV122" s="87"/>
      <c r="AW122" s="155"/>
      <c r="AX122" s="88"/>
      <c r="AY122" s="111"/>
      <c r="AZ122" s="154"/>
      <c r="BA122" s="155"/>
      <c r="BB122" s="155"/>
      <c r="BC122" s="155"/>
      <c r="BD122" s="87"/>
      <c r="BE122" s="155"/>
      <c r="BF122" s="88"/>
      <c r="BG122" s="111"/>
      <c r="BH122" s="154"/>
      <c r="BI122" s="155"/>
      <c r="BJ122" s="155"/>
      <c r="BK122" s="155"/>
      <c r="BL122" s="87"/>
      <c r="BM122" s="155"/>
      <c r="BN122" s="88"/>
      <c r="BO122" s="216"/>
      <c r="BP122" s="111"/>
      <c r="BQ122" s="154"/>
      <c r="BR122" s="155"/>
      <c r="BS122" s="155"/>
      <c r="BT122" s="155"/>
      <c r="BU122" s="87"/>
      <c r="BV122" s="155"/>
      <c r="BW122" s="88"/>
      <c r="BX122" s="359">
        <f t="shared" si="650"/>
        <v>0</v>
      </c>
      <c r="BY122" s="111"/>
      <c r="BZ122" s="375">
        <v>20000</v>
      </c>
      <c r="CA122" s="376">
        <v>3600</v>
      </c>
      <c r="CB122" s="376">
        <v>16400</v>
      </c>
      <c r="CC122" s="376">
        <v>16400</v>
      </c>
      <c r="CD122" s="133">
        <f t="shared" si="642"/>
        <v>0.18</v>
      </c>
      <c r="CE122" s="376">
        <v>3608</v>
      </c>
      <c r="CF122" s="135">
        <f t="shared" si="643"/>
        <v>0.1804</v>
      </c>
      <c r="CG122" s="359">
        <f>CC122*$A$128</f>
        <v>12464</v>
      </c>
      <c r="CH122" s="111"/>
      <c r="CI122" s="157"/>
      <c r="CJ122" s="158"/>
      <c r="CK122" s="158"/>
      <c r="CL122" s="158"/>
      <c r="CM122" s="143"/>
      <c r="CN122" s="158"/>
      <c r="CO122" s="144"/>
      <c r="CP122" s="111"/>
      <c r="CQ122" s="157"/>
      <c r="CR122" s="158"/>
      <c r="CS122" s="158"/>
      <c r="CT122" s="158"/>
      <c r="CU122" s="143"/>
      <c r="CV122" s="158"/>
      <c r="CW122" s="144"/>
      <c r="CX122" s="111"/>
      <c r="CY122" s="157"/>
      <c r="CZ122" s="158"/>
      <c r="DA122" s="158"/>
      <c r="DB122" s="158"/>
      <c r="DC122" s="143"/>
      <c r="DD122" s="158"/>
      <c r="DE122" s="144"/>
      <c r="DF122" s="6"/>
      <c r="DG122" s="353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</row>
    <row r="123" spans="1:135" s="11" customFormat="1" ht="13.15" customHeight="1">
      <c r="A123" s="396"/>
      <c r="B123" s="70" t="s">
        <v>14</v>
      </c>
      <c r="C123" s="346">
        <f t="shared" si="622"/>
        <v>4777957.784</v>
      </c>
      <c r="D123" s="346">
        <f t="shared" si="619"/>
        <v>1206171.6039999998</v>
      </c>
      <c r="E123" s="346">
        <f t="shared" si="620"/>
        <v>3571786.1799999997</v>
      </c>
      <c r="F123" s="346">
        <f t="shared" si="621"/>
        <v>3571786.1799999997</v>
      </c>
      <c r="G123" s="14">
        <f t="shared" si="623"/>
        <v>0.25244501071966774</v>
      </c>
      <c r="H123" s="346">
        <f t="shared" si="624"/>
        <v>1115629.68</v>
      </c>
      <c r="I123" s="14">
        <f>H123/C123</f>
        <v>0.23349508941580049</v>
      </c>
      <c r="J123" s="216">
        <f>F123*$A$128</f>
        <v>2714557.4967999998</v>
      </c>
      <c r="K123" s="127"/>
      <c r="L123" s="81">
        <v>133920</v>
      </c>
      <c r="M123" s="71">
        <v>25920</v>
      </c>
      <c r="N123" s="71">
        <v>108000</v>
      </c>
      <c r="O123" s="71">
        <v>108000</v>
      </c>
      <c r="P123" s="73">
        <f t="shared" si="626"/>
        <v>0.19354838709677419</v>
      </c>
      <c r="Q123" s="164">
        <v>0</v>
      </c>
      <c r="R123" s="74">
        <f>Q123/L123</f>
        <v>0</v>
      </c>
      <c r="S123" s="127"/>
      <c r="T123" s="171">
        <v>556003.071</v>
      </c>
      <c r="U123" s="172">
        <v>128308.40099999998</v>
      </c>
      <c r="V123" s="172">
        <v>427694.67</v>
      </c>
      <c r="W123" s="172">
        <v>427694.67</v>
      </c>
      <c r="X123" s="87">
        <f t="shared" si="628"/>
        <v>0.23076923076923075</v>
      </c>
      <c r="Y123" s="173">
        <v>150302</v>
      </c>
      <c r="Z123" s="88">
        <f>Y123/T123</f>
        <v>0.27032584501678047</v>
      </c>
      <c r="AA123" s="127"/>
      <c r="AB123" s="167">
        <v>620003.37100000004</v>
      </c>
      <c r="AC123" s="164">
        <v>143077.701</v>
      </c>
      <c r="AD123" s="164">
        <v>476925.67</v>
      </c>
      <c r="AE123" s="164">
        <v>476925.67</v>
      </c>
      <c r="AF123" s="87">
        <f t="shared" si="630"/>
        <v>0.23076923076923075</v>
      </c>
      <c r="AG123" s="164">
        <v>0</v>
      </c>
      <c r="AH123" s="88">
        <f>AG123/AB123</f>
        <v>0</v>
      </c>
      <c r="AI123" s="127"/>
      <c r="AJ123" s="167">
        <v>556003.071</v>
      </c>
      <c r="AK123" s="164">
        <v>128308.40099999998</v>
      </c>
      <c r="AL123" s="164">
        <v>427694.67</v>
      </c>
      <c r="AM123" s="164">
        <v>427694.67</v>
      </c>
      <c r="AN123" s="87">
        <f t="shared" si="632"/>
        <v>0.23076923076923075</v>
      </c>
      <c r="AO123" s="164">
        <v>212009</v>
      </c>
      <c r="AP123" s="88">
        <f>AO123/AJ123</f>
        <v>0.38130904496389012</v>
      </c>
      <c r="AQ123" s="127"/>
      <c r="AR123" s="167">
        <v>556003.071</v>
      </c>
      <c r="AS123" s="164">
        <v>128308.40099999998</v>
      </c>
      <c r="AT123" s="164">
        <v>427694.67</v>
      </c>
      <c r="AU123" s="164">
        <v>427694.67</v>
      </c>
      <c r="AV123" s="87">
        <f t="shared" si="634"/>
        <v>0.23076923076923075</v>
      </c>
      <c r="AW123" s="164">
        <v>220113</v>
      </c>
      <c r="AX123" s="88">
        <f>AW123/AR123</f>
        <v>0.39588450402641751</v>
      </c>
      <c r="AY123" s="127"/>
      <c r="AZ123" s="168">
        <v>556002.19999999995</v>
      </c>
      <c r="BA123" s="169">
        <v>128308.2</v>
      </c>
      <c r="BB123" s="169">
        <v>427694</v>
      </c>
      <c r="BC123" s="169">
        <v>427694</v>
      </c>
      <c r="BD123" s="87">
        <f t="shared" si="636"/>
        <v>0.23076923076923078</v>
      </c>
      <c r="BE123" s="169">
        <v>220113</v>
      </c>
      <c r="BF123" s="88">
        <f>BE123/AZ123</f>
        <v>0.39588512419555177</v>
      </c>
      <c r="BG123" s="127"/>
      <c r="BH123" s="81">
        <v>650000</v>
      </c>
      <c r="BI123" s="71">
        <v>165382.5</v>
      </c>
      <c r="BJ123" s="71">
        <v>484617.5</v>
      </c>
      <c r="BK123" s="71">
        <v>484617.5</v>
      </c>
      <c r="BL123" s="73">
        <f t="shared" si="638"/>
        <v>0.25443461538461537</v>
      </c>
      <c r="BM123" s="330">
        <v>120000</v>
      </c>
      <c r="BN123" s="74">
        <f>BM123/BH123</f>
        <v>0.18461538461538463</v>
      </c>
      <c r="BO123" s="216">
        <f>BK123*$A$128</f>
        <v>368309.3</v>
      </c>
      <c r="BP123" s="127"/>
      <c r="BQ123" s="81">
        <v>530023</v>
      </c>
      <c r="BR123" s="71">
        <v>206252</v>
      </c>
      <c r="BS123" s="71">
        <v>323771</v>
      </c>
      <c r="BT123" s="71">
        <v>323771</v>
      </c>
      <c r="BU123" s="73">
        <f t="shared" si="640"/>
        <v>0.38913782986776047</v>
      </c>
      <c r="BV123" s="71">
        <v>90200</v>
      </c>
      <c r="BW123" s="74">
        <f>BV123/BQ123</f>
        <v>0.17018129401931614</v>
      </c>
      <c r="BX123" s="359">
        <f t="shared" si="650"/>
        <v>246065.96</v>
      </c>
      <c r="BY123" s="127"/>
      <c r="BZ123" s="372">
        <v>620000</v>
      </c>
      <c r="CA123" s="373">
        <v>152306</v>
      </c>
      <c r="CB123" s="373">
        <v>467694</v>
      </c>
      <c r="CC123" s="373">
        <v>467694</v>
      </c>
      <c r="CD123" s="133">
        <f t="shared" si="642"/>
        <v>0.24565483870967741</v>
      </c>
      <c r="CE123" s="376">
        <v>102892.68000000001</v>
      </c>
      <c r="CF123" s="135">
        <f>CE123/BZ123</f>
        <v>0.16595593548387097</v>
      </c>
      <c r="CG123" s="359">
        <f>CC123*$A$128</f>
        <v>355447.44</v>
      </c>
      <c r="CH123" s="127"/>
      <c r="CI123" s="179"/>
      <c r="CJ123" s="176"/>
      <c r="CK123" s="176"/>
      <c r="CL123" s="176"/>
      <c r="CM123" s="133" t="e">
        <f t="shared" si="644"/>
        <v>#DIV/0!</v>
      </c>
      <c r="CN123" s="177"/>
      <c r="CO123" s="135" t="e">
        <f>CN123/CI123</f>
        <v>#DIV/0!</v>
      </c>
      <c r="CP123" s="127"/>
      <c r="CQ123" s="179"/>
      <c r="CR123" s="176"/>
      <c r="CS123" s="176"/>
      <c r="CT123" s="176"/>
      <c r="CU123" s="133" t="e">
        <f t="shared" si="646"/>
        <v>#DIV/0!</v>
      </c>
      <c r="CV123" s="177"/>
      <c r="CW123" s="135" t="e">
        <f>CV123/CQ123</f>
        <v>#DIV/0!</v>
      </c>
      <c r="CX123" s="127"/>
      <c r="CY123" s="179"/>
      <c r="CZ123" s="176"/>
      <c r="DA123" s="176"/>
      <c r="DB123" s="176"/>
      <c r="DC123" s="133" t="e">
        <f t="shared" si="648"/>
        <v>#DIV/0!</v>
      </c>
      <c r="DD123" s="177"/>
      <c r="DE123" s="135" t="e">
        <f>DD123/CY123</f>
        <v>#DIV/0!</v>
      </c>
      <c r="DF123" s="9"/>
      <c r="DG123" s="354"/>
      <c r="DH123" s="9"/>
      <c r="DI123" s="9"/>
      <c r="DJ123" s="9"/>
      <c r="DK123" s="9"/>
      <c r="DL123" s="9"/>
      <c r="DM123" s="9"/>
      <c r="DN123" s="9"/>
      <c r="DO123" s="9"/>
      <c r="DP123" s="9"/>
      <c r="DQ123" s="9"/>
      <c r="DR123" s="9"/>
      <c r="DS123" s="9"/>
      <c r="DT123" s="9"/>
      <c r="DU123" s="9"/>
      <c r="DV123" s="9"/>
      <c r="DW123" s="9"/>
      <c r="DX123" s="9"/>
      <c r="DY123" s="9"/>
      <c r="DZ123" s="9"/>
      <c r="EA123" s="9"/>
      <c r="EB123" s="9"/>
      <c r="EC123" s="9"/>
      <c r="ED123" s="9"/>
      <c r="EE123" s="9"/>
    </row>
    <row r="124" spans="1:135" s="11" customFormat="1" ht="13.15" customHeight="1">
      <c r="A124" s="396"/>
      <c r="B124" s="70" t="s">
        <v>15</v>
      </c>
      <c r="C124" s="346">
        <f t="shared" si="622"/>
        <v>653040</v>
      </c>
      <c r="D124" s="346">
        <f t="shared" si="619"/>
        <v>72240</v>
      </c>
      <c r="E124" s="346">
        <f t="shared" si="620"/>
        <v>580800</v>
      </c>
      <c r="F124" s="346">
        <f t="shared" si="621"/>
        <v>580800</v>
      </c>
      <c r="G124" s="14">
        <f t="shared" si="623"/>
        <v>0.11062109518559353</v>
      </c>
      <c r="H124" s="346">
        <f t="shared" si="624"/>
        <v>7700</v>
      </c>
      <c r="I124" s="14">
        <f>H124/C124</f>
        <v>1.1791008207766752E-2</v>
      </c>
      <c r="J124" s="216">
        <f>F124*$A$128</f>
        <v>441408</v>
      </c>
      <c r="K124" s="127"/>
      <c r="L124" s="81">
        <v>0</v>
      </c>
      <c r="M124" s="71">
        <v>0</v>
      </c>
      <c r="N124" s="71">
        <v>0</v>
      </c>
      <c r="O124" s="71">
        <v>0</v>
      </c>
      <c r="P124" s="73" t="e">
        <f t="shared" si="626"/>
        <v>#DIV/0!</v>
      </c>
      <c r="Q124" s="164">
        <v>0</v>
      </c>
      <c r="R124" s="74" t="e">
        <f>Q124/L124</f>
        <v>#DIV/0!</v>
      </c>
      <c r="S124" s="127"/>
      <c r="T124" s="171">
        <v>183040</v>
      </c>
      <c r="U124" s="172">
        <v>42240</v>
      </c>
      <c r="V124" s="172">
        <v>140800</v>
      </c>
      <c r="W124" s="172">
        <v>140800</v>
      </c>
      <c r="X124" s="87">
        <f t="shared" si="628"/>
        <v>0.23076923076923078</v>
      </c>
      <c r="Y124" s="173">
        <v>0</v>
      </c>
      <c r="Z124" s="88">
        <f>Y124/T124</f>
        <v>0</v>
      </c>
      <c r="AA124" s="127"/>
      <c r="AB124" s="167">
        <v>67000</v>
      </c>
      <c r="AC124" s="164">
        <v>0</v>
      </c>
      <c r="AD124" s="164">
        <v>67000</v>
      </c>
      <c r="AE124" s="164">
        <v>67000</v>
      </c>
      <c r="AF124" s="87">
        <f t="shared" si="630"/>
        <v>0</v>
      </c>
      <c r="AG124" s="164">
        <v>0</v>
      </c>
      <c r="AH124" s="88">
        <f>AG124/AB124</f>
        <v>0</v>
      </c>
      <c r="AI124" s="127"/>
      <c r="AJ124" s="167">
        <v>134000</v>
      </c>
      <c r="AK124" s="164"/>
      <c r="AL124" s="164">
        <v>134000</v>
      </c>
      <c r="AM124" s="164">
        <v>134000</v>
      </c>
      <c r="AN124" s="87">
        <f t="shared" si="632"/>
        <v>0</v>
      </c>
      <c r="AO124" s="164">
        <v>0</v>
      </c>
      <c r="AP124" s="88">
        <f>AO124/AJ124</f>
        <v>0</v>
      </c>
      <c r="AQ124" s="127"/>
      <c r="AR124" s="167">
        <v>124000</v>
      </c>
      <c r="AS124" s="164">
        <v>0</v>
      </c>
      <c r="AT124" s="164">
        <v>124000</v>
      </c>
      <c r="AU124" s="164">
        <v>124000</v>
      </c>
      <c r="AV124" s="87">
        <f t="shared" si="634"/>
        <v>0</v>
      </c>
      <c r="AW124" s="164">
        <v>0</v>
      </c>
      <c r="AX124" s="88">
        <f>AW124/AR124</f>
        <v>0</v>
      </c>
      <c r="AY124" s="127"/>
      <c r="AZ124" s="168">
        <v>0</v>
      </c>
      <c r="BA124" s="169">
        <v>0</v>
      </c>
      <c r="BB124" s="169">
        <v>0</v>
      </c>
      <c r="BC124" s="169">
        <v>0</v>
      </c>
      <c r="BD124" s="87" t="e">
        <f t="shared" si="636"/>
        <v>#DIV/0!</v>
      </c>
      <c r="BE124" s="169"/>
      <c r="BF124" s="88" t="e">
        <f>BE124/AZ124</f>
        <v>#DIV/0!</v>
      </c>
      <c r="BG124" s="127"/>
      <c r="BH124" s="81">
        <v>90000</v>
      </c>
      <c r="BI124" s="71">
        <v>10000</v>
      </c>
      <c r="BJ124" s="71">
        <v>80000</v>
      </c>
      <c r="BK124" s="71">
        <v>80000</v>
      </c>
      <c r="BL124" s="73">
        <f t="shared" si="638"/>
        <v>0.1111111111111111</v>
      </c>
      <c r="BM124" s="330"/>
      <c r="BN124" s="74">
        <f>BM124/BH124</f>
        <v>0</v>
      </c>
      <c r="BO124" s="216">
        <f>BK124*$A$128</f>
        <v>60800</v>
      </c>
      <c r="BP124" s="127"/>
      <c r="BQ124" s="81"/>
      <c r="BR124" s="71"/>
      <c r="BS124" s="71"/>
      <c r="BT124" s="71"/>
      <c r="BU124" s="73" t="e">
        <f t="shared" si="640"/>
        <v>#DIV/0!</v>
      </c>
      <c r="BV124" s="71"/>
      <c r="BW124" s="74" t="e">
        <f>BV124/BQ124</f>
        <v>#DIV/0!</v>
      </c>
      <c r="BX124" s="359">
        <f t="shared" si="650"/>
        <v>0</v>
      </c>
      <c r="BY124" s="127"/>
      <c r="BZ124" s="372">
        <v>55000</v>
      </c>
      <c r="CA124" s="373">
        <v>20000</v>
      </c>
      <c r="CB124" s="373">
        <v>35000</v>
      </c>
      <c r="CC124" s="373">
        <v>35000</v>
      </c>
      <c r="CD124" s="133">
        <f t="shared" si="642"/>
        <v>0.36363636363636365</v>
      </c>
      <c r="CE124" s="376">
        <v>7700</v>
      </c>
      <c r="CF124" s="135">
        <f>CE124/BZ124</f>
        <v>0.14000000000000001</v>
      </c>
      <c r="CG124" s="359">
        <f>CC124*$A$128</f>
        <v>26600</v>
      </c>
      <c r="CH124" s="127"/>
      <c r="CI124" s="179"/>
      <c r="CJ124" s="176"/>
      <c r="CK124" s="176"/>
      <c r="CL124" s="176"/>
      <c r="CM124" s="133" t="e">
        <f t="shared" si="644"/>
        <v>#DIV/0!</v>
      </c>
      <c r="CN124" s="177"/>
      <c r="CO124" s="135" t="e">
        <f>CN124/CI124</f>
        <v>#DIV/0!</v>
      </c>
      <c r="CP124" s="127"/>
      <c r="CQ124" s="179"/>
      <c r="CR124" s="176"/>
      <c r="CS124" s="176"/>
      <c r="CT124" s="176"/>
      <c r="CU124" s="133" t="e">
        <f t="shared" si="646"/>
        <v>#DIV/0!</v>
      </c>
      <c r="CV124" s="177"/>
      <c r="CW124" s="135" t="e">
        <f>CV124/CQ124</f>
        <v>#DIV/0!</v>
      </c>
      <c r="CX124" s="127"/>
      <c r="CY124" s="179"/>
      <c r="CZ124" s="176"/>
      <c r="DA124" s="176"/>
      <c r="DB124" s="176"/>
      <c r="DC124" s="133" t="e">
        <f t="shared" si="648"/>
        <v>#DIV/0!</v>
      </c>
      <c r="DD124" s="177"/>
      <c r="DE124" s="135" t="e">
        <f>DD124/CY124</f>
        <v>#DIV/0!</v>
      </c>
      <c r="DF124" s="9"/>
      <c r="DG124" s="354"/>
      <c r="DH124" s="9"/>
      <c r="DI124" s="9"/>
      <c r="DJ124" s="9"/>
      <c r="DK124" s="9"/>
      <c r="DL124" s="9"/>
      <c r="DM124" s="9"/>
      <c r="DN124" s="9"/>
      <c r="DO124" s="9"/>
      <c r="DP124" s="9"/>
      <c r="DQ124" s="9"/>
      <c r="DR124" s="9"/>
      <c r="DS124" s="9"/>
      <c r="DT124" s="9"/>
      <c r="DU124" s="9"/>
      <c r="DV124" s="9"/>
      <c r="DW124" s="9"/>
      <c r="DX124" s="9"/>
      <c r="DY124" s="9"/>
      <c r="DZ124" s="9"/>
      <c r="EA124" s="9"/>
      <c r="EB124" s="9"/>
      <c r="EC124" s="9"/>
      <c r="ED124" s="9"/>
      <c r="EE124" s="9"/>
    </row>
    <row r="125" spans="1:135" s="11" customFormat="1" ht="13.15" customHeight="1">
      <c r="A125" s="396"/>
      <c r="B125" s="70" t="s">
        <v>16</v>
      </c>
      <c r="C125" s="346">
        <f t="shared" si="622"/>
        <v>3290724.64</v>
      </c>
      <c r="D125" s="346">
        <f t="shared" si="619"/>
        <v>733577.6399999999</v>
      </c>
      <c r="E125" s="346">
        <f t="shared" si="620"/>
        <v>2557147</v>
      </c>
      <c r="F125" s="346">
        <f t="shared" si="621"/>
        <v>2557147</v>
      </c>
      <c r="G125" s="14">
        <f t="shared" si="623"/>
        <v>0.2229228271132403</v>
      </c>
      <c r="H125" s="346">
        <f t="shared" si="624"/>
        <v>483689.89</v>
      </c>
      <c r="I125" s="14">
        <f t="shared" ref="I125:I126" si="652">H125/C125</f>
        <v>0.14698582923668752</v>
      </c>
      <c r="J125" s="216">
        <f>F125*$A$128</f>
        <v>1943431.72</v>
      </c>
      <c r="K125" s="127"/>
      <c r="L125" s="81">
        <v>126525.88</v>
      </c>
      <c r="M125" s="71">
        <v>24488.879999999997</v>
      </c>
      <c r="N125" s="71">
        <v>102037</v>
      </c>
      <c r="O125" s="71">
        <v>102037</v>
      </c>
      <c r="P125" s="73">
        <f t="shared" si="626"/>
        <v>0.19354838709677416</v>
      </c>
      <c r="Q125" s="164">
        <v>0</v>
      </c>
      <c r="R125" s="74">
        <f t="shared" ref="R125" si="653">Q125/L125</f>
        <v>0</v>
      </c>
      <c r="S125" s="127"/>
      <c r="T125" s="171">
        <v>363804.83999999997</v>
      </c>
      <c r="U125" s="172">
        <v>70413.84</v>
      </c>
      <c r="V125" s="172">
        <v>293391</v>
      </c>
      <c r="W125" s="172">
        <v>293391</v>
      </c>
      <c r="X125" s="87">
        <f t="shared" si="628"/>
        <v>0.19354838709677419</v>
      </c>
      <c r="Y125" s="173">
        <v>73347.75</v>
      </c>
      <c r="Z125" s="88">
        <f t="shared" ref="Z125" si="654">Y125/T125</f>
        <v>0.20161290322580647</v>
      </c>
      <c r="AA125" s="127"/>
      <c r="AB125" s="167">
        <v>470229.08</v>
      </c>
      <c r="AC125" s="164">
        <v>91012.08</v>
      </c>
      <c r="AD125" s="164">
        <v>379217</v>
      </c>
      <c r="AE125" s="164">
        <v>379217</v>
      </c>
      <c r="AF125" s="87">
        <f t="shared" si="630"/>
        <v>0.19354838709677419</v>
      </c>
      <c r="AG125" s="164">
        <v>48000</v>
      </c>
      <c r="AH125" s="88">
        <f t="shared" ref="AH125" si="655">AG125/AB125</f>
        <v>0.10207790636852999</v>
      </c>
      <c r="AI125" s="127"/>
      <c r="AJ125" s="167">
        <v>261487.47999999998</v>
      </c>
      <c r="AK125" s="164">
        <v>50610.479999999996</v>
      </c>
      <c r="AL125" s="164">
        <v>210877</v>
      </c>
      <c r="AM125" s="164">
        <v>210877</v>
      </c>
      <c r="AN125" s="87">
        <f t="shared" si="632"/>
        <v>0.19354838709677419</v>
      </c>
      <c r="AO125" s="164">
        <v>48000</v>
      </c>
      <c r="AP125" s="88">
        <f t="shared" ref="AP125" si="656">AO125/AJ125</f>
        <v>0.18356519401999669</v>
      </c>
      <c r="AQ125" s="127"/>
      <c r="AR125" s="167">
        <v>261487.47999999998</v>
      </c>
      <c r="AS125" s="164">
        <v>50610.479999999996</v>
      </c>
      <c r="AT125" s="164">
        <v>210877</v>
      </c>
      <c r="AU125" s="164">
        <v>210877</v>
      </c>
      <c r="AV125" s="87">
        <f t="shared" si="634"/>
        <v>0.19354838709677419</v>
      </c>
      <c r="AW125" s="164">
        <v>48000</v>
      </c>
      <c r="AX125" s="88">
        <f t="shared" ref="AX125" si="657">AW125/AR125</f>
        <v>0.18356519401999669</v>
      </c>
      <c r="AY125" s="127"/>
      <c r="AZ125" s="168">
        <v>447189.88</v>
      </c>
      <c r="BA125" s="169">
        <v>86552.87999999999</v>
      </c>
      <c r="BB125" s="169">
        <v>360637</v>
      </c>
      <c r="BC125" s="169">
        <v>360637</v>
      </c>
      <c r="BD125" s="87">
        <f t="shared" si="636"/>
        <v>0.19354838709677416</v>
      </c>
      <c r="BE125" s="169">
        <v>48000</v>
      </c>
      <c r="BF125" s="88">
        <f t="shared" ref="BF125" si="658">BE125/AZ125</f>
        <v>0.10733695494182471</v>
      </c>
      <c r="BG125" s="127"/>
      <c r="BH125" s="81">
        <v>420000</v>
      </c>
      <c r="BI125" s="71">
        <v>59363</v>
      </c>
      <c r="BJ125" s="71">
        <v>360637</v>
      </c>
      <c r="BK125" s="71">
        <v>360637</v>
      </c>
      <c r="BL125" s="73">
        <f t="shared" si="638"/>
        <v>0.14134047619047618</v>
      </c>
      <c r="BM125" s="330">
        <v>72000</v>
      </c>
      <c r="BN125" s="74">
        <f t="shared" ref="BN125" si="659">BM125/BH125</f>
        <v>0.17142857142857143</v>
      </c>
      <c r="BO125" s="216">
        <f>BK125*$A$128</f>
        <v>274084.12</v>
      </c>
      <c r="BP125" s="127"/>
      <c r="BQ125" s="81">
        <v>400000</v>
      </c>
      <c r="BR125" s="71">
        <v>80263</v>
      </c>
      <c r="BS125" s="71">
        <v>319737</v>
      </c>
      <c r="BT125" s="71">
        <v>319737</v>
      </c>
      <c r="BU125" s="73">
        <f t="shared" si="640"/>
        <v>0.20065749999999999</v>
      </c>
      <c r="BV125" s="71">
        <v>76000</v>
      </c>
      <c r="BW125" s="74">
        <f t="shared" ref="BW125" si="660">BV125/BQ125</f>
        <v>0.19</v>
      </c>
      <c r="BX125" s="359">
        <f>BT125*$A$128</f>
        <v>243000.12</v>
      </c>
      <c r="BY125" s="127"/>
      <c r="BZ125" s="372">
        <v>540000</v>
      </c>
      <c r="CA125" s="373">
        <v>220263</v>
      </c>
      <c r="CB125" s="373">
        <v>319737</v>
      </c>
      <c r="CC125" s="373">
        <v>319737</v>
      </c>
      <c r="CD125" s="133">
        <f t="shared" si="642"/>
        <v>0.40789444444444445</v>
      </c>
      <c r="CE125" s="376">
        <v>70342.14</v>
      </c>
      <c r="CF125" s="135">
        <f t="shared" ref="CF125" si="661">CE125/BZ125</f>
        <v>0.13026322222222222</v>
      </c>
      <c r="CG125" s="359">
        <f>CC125*$A$128</f>
        <v>243000.12</v>
      </c>
      <c r="CH125" s="127"/>
      <c r="CI125" s="179"/>
      <c r="CJ125" s="176"/>
      <c r="CK125" s="176"/>
      <c r="CL125" s="176"/>
      <c r="CM125" s="133" t="e">
        <f t="shared" si="644"/>
        <v>#DIV/0!</v>
      </c>
      <c r="CN125" s="177"/>
      <c r="CO125" s="135" t="e">
        <f t="shared" ref="CO125" si="662">CN125/CI125</f>
        <v>#DIV/0!</v>
      </c>
      <c r="CP125" s="127"/>
      <c r="CQ125" s="179"/>
      <c r="CR125" s="176"/>
      <c r="CS125" s="176"/>
      <c r="CT125" s="176"/>
      <c r="CU125" s="133" t="e">
        <f t="shared" si="646"/>
        <v>#DIV/0!</v>
      </c>
      <c r="CV125" s="177"/>
      <c r="CW125" s="135" t="e">
        <f t="shared" ref="CW125" si="663">CV125/CQ125</f>
        <v>#DIV/0!</v>
      </c>
      <c r="CX125" s="127"/>
      <c r="CY125" s="179"/>
      <c r="CZ125" s="176"/>
      <c r="DA125" s="176"/>
      <c r="DB125" s="176"/>
      <c r="DC125" s="133" t="e">
        <f t="shared" si="648"/>
        <v>#DIV/0!</v>
      </c>
      <c r="DD125" s="177"/>
      <c r="DE125" s="135" t="e">
        <f t="shared" ref="DE125" si="664">DD125/CY125</f>
        <v>#DIV/0!</v>
      </c>
      <c r="DF125" s="9"/>
      <c r="DG125" s="354"/>
      <c r="DH125" s="9"/>
      <c r="DI125" s="9"/>
      <c r="DJ125" s="9"/>
      <c r="DK125" s="9"/>
      <c r="DL125" s="9"/>
      <c r="DM125" s="9"/>
      <c r="DN125" s="9"/>
      <c r="DO125" s="9"/>
      <c r="DP125" s="9"/>
      <c r="DQ125" s="9"/>
      <c r="DR125" s="9"/>
      <c r="DS125" s="9"/>
      <c r="DT125" s="9"/>
      <c r="DU125" s="9"/>
      <c r="DV125" s="9"/>
      <c r="DW125" s="9"/>
      <c r="DX125" s="9"/>
      <c r="DY125" s="9"/>
      <c r="DZ125" s="9"/>
      <c r="EA125" s="9"/>
      <c r="EB125" s="9"/>
      <c r="EC125" s="9"/>
      <c r="ED125" s="9"/>
      <c r="EE125" s="9"/>
    </row>
    <row r="126" spans="1:135" s="11" customFormat="1" ht="13.15" customHeight="1">
      <c r="A126" s="396"/>
      <c r="B126" s="70" t="s">
        <v>17</v>
      </c>
      <c r="C126" s="346">
        <f t="shared" si="622"/>
        <v>1766426.68</v>
      </c>
      <c r="D126" s="346">
        <f t="shared" si="619"/>
        <v>533469.67999999993</v>
      </c>
      <c r="E126" s="346">
        <f t="shared" si="620"/>
        <v>1232957</v>
      </c>
      <c r="F126" s="346">
        <f t="shared" si="621"/>
        <v>1232957</v>
      </c>
      <c r="G126" s="14">
        <f t="shared" si="623"/>
        <v>0.30200499462564728</v>
      </c>
      <c r="H126" s="346">
        <f t="shared" si="624"/>
        <v>886959.66826499999</v>
      </c>
      <c r="I126" s="14">
        <f t="shared" si="652"/>
        <v>0.50212085126850559</v>
      </c>
      <c r="J126" s="216">
        <f>F126*$A$128</f>
        <v>937047.32000000007</v>
      </c>
      <c r="K126" s="127"/>
      <c r="L126" s="81">
        <v>0</v>
      </c>
      <c r="M126" s="71">
        <v>0</v>
      </c>
      <c r="N126" s="71">
        <v>0</v>
      </c>
      <c r="O126" s="71">
        <v>0</v>
      </c>
      <c r="P126" s="73" t="e">
        <f t="shared" si="626"/>
        <v>#DIV/0!</v>
      </c>
      <c r="Q126" s="164">
        <v>33412</v>
      </c>
      <c r="R126" s="74" t="e">
        <f>Q126/L126</f>
        <v>#DIV/0!</v>
      </c>
      <c r="S126" s="127"/>
      <c r="T126" s="171">
        <v>254595.56</v>
      </c>
      <c r="U126" s="172">
        <v>49276.56</v>
      </c>
      <c r="V126" s="172">
        <v>205319</v>
      </c>
      <c r="W126" s="172">
        <v>205319</v>
      </c>
      <c r="X126" s="87">
        <f t="shared" si="628"/>
        <v>0.19354838709677419</v>
      </c>
      <c r="Y126" s="173">
        <v>106923.668265</v>
      </c>
      <c r="Z126" s="88">
        <f>Y126/T126</f>
        <v>0.41997459918389779</v>
      </c>
      <c r="AA126" s="127"/>
      <c r="AB126" s="167">
        <v>254595.56</v>
      </c>
      <c r="AC126" s="164">
        <v>49276.56</v>
      </c>
      <c r="AD126" s="164">
        <v>205319</v>
      </c>
      <c r="AE126" s="164">
        <v>205319</v>
      </c>
      <c r="AF126" s="87">
        <f t="shared" si="630"/>
        <v>0.19354838709677419</v>
      </c>
      <c r="AG126" s="164">
        <v>112112</v>
      </c>
      <c r="AH126" s="88">
        <f>AG126/AB126</f>
        <v>0.4403533195944187</v>
      </c>
      <c r="AI126" s="127"/>
      <c r="AJ126" s="167">
        <v>254595.56</v>
      </c>
      <c r="AK126" s="164">
        <v>49276.56</v>
      </c>
      <c r="AL126" s="164">
        <v>205319</v>
      </c>
      <c r="AM126" s="164">
        <v>205319</v>
      </c>
      <c r="AN126" s="87">
        <f t="shared" si="632"/>
        <v>0.19354838709677419</v>
      </c>
      <c r="AO126" s="164">
        <v>112112</v>
      </c>
      <c r="AP126" s="88">
        <f>AO126/AJ126</f>
        <v>0.4403533195944187</v>
      </c>
      <c r="AQ126" s="127"/>
      <c r="AR126" s="167">
        <v>200880</v>
      </c>
      <c r="AS126" s="164">
        <v>38880</v>
      </c>
      <c r="AT126" s="164">
        <v>162000</v>
      </c>
      <c r="AU126" s="164">
        <v>162000</v>
      </c>
      <c r="AV126" s="87">
        <f t="shared" si="634"/>
        <v>0.19354838709677419</v>
      </c>
      <c r="AW126" s="164">
        <v>60200</v>
      </c>
      <c r="AX126" s="88">
        <f>AW126/AR126</f>
        <v>0.29968140183193948</v>
      </c>
      <c r="AY126" s="127"/>
      <c r="AZ126" s="168">
        <v>253760</v>
      </c>
      <c r="BA126" s="169">
        <v>60760</v>
      </c>
      <c r="BB126" s="169">
        <v>193000</v>
      </c>
      <c r="BC126" s="169">
        <v>193000</v>
      </c>
      <c r="BD126" s="87">
        <f t="shared" si="636"/>
        <v>0.23943883984867592</v>
      </c>
      <c r="BE126" s="169">
        <v>60200</v>
      </c>
      <c r="BF126" s="88">
        <f>BE126/AZ126</f>
        <v>0.23723203026481715</v>
      </c>
      <c r="BG126" s="127"/>
      <c r="BH126" s="81">
        <v>190000</v>
      </c>
      <c r="BI126" s="71">
        <v>59000</v>
      </c>
      <c r="BJ126" s="71">
        <v>131000</v>
      </c>
      <c r="BK126" s="71">
        <v>131000</v>
      </c>
      <c r="BL126" s="73">
        <f t="shared" si="638"/>
        <v>0.31052631578947371</v>
      </c>
      <c r="BM126" s="330">
        <v>200000</v>
      </c>
      <c r="BN126" s="74">
        <f>BM126/BH126</f>
        <v>1.0526315789473684</v>
      </c>
      <c r="BO126" s="216">
        <f>BK126*$A$128</f>
        <v>99560</v>
      </c>
      <c r="BP126" s="127"/>
      <c r="BQ126" s="81">
        <v>196000</v>
      </c>
      <c r="BR126" s="71">
        <v>65000</v>
      </c>
      <c r="BS126" s="71">
        <v>131000</v>
      </c>
      <c r="BT126" s="71">
        <v>131000</v>
      </c>
      <c r="BU126" s="73">
        <f t="shared" si="640"/>
        <v>0.33163265306122447</v>
      </c>
      <c r="BV126" s="71">
        <v>40000</v>
      </c>
      <c r="BW126" s="74">
        <f>BV126/BQ126</f>
        <v>0.20408163265306123</v>
      </c>
      <c r="BX126" s="359">
        <f>BT126*$A$128</f>
        <v>99560</v>
      </c>
      <c r="BY126" s="127"/>
      <c r="BZ126" s="372">
        <v>162000</v>
      </c>
      <c r="CA126" s="373">
        <v>162000</v>
      </c>
      <c r="CB126" s="373">
        <v>0</v>
      </c>
      <c r="CC126" s="373">
        <v>0</v>
      </c>
      <c r="CD126" s="133">
        <f t="shared" si="642"/>
        <v>1</v>
      </c>
      <c r="CE126" s="376">
        <v>162000</v>
      </c>
      <c r="CF126" s="135">
        <f>CE126/BZ126</f>
        <v>1</v>
      </c>
      <c r="CG126" s="359">
        <f>CC126*$A$128</f>
        <v>0</v>
      </c>
      <c r="CH126" s="127"/>
      <c r="CI126" s="179"/>
      <c r="CJ126" s="176"/>
      <c r="CK126" s="176"/>
      <c r="CL126" s="176"/>
      <c r="CM126" s="133" t="e">
        <f t="shared" si="644"/>
        <v>#DIV/0!</v>
      </c>
      <c r="CN126" s="177"/>
      <c r="CO126" s="135" t="e">
        <f>CN126/CI126</f>
        <v>#DIV/0!</v>
      </c>
      <c r="CP126" s="127"/>
      <c r="CQ126" s="179"/>
      <c r="CR126" s="176"/>
      <c r="CS126" s="176"/>
      <c r="CT126" s="176"/>
      <c r="CU126" s="133" t="e">
        <f t="shared" si="646"/>
        <v>#DIV/0!</v>
      </c>
      <c r="CV126" s="177"/>
      <c r="CW126" s="135" t="e">
        <f>CV126/CQ126</f>
        <v>#DIV/0!</v>
      </c>
      <c r="CX126" s="127"/>
      <c r="CY126" s="179"/>
      <c r="CZ126" s="176"/>
      <c r="DA126" s="176"/>
      <c r="DB126" s="176"/>
      <c r="DC126" s="133" t="e">
        <f t="shared" si="648"/>
        <v>#DIV/0!</v>
      </c>
      <c r="DD126" s="177"/>
      <c r="DE126" s="135" t="e">
        <f>DD126/CY126</f>
        <v>#DIV/0!</v>
      </c>
      <c r="DF126" s="9"/>
      <c r="DG126" s="354"/>
      <c r="DH126" s="9"/>
      <c r="DI126" s="9"/>
      <c r="DJ126" s="9"/>
      <c r="DK126" s="9"/>
      <c r="DL126" s="9"/>
      <c r="DM126" s="9"/>
      <c r="DN126" s="9"/>
      <c r="DO126" s="9"/>
      <c r="DP126" s="9"/>
      <c r="DQ126" s="9"/>
      <c r="DR126" s="9"/>
      <c r="DS126" s="9"/>
      <c r="DT126" s="9"/>
      <c r="DU126" s="9"/>
      <c r="DV126" s="9"/>
      <c r="DW126" s="9"/>
      <c r="DX126" s="9"/>
      <c r="DY126" s="9"/>
      <c r="DZ126" s="9"/>
      <c r="EA126" s="9"/>
      <c r="EB126" s="9"/>
      <c r="EC126" s="9"/>
      <c r="ED126" s="9"/>
      <c r="EE126" s="9"/>
    </row>
    <row r="127" spans="1:135" s="26" customFormat="1" ht="13" customHeight="1">
      <c r="A127" s="396"/>
      <c r="B127" s="197" t="s">
        <v>18</v>
      </c>
      <c r="C127" s="347">
        <f>SUM(C116:C126)</f>
        <v>17233267.704</v>
      </c>
      <c r="D127" s="347">
        <f>SUM(D116:D126)</f>
        <v>3563902.5239999993</v>
      </c>
      <c r="E127" s="347">
        <f>SUM(E116:E126)</f>
        <v>13699801.18</v>
      </c>
      <c r="F127" s="347">
        <f>SUM(F116:F126)</f>
        <v>13685281.18</v>
      </c>
      <c r="G127" s="15">
        <f>D127/C127</f>
        <v>0.20680364195658521</v>
      </c>
      <c r="H127" s="347">
        <f>SUM(H116:H126)</f>
        <v>3610114.2382649998</v>
      </c>
      <c r="I127" s="15">
        <f>H127/C127</f>
        <v>0.20948518297705426</v>
      </c>
      <c r="J127" s="221" t="b">
        <f>J128=F128</f>
        <v>1</v>
      </c>
      <c r="K127" s="128"/>
      <c r="L127" s="207">
        <f>SUM(L116:L126)</f>
        <v>848584.08</v>
      </c>
      <c r="M127" s="200">
        <f>SUM(M116:M126)</f>
        <v>164242.08000000002</v>
      </c>
      <c r="N127" s="200">
        <f>SUM(N116:N126)</f>
        <v>684342</v>
      </c>
      <c r="O127" s="200">
        <f>SUM(O116:O126)</f>
        <v>684342</v>
      </c>
      <c r="P127" s="15">
        <f>M127/L127</f>
        <v>0.19354838709677422</v>
      </c>
      <c r="Q127" s="200">
        <f>SUM(Q116:Q126)</f>
        <v>123412</v>
      </c>
      <c r="R127" s="83">
        <f>Q127/L127</f>
        <v>0.14543284856345645</v>
      </c>
      <c r="S127" s="128"/>
      <c r="T127" s="209">
        <f>SUM(T116:T126)</f>
        <v>1915443.4709999999</v>
      </c>
      <c r="U127" s="208">
        <f>SUM(U116:U126)</f>
        <v>398238.80099999992</v>
      </c>
      <c r="V127" s="208">
        <f>SUM(V116:V126)</f>
        <v>1517204.67</v>
      </c>
      <c r="W127" s="208">
        <f>SUM(W116:W126)</f>
        <v>1517204.67</v>
      </c>
      <c r="X127" s="15">
        <f>U127/T127</f>
        <v>0.20790945127296839</v>
      </c>
      <c r="Y127" s="208">
        <f>SUM(Y116:Y126)</f>
        <v>443073.41826499999</v>
      </c>
      <c r="Z127" s="83">
        <f>Y127/T127</f>
        <v>0.2313163635331319</v>
      </c>
      <c r="AA127" s="128"/>
      <c r="AB127" s="187">
        <f>SUM(AB116:AB126)</f>
        <v>2113274.0109999999</v>
      </c>
      <c r="AC127" s="185">
        <f>SUM(AC116:AC126)</f>
        <v>391366.34100000001</v>
      </c>
      <c r="AD127" s="185">
        <f>SUM(AD116:AD126)</f>
        <v>1721907.67</v>
      </c>
      <c r="AE127" s="185">
        <f>SUM(AE116:AE126)</f>
        <v>1721907.67</v>
      </c>
      <c r="AF127" s="15">
        <f>AC127/AB127</f>
        <v>0.18519431884500662</v>
      </c>
      <c r="AG127" s="185">
        <f>SUM(AG116:AG126)</f>
        <v>298112</v>
      </c>
      <c r="AH127" s="83">
        <f>AG127/AB127</f>
        <v>0.14106642037344394</v>
      </c>
      <c r="AI127" s="128"/>
      <c r="AJ127" s="187">
        <f>SUM(AJ116:AJ126)</f>
        <v>1974386.111</v>
      </c>
      <c r="AK127" s="185">
        <f>SUM(AK116:AK126)</f>
        <v>336195.44099999999</v>
      </c>
      <c r="AL127" s="185">
        <f>SUM(AL116:AL126)</f>
        <v>1638190.67</v>
      </c>
      <c r="AM127" s="185">
        <f>SUM(AM116:AM126)</f>
        <v>1638190.67</v>
      </c>
      <c r="AN127" s="15">
        <f>AK127/AJ127</f>
        <v>0.17027846738129732</v>
      </c>
      <c r="AO127" s="185">
        <f>SUM(AO116:AO126)</f>
        <v>505250</v>
      </c>
      <c r="AP127" s="83">
        <f>AO127/AJ127</f>
        <v>0.25590232689800357</v>
      </c>
      <c r="AQ127" s="128"/>
      <c r="AR127" s="187">
        <f>SUM(AR116:AR126)</f>
        <v>1709070.551</v>
      </c>
      <c r="AS127" s="185">
        <f t="shared" ref="AS127:AU127" si="665">SUM(AS116:AS126)</f>
        <v>325798.88099999999</v>
      </c>
      <c r="AT127" s="185">
        <f t="shared" si="665"/>
        <v>1383271.67</v>
      </c>
      <c r="AU127" s="185">
        <f t="shared" si="665"/>
        <v>1383271.67</v>
      </c>
      <c r="AV127" s="15">
        <f>AS127/AR127</f>
        <v>0.19062927554943282</v>
      </c>
      <c r="AW127" s="185">
        <f>SUM(AW116:AW126)</f>
        <v>440536</v>
      </c>
      <c r="AX127" s="83">
        <f>AW127/AR127</f>
        <v>0.25776349592018688</v>
      </c>
      <c r="AY127" s="128"/>
      <c r="AZ127" s="107">
        <f>SUM(AZ116:AZ126)</f>
        <v>2188486.48</v>
      </c>
      <c r="BA127" s="108">
        <f t="shared" ref="BA127" si="666">SUM(BA116:BA126)</f>
        <v>432431.48</v>
      </c>
      <c r="BB127" s="108">
        <f t="shared" ref="BB127" si="667">SUM(BB116:BB126)</f>
        <v>1786491</v>
      </c>
      <c r="BC127" s="108">
        <f t="shared" ref="BC127" si="668">SUM(BC116:BC126)</f>
        <v>1786491</v>
      </c>
      <c r="BD127" s="15">
        <f>BA127/AZ127</f>
        <v>0.19759385490926129</v>
      </c>
      <c r="BE127" s="108">
        <f>SUM(BE116:BE126)</f>
        <v>440536</v>
      </c>
      <c r="BF127" s="83">
        <f>BE127/AZ127</f>
        <v>0.20129710831021447</v>
      </c>
      <c r="BG127" s="128"/>
      <c r="BH127" s="187">
        <f>SUM(BH116:BH126)</f>
        <v>2330000</v>
      </c>
      <c r="BI127" s="185">
        <f t="shared" ref="BI127" si="669">SUM(BI116:BI126)</f>
        <v>396145.5</v>
      </c>
      <c r="BJ127" s="185">
        <f t="shared" ref="BJ127" si="670">SUM(BJ116:BJ126)</f>
        <v>1933854.5</v>
      </c>
      <c r="BK127" s="185">
        <f t="shared" ref="BK127" si="671">SUM(BK116:BK126)</f>
        <v>1933854.5</v>
      </c>
      <c r="BL127" s="15">
        <f>BI127/BH127</f>
        <v>0.1700195278969957</v>
      </c>
      <c r="BM127" s="185">
        <f>SUM(BM116:BM126)</f>
        <v>502520</v>
      </c>
      <c r="BN127" s="83">
        <f>BM127/BH127</f>
        <v>0.21567381974248928</v>
      </c>
      <c r="BO127" s="221" t="b">
        <f>BO128=BK128</f>
        <v>1</v>
      </c>
      <c r="BP127" s="128"/>
      <c r="BQ127" s="187">
        <f>SUM(BQ116:BQ126)</f>
        <v>2307023</v>
      </c>
      <c r="BR127" s="185">
        <f>SUM(BR116:BR126)</f>
        <v>586315</v>
      </c>
      <c r="BS127" s="185">
        <f t="shared" ref="BS127" si="672">SUM(BS116:BS126)</f>
        <v>1720708</v>
      </c>
      <c r="BT127" s="185">
        <f>SUM(BT116:BT117,BT123:BT126)</f>
        <v>1554508</v>
      </c>
      <c r="BU127" s="15">
        <f>BR127/BQ127</f>
        <v>0.25414354343238016</v>
      </c>
      <c r="BV127" s="185">
        <f>SUM(BV116:BV126)</f>
        <v>412200</v>
      </c>
      <c r="BW127" s="83">
        <f>BV127/BQ127</f>
        <v>0.17867182078375465</v>
      </c>
      <c r="BX127" s="221" t="b">
        <f>BX128=BT128</f>
        <v>1</v>
      </c>
      <c r="BY127" s="128"/>
      <c r="BZ127" s="377">
        <f t="shared" ref="BZ127:CB127" si="673">SUM(BZ116:BZ126)</f>
        <v>2242000</v>
      </c>
      <c r="CA127" s="377">
        <f t="shared" si="673"/>
        <v>614489</v>
      </c>
      <c r="CB127" s="377">
        <f t="shared" si="673"/>
        <v>1627511</v>
      </c>
      <c r="CC127" s="377">
        <f>SUM(CC116:CC117,CC123:CC126)</f>
        <v>1465511</v>
      </c>
      <c r="CD127" s="15">
        <f>CA127/BZ127</f>
        <v>0.27408073148974132</v>
      </c>
      <c r="CE127" s="377">
        <f>SUM(CE116:CE126)</f>
        <v>520052.42000000004</v>
      </c>
      <c r="CF127" s="83">
        <f>CE127/BZ127</f>
        <v>0.2319591525423729</v>
      </c>
      <c r="CG127" s="221" t="b">
        <f>CG128=CC128</f>
        <v>1</v>
      </c>
      <c r="CH127" s="128"/>
      <c r="CI127" s="187">
        <f>SUM(CI116:CI126)</f>
        <v>0</v>
      </c>
      <c r="CJ127" s="185">
        <f t="shared" ref="CJ127" si="674">SUM(CJ116:CJ126)</f>
        <v>0</v>
      </c>
      <c r="CK127" s="185">
        <f t="shared" ref="CK127" si="675">SUM(CK116:CK126)</f>
        <v>0</v>
      </c>
      <c r="CL127" s="185">
        <f t="shared" ref="CL127" si="676">SUM(CL116:CL126)</f>
        <v>0</v>
      </c>
      <c r="CM127" s="15" t="e">
        <f>CJ127/CI127</f>
        <v>#DIV/0!</v>
      </c>
      <c r="CN127" s="185">
        <f>SUM(CN116:CN126)</f>
        <v>0</v>
      </c>
      <c r="CO127" s="83" t="e">
        <f>CN127/CI127</f>
        <v>#DIV/0!</v>
      </c>
      <c r="CP127" s="128"/>
      <c r="CQ127" s="187">
        <f>SUM(CQ116:CQ126)</f>
        <v>0</v>
      </c>
      <c r="CR127" s="185">
        <f t="shared" ref="CR127" si="677">SUM(CR116:CR126)</f>
        <v>0</v>
      </c>
      <c r="CS127" s="185">
        <f t="shared" ref="CS127" si="678">SUM(CS116:CS126)</f>
        <v>0</v>
      </c>
      <c r="CT127" s="185">
        <f t="shared" ref="CT127" si="679">SUM(CT116:CT126)</f>
        <v>0</v>
      </c>
      <c r="CU127" s="15" t="e">
        <f>CR127/CQ127</f>
        <v>#DIV/0!</v>
      </c>
      <c r="CV127" s="185">
        <f>SUM(CV116:CV126)</f>
        <v>0</v>
      </c>
      <c r="CW127" s="83" t="e">
        <f>CV127/CQ127</f>
        <v>#DIV/0!</v>
      </c>
      <c r="CX127" s="128"/>
      <c r="CY127" s="187">
        <f>SUM(CY116:CY126)</f>
        <v>0</v>
      </c>
      <c r="CZ127" s="185">
        <f t="shared" ref="CZ127" si="680">SUM(CZ116:CZ126)</f>
        <v>0</v>
      </c>
      <c r="DA127" s="185">
        <f t="shared" ref="DA127" si="681">SUM(DA116:DA126)</f>
        <v>0</v>
      </c>
      <c r="DB127" s="185">
        <f t="shared" ref="DB127" si="682">SUM(DB116:DB126)</f>
        <v>0</v>
      </c>
      <c r="DC127" s="15" t="e">
        <f>CZ127/CY127</f>
        <v>#DIV/0!</v>
      </c>
      <c r="DD127" s="185">
        <f>SUM(DD116:DD126)</f>
        <v>0</v>
      </c>
      <c r="DE127" s="83" t="e">
        <f>DD127/CY127</f>
        <v>#DIV/0!</v>
      </c>
      <c r="DF127" s="25"/>
      <c r="DG127" s="351"/>
      <c r="DH127" s="25"/>
      <c r="DI127" s="25"/>
      <c r="DJ127" s="25"/>
      <c r="DK127" s="25"/>
      <c r="DL127" s="25"/>
      <c r="DM127" s="25"/>
      <c r="DN127" s="25"/>
      <c r="DO127" s="25"/>
      <c r="DP127" s="25"/>
      <c r="DQ127" s="25"/>
      <c r="DR127" s="25"/>
      <c r="DS127" s="25"/>
      <c r="DT127" s="25"/>
      <c r="DU127" s="25"/>
      <c r="DV127" s="25"/>
      <c r="DW127" s="25"/>
      <c r="DX127" s="25"/>
      <c r="DY127" s="25"/>
      <c r="DZ127" s="25"/>
      <c r="EA127" s="25"/>
      <c r="EB127" s="25"/>
      <c r="EC127" s="25"/>
      <c r="ED127" s="25"/>
      <c r="EE127" s="25"/>
    </row>
    <row r="128" spans="1:135" s="229" customFormat="1" ht="13" customHeight="1">
      <c r="A128" s="214">
        <v>0.76</v>
      </c>
      <c r="B128" s="191" t="s">
        <v>19</v>
      </c>
      <c r="C128" s="213">
        <f>C127*$A$128</f>
        <v>13097283.45504</v>
      </c>
      <c r="D128" s="213">
        <f t="shared" ref="D128" si="683">D127*$A$128</f>
        <v>2708565.9182399996</v>
      </c>
      <c r="E128" s="213">
        <f>E127*$A$128</f>
        <v>10411848.8968</v>
      </c>
      <c r="F128" s="213">
        <f>F127*$A$128</f>
        <v>10400813.696799999</v>
      </c>
      <c r="G128" s="181"/>
      <c r="H128" s="213">
        <f>H127*A128</f>
        <v>2743686.8210813999</v>
      </c>
      <c r="I128" s="181"/>
      <c r="J128" s="217">
        <f>SUM(J116:J126)</f>
        <v>10400813.696800001</v>
      </c>
      <c r="K128" s="128"/>
      <c r="L128" s="245">
        <f>L127*$A$128</f>
        <v>644923.90079999994</v>
      </c>
      <c r="M128" s="213">
        <f t="shared" ref="M128" si="684">M127*$A$128</f>
        <v>124823.98080000002</v>
      </c>
      <c r="N128" s="213">
        <f>N127*$A$128</f>
        <v>520099.92</v>
      </c>
      <c r="O128" s="213">
        <f>O127*$A$128</f>
        <v>520099.92</v>
      </c>
      <c r="P128" s="243"/>
      <c r="Q128" s="213">
        <f>Q127*J128</f>
        <v>1283585219949.4817</v>
      </c>
      <c r="R128" s="182"/>
      <c r="S128" s="227"/>
      <c r="T128" s="245">
        <f>T127*$A$128</f>
        <v>1455737.0379599999</v>
      </c>
      <c r="U128" s="213">
        <f t="shared" ref="U128" si="685">U127*$A$128</f>
        <v>302661.48875999992</v>
      </c>
      <c r="V128" s="213">
        <f>V127*$A$128</f>
        <v>1153075.5492</v>
      </c>
      <c r="W128" s="213">
        <f>W127*$A$128</f>
        <v>1153075.5492</v>
      </c>
      <c r="X128" s="243"/>
      <c r="Y128" s="213">
        <f>Y127*R128</f>
        <v>0</v>
      </c>
      <c r="Z128" s="182"/>
      <c r="AA128" s="227"/>
      <c r="AB128" s="245">
        <f>AB127*$A$128</f>
        <v>1606088.2483600001</v>
      </c>
      <c r="AC128" s="213">
        <f t="shared" ref="AC128" si="686">AC127*$A$128</f>
        <v>297438.41915999999</v>
      </c>
      <c r="AD128" s="213">
        <f>AD127*$A$128</f>
        <v>1308649.8292</v>
      </c>
      <c r="AE128" s="213">
        <f>AE127*$A$128</f>
        <v>1308649.8292</v>
      </c>
      <c r="AF128" s="243"/>
      <c r="AG128" s="213">
        <f>AG127*Z128</f>
        <v>0</v>
      </c>
      <c r="AH128" s="182"/>
      <c r="AI128" s="227"/>
      <c r="AJ128" s="245">
        <f>AJ127*$A$128</f>
        <v>1500533.4443600001</v>
      </c>
      <c r="AK128" s="213">
        <f t="shared" ref="AK128" si="687">AK127*$A$128</f>
        <v>255508.53516</v>
      </c>
      <c r="AL128" s="213">
        <f>AL127*$A$128</f>
        <v>1245024.9091999999</v>
      </c>
      <c r="AM128" s="213">
        <f>AM127*$A$128</f>
        <v>1245024.9091999999</v>
      </c>
      <c r="AN128" s="243"/>
      <c r="AO128" s="213">
        <f>AO127*AH128</f>
        <v>0</v>
      </c>
      <c r="AP128" s="182"/>
      <c r="AQ128" s="227"/>
      <c r="AR128" s="245">
        <f>AR127*$A$128</f>
        <v>1298893.61876</v>
      </c>
      <c r="AS128" s="213">
        <f t="shared" ref="AS128" si="688">AS127*$A$128</f>
        <v>247607.14955999999</v>
      </c>
      <c r="AT128" s="213">
        <f>AT127*$A$128</f>
        <v>1051286.4691999999</v>
      </c>
      <c r="AU128" s="213">
        <f>AU127*$A$128</f>
        <v>1051286.4691999999</v>
      </c>
      <c r="AV128" s="243"/>
      <c r="AW128" s="213">
        <f>AW127*AP128</f>
        <v>0</v>
      </c>
      <c r="AX128" s="182"/>
      <c r="AY128" s="227"/>
      <c r="AZ128" s="245">
        <f>AZ127*$A$128</f>
        <v>1663249.7248</v>
      </c>
      <c r="BA128" s="213">
        <f t="shared" ref="BA128" si="689">BA127*$A$128</f>
        <v>328647.92479999998</v>
      </c>
      <c r="BB128" s="213">
        <f>BB127*$A$128</f>
        <v>1357733.16</v>
      </c>
      <c r="BC128" s="213">
        <f>BC127*$A$128</f>
        <v>1357733.16</v>
      </c>
      <c r="BD128" s="243"/>
      <c r="BE128" s="213">
        <f>BE127*AX128</f>
        <v>0</v>
      </c>
      <c r="BF128" s="182"/>
      <c r="BG128" s="227"/>
      <c r="BH128" s="245">
        <f>BH127*$A$128</f>
        <v>1770800</v>
      </c>
      <c r="BI128" s="213">
        <f t="shared" ref="BI128" si="690">BI127*$A$128</f>
        <v>301070.58</v>
      </c>
      <c r="BJ128" s="213">
        <f>BJ127*$A$128</f>
        <v>1469729.42</v>
      </c>
      <c r="BK128" s="213">
        <f>BK127*$A$128</f>
        <v>1469729.42</v>
      </c>
      <c r="BL128" s="243"/>
      <c r="BM128" s="213">
        <f>BM127*A128</f>
        <v>381915.2</v>
      </c>
      <c r="BN128" s="182"/>
      <c r="BO128" s="217">
        <f>SUM(BO116:BO126)</f>
        <v>1469729.42</v>
      </c>
      <c r="BP128" s="227"/>
      <c r="BQ128" s="245">
        <f>BQ127*$A$128</f>
        <v>1753337.48</v>
      </c>
      <c r="BR128" s="213">
        <f>BR127*$A$128</f>
        <v>445599.4</v>
      </c>
      <c r="BS128" s="213">
        <f>BS127*$A$128</f>
        <v>1307738.08</v>
      </c>
      <c r="BT128" s="213">
        <f>BT127*$A$128</f>
        <v>1181426.08</v>
      </c>
      <c r="BU128" s="243"/>
      <c r="BV128" s="213">
        <f>BV127*A128</f>
        <v>313272</v>
      </c>
      <c r="BW128" s="182"/>
      <c r="BX128" s="217">
        <f>SUM(BX116:BX117,BX123:BX126)</f>
        <v>1181426.08</v>
      </c>
      <c r="BY128" s="227"/>
      <c r="BZ128" s="245">
        <f>BZ127*$A$128</f>
        <v>1703920</v>
      </c>
      <c r="CA128" s="213">
        <f t="shared" ref="CA128" si="691">CA127*$A$128</f>
        <v>467011.64</v>
      </c>
      <c r="CB128" s="213">
        <f>CB127*$A$128</f>
        <v>1236908.3600000001</v>
      </c>
      <c r="CC128" s="213">
        <f>CC127*$A$128</f>
        <v>1113788.3600000001</v>
      </c>
      <c r="CD128" s="243"/>
      <c r="CE128" s="213">
        <f>CE127*A128</f>
        <v>395239.83920000005</v>
      </c>
      <c r="CF128" s="182"/>
      <c r="CG128" s="217">
        <f>SUM(CG116:CG117,CG123:CG126)</f>
        <v>1113788.3599999999</v>
      </c>
      <c r="CH128" s="227"/>
      <c r="CI128" s="245">
        <f>CI127*$A$128</f>
        <v>0</v>
      </c>
      <c r="CJ128" s="213">
        <f t="shared" ref="CJ128" si="692">CJ127*$A$128</f>
        <v>0</v>
      </c>
      <c r="CK128" s="213">
        <f>CK127*$A$128</f>
        <v>0</v>
      </c>
      <c r="CL128" s="213">
        <f>CL127*$A$128</f>
        <v>0</v>
      </c>
      <c r="CM128" s="243"/>
      <c r="CN128" s="213">
        <f>CN127*CF128</f>
        <v>0</v>
      </c>
      <c r="CO128" s="182"/>
      <c r="CP128" s="227"/>
      <c r="CQ128" s="245">
        <f>CQ127*$A$128</f>
        <v>0</v>
      </c>
      <c r="CR128" s="213">
        <f t="shared" ref="CR128" si="693">CR127*$A$128</f>
        <v>0</v>
      </c>
      <c r="CS128" s="213">
        <f>CS127*$A$128</f>
        <v>0</v>
      </c>
      <c r="CT128" s="213">
        <f>CT127*$A$128</f>
        <v>0</v>
      </c>
      <c r="CU128" s="243"/>
      <c r="CV128" s="213">
        <f>CV127*CO128</f>
        <v>0</v>
      </c>
      <c r="CW128" s="182"/>
      <c r="CX128" s="227"/>
      <c r="CY128" s="245">
        <f>CY127*$A$128</f>
        <v>0</v>
      </c>
      <c r="CZ128" s="213">
        <f t="shared" ref="CZ128" si="694">CZ127*$A$128</f>
        <v>0</v>
      </c>
      <c r="DA128" s="213">
        <f>DA127*$A$128</f>
        <v>0</v>
      </c>
      <c r="DB128" s="213">
        <f>DB127*$A$128</f>
        <v>0</v>
      </c>
      <c r="DC128" s="243"/>
      <c r="DD128" s="213">
        <f>DD127*CW128</f>
        <v>0</v>
      </c>
      <c r="DE128" s="182"/>
      <c r="DF128" s="228"/>
      <c r="DG128" s="355"/>
      <c r="DH128" s="228"/>
      <c r="DI128" s="228"/>
      <c r="DJ128" s="228"/>
      <c r="DK128" s="228"/>
      <c r="DL128" s="228"/>
      <c r="DM128" s="228"/>
      <c r="DN128" s="228"/>
      <c r="DO128" s="228"/>
      <c r="DP128" s="228"/>
      <c r="DQ128" s="228"/>
      <c r="DR128" s="228"/>
      <c r="DS128" s="228"/>
      <c r="DT128" s="228"/>
      <c r="DU128" s="228"/>
      <c r="DV128" s="228"/>
      <c r="DW128" s="228"/>
      <c r="DX128" s="228"/>
      <c r="DY128" s="228"/>
      <c r="DZ128" s="228"/>
      <c r="EA128" s="228"/>
      <c r="EB128" s="228"/>
      <c r="EC128" s="228"/>
      <c r="ED128" s="228"/>
      <c r="EE128" s="228"/>
    </row>
    <row r="129" spans="1:135" s="22" customFormat="1" ht="13" customHeight="1">
      <c r="A129" s="226"/>
      <c r="B129" s="230" t="s">
        <v>28</v>
      </c>
      <c r="C129" s="231">
        <f>SUM(C20,C33,C49,C62,C75,C88,C102,C115,C128)</f>
        <v>96527209.246547103</v>
      </c>
      <c r="D129" s="231">
        <f>SUM(D20,D33,D49,D62,D75,D88,D102,D115,D128)</f>
        <v>34904739.211159296</v>
      </c>
      <c r="E129" s="231">
        <f>SUM(E20,E33,E49,E62,E75,E88,E102,E115,E128)</f>
        <v>61441613.254087806</v>
      </c>
      <c r="F129" s="231">
        <f>SUM(F20,F33,F49,F62,F75,F88,F102,F115,F128)</f>
        <v>61173538.530287802</v>
      </c>
      <c r="G129" s="232">
        <f>D129/C129</f>
        <v>0.36160518348776238</v>
      </c>
      <c r="H129" s="233">
        <f>SUM(H20,H33,H49,H62,H75,H88,H102,H115,H128)</f>
        <v>36359606.128051341</v>
      </c>
      <c r="I129" s="232">
        <f>H129/C129</f>
        <v>0.37667727485192959</v>
      </c>
      <c r="J129" s="234"/>
      <c r="K129" s="112"/>
      <c r="L129" s="235"/>
      <c r="M129" s="236"/>
      <c r="N129" s="236"/>
      <c r="O129" s="236"/>
      <c r="P129" s="232"/>
      <c r="Q129" s="236"/>
      <c r="R129" s="237"/>
      <c r="S129" s="112"/>
      <c r="T129" s="235"/>
      <c r="U129" s="236"/>
      <c r="V129" s="236"/>
      <c r="W129" s="236"/>
      <c r="X129" s="232"/>
      <c r="Y129" s="236"/>
      <c r="Z129" s="237"/>
      <c r="AA129" s="112"/>
      <c r="AB129" s="235"/>
      <c r="AC129" s="236"/>
      <c r="AD129" s="236"/>
      <c r="AE129" s="236"/>
      <c r="AF129" s="232"/>
      <c r="AG129" s="236"/>
      <c r="AH129" s="237"/>
      <c r="AI129" s="112"/>
      <c r="AJ129" s="235"/>
      <c r="AK129" s="236"/>
      <c r="AL129" s="236"/>
      <c r="AM129" s="236"/>
      <c r="AN129" s="232"/>
      <c r="AO129" s="236"/>
      <c r="AP129" s="237"/>
      <c r="AQ129" s="112"/>
      <c r="AR129" s="235"/>
      <c r="AS129" s="236"/>
      <c r="AT129" s="236"/>
      <c r="AU129" s="236"/>
      <c r="AV129" s="232"/>
      <c r="AW129" s="236"/>
      <c r="AX129" s="237"/>
      <c r="AY129" s="112"/>
      <c r="AZ129" s="235"/>
      <c r="BA129" s="231">
        <f>SUM(BB20,BB33,BB49,BB62,BB75,BB88,BB102,BB115,BB128)</f>
        <v>7176335.2368120002</v>
      </c>
      <c r="BB129" s="236"/>
      <c r="BC129" s="236"/>
      <c r="BD129" s="232"/>
      <c r="BE129" s="236"/>
      <c r="BF129" s="237"/>
      <c r="BG129" s="112"/>
      <c r="BH129" s="231">
        <f>SUM(BH20,BH33,BH49,BH62,BH75,BH88,BH102,BH115,BH128)</f>
        <v>10815669.254904762</v>
      </c>
      <c r="BI129" s="231">
        <f t="shared" ref="BI129" si="695">SUM(BI20,BI33,BI49,BI62,BI75,BI88,BI102,BI115,BI128)</f>
        <v>3037355.3124647625</v>
      </c>
      <c r="BJ129" s="231">
        <f t="shared" ref="BJ129" si="696">SUM(BJ20,BJ33,BJ49,BJ62,BJ75,BJ88,BJ102,BJ115,BJ128)</f>
        <v>7420557.5814399999</v>
      </c>
      <c r="BK129" s="231">
        <f>SUM(BK20,BK33,BK49,BK62,BK75,BK88,BK102,BK115,BK128)</f>
        <v>7369653.5864400007</v>
      </c>
      <c r="BL129" s="231">
        <f t="shared" ref="BL129:BM129" si="697">SUM(BL20,BL33,BL49,BL62,BL75,BL88,BL102,BL115,BL128)</f>
        <v>0</v>
      </c>
      <c r="BM129" s="231">
        <f t="shared" si="697"/>
        <v>1340351.0649999999</v>
      </c>
      <c r="BN129" s="237"/>
      <c r="BO129" s="234"/>
      <c r="BP129" s="112"/>
      <c r="BQ129" s="231">
        <f>SUM(BQ20,BQ33,BQ49,BQ62,BQ75,BQ88,BQ102,BQ115,BQ128)</f>
        <v>9477692.3982455041</v>
      </c>
      <c r="BR129" s="231">
        <f>SUM(BR20,BR33,BR49,BR62,BR75,BR88,BR102,BR115,BR128)</f>
        <v>2543682.3158055027</v>
      </c>
      <c r="BS129" s="231">
        <f>SUM(BS20,BS33,BS49,BS62,BS75,BS88,BS102,BS115,BS128)</f>
        <v>6958244.0224400004</v>
      </c>
      <c r="BT129" s="231">
        <f>SUM(BT20,BT33,BT49,BT62,BT75,BT88,BT102,BT115,BT128)</f>
        <v>6831932.0224400004</v>
      </c>
      <c r="BU129" s="231"/>
      <c r="BV129" s="231">
        <f>SUM(BV20,BV33,BV49,BV62,BV75,BV88,BV102,BV115,BV128)</f>
        <v>1496888.56</v>
      </c>
      <c r="BW129" s="237"/>
      <c r="BX129" s="234"/>
      <c r="BY129" s="112"/>
      <c r="BZ129" s="231">
        <f t="shared" ref="BZ129:CA129" si="698">SUM(BZ20,BZ33,BZ49,BZ62,BZ75,BZ88,BZ102,BZ115,BZ128)</f>
        <v>11894689.171303</v>
      </c>
      <c r="CA129" s="231">
        <f t="shared" si="698"/>
        <v>4569012.1506030001</v>
      </c>
      <c r="CB129" s="231">
        <f>SUM(CB20,CB33,CB49,CB62,CB75,CB88,CB102,CB115,CB128)</f>
        <v>8057570.0771000003</v>
      </c>
      <c r="CC129" s="231">
        <f>SUM(CC20,CC33,CC49,CC62,CC75,CC88,CC102,CC115,CC128)</f>
        <v>7898062.6183000011</v>
      </c>
      <c r="CD129" s="231">
        <f>SUM(CD20,CD33,CD49,CD62,CD75,CD88,CD102,CD115,CD128)</f>
        <v>0</v>
      </c>
      <c r="CE129" s="231">
        <f>SUM(CE20,CE33,CE49,CE62,CE75,CE88,CE102,CE115,CE128)</f>
        <v>2413063.6742000002</v>
      </c>
      <c r="CF129" s="237"/>
      <c r="CG129" s="234"/>
      <c r="CH129" s="112"/>
      <c r="CI129" s="235"/>
      <c r="CJ129" s="236"/>
      <c r="CK129" s="236"/>
      <c r="CL129" s="236"/>
      <c r="CM129" s="232"/>
      <c r="CN129" s="236"/>
      <c r="CO129" s="237"/>
      <c r="CP129" s="112"/>
      <c r="CQ129" s="235"/>
      <c r="CR129" s="236"/>
      <c r="CS129" s="236"/>
      <c r="CT129" s="236"/>
      <c r="CU129" s="232"/>
      <c r="CV129" s="236"/>
      <c r="CW129" s="237"/>
      <c r="CX129" s="112"/>
      <c r="CY129" s="235"/>
      <c r="CZ129" s="236"/>
      <c r="DA129" s="236"/>
      <c r="DB129" s="236"/>
      <c r="DC129" s="232"/>
      <c r="DD129" s="236"/>
      <c r="DE129" s="237"/>
      <c r="DF129" s="8"/>
      <c r="DG129" s="351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</row>
    <row r="130" spans="1:135">
      <c r="I130" s="239" t="s">
        <v>12</v>
      </c>
      <c r="J130" s="240">
        <f>SUM(J8,J21,J34,J50,J63,J76,J89,J103,J116)</f>
        <v>8692227.4092399999</v>
      </c>
      <c r="L130" s="247">
        <f>J130/$F$129</f>
        <v>0.14209129663042733</v>
      </c>
      <c r="BE130" s="337"/>
      <c r="BF130" s="339" t="s">
        <v>126</v>
      </c>
      <c r="BG130" s="340">
        <f>BI20</f>
        <v>121893.288</v>
      </c>
      <c r="BH130" s="340">
        <f>BJ20</f>
        <v>805206.29640000011</v>
      </c>
      <c r="BI130" s="340">
        <f>BK20</f>
        <v>805206.29640000011</v>
      </c>
      <c r="BJ130" s="341">
        <f>BL19</f>
        <v>0.13143355130621048</v>
      </c>
      <c r="BK130" s="331"/>
      <c r="BN130" s="239" t="s">
        <v>12</v>
      </c>
      <c r="BO130" s="240">
        <f>SUM(BO8,BO21,BO34,BO50,BO63,BO76,BO89,BO103,BO116)</f>
        <v>1276394.652</v>
      </c>
      <c r="BQ130" s="247"/>
      <c r="BX130" s="240">
        <f>SUM(BX8,BX21,BX34,BX50,BX63,BX76,BX89,BX103,BX116)</f>
        <v>977049.80480000004</v>
      </c>
      <c r="CG130" s="240">
        <f>SUM(CG8,CG21,CG34,CG50,CG63,CG76,CG89,CG103,CG116)</f>
        <v>1081867.2</v>
      </c>
      <c r="DF130" s="338">
        <f>BX130/$BT$129</f>
        <v>0.14301222576436734</v>
      </c>
      <c r="DI130" s="379"/>
    </row>
    <row r="131" spans="1:135">
      <c r="F131" s="338"/>
      <c r="I131" s="239" t="s">
        <v>13</v>
      </c>
      <c r="J131" s="240">
        <f>SUM(J9,J22,J35,J51,J64,J77,J90,J104,J117)</f>
        <v>12010135.4316312</v>
      </c>
      <c r="L131" s="247">
        <f t="shared" ref="L131:L135" si="699">J131/$F$129</f>
        <v>0.19632893110613225</v>
      </c>
      <c r="BF131" s="339" t="s">
        <v>127</v>
      </c>
      <c r="BG131" s="340">
        <f>BI33</f>
        <v>1755372.1919999998</v>
      </c>
      <c r="BH131" s="340">
        <f>BJ33</f>
        <v>2045866.2840000005</v>
      </c>
      <c r="BI131" s="340">
        <f>BK33</f>
        <v>1994962.2840000005</v>
      </c>
      <c r="BJ131" s="341">
        <f>BL32</f>
        <v>0.4751809552822383</v>
      </c>
      <c r="BK131" s="331"/>
      <c r="BN131" s="239" t="s">
        <v>13</v>
      </c>
      <c r="BO131" s="240">
        <f>SUM(BO9,BO22,BO35,BO51,BO64,BO77,BO90,BO104,BO117)</f>
        <v>1599529.3230000001</v>
      </c>
      <c r="BQ131" s="356"/>
      <c r="BR131" s="356"/>
      <c r="BS131" s="356"/>
      <c r="BT131" s="356"/>
      <c r="BV131" s="350"/>
      <c r="BX131" s="240">
        <f>SUM(BX9,BX22,BX35,BX51,BX64,BX77,BX90,BX104,BX117)</f>
        <v>1671522.5160000001</v>
      </c>
      <c r="CG131" s="240">
        <f>SUM(CG9,CG22,CG35,CG51,CG64,CG77,CG90,CG104,CG117)</f>
        <v>1400316.4948</v>
      </c>
      <c r="DF131" s="338">
        <f t="shared" ref="DF131:DF135" si="700">BX131/$BT$129</f>
        <v>0.24466322418164543</v>
      </c>
      <c r="DI131" s="379"/>
    </row>
    <row r="132" spans="1:135">
      <c r="F132" s="338"/>
      <c r="H132" s="338">
        <f>H129/F129</f>
        <v>0.59436820235679577</v>
      </c>
      <c r="I132" s="239" t="s">
        <v>14</v>
      </c>
      <c r="J132" s="240">
        <f>SUM(J15,J28,J44,J57,J70,J83,J97,J110,J123)</f>
        <v>14067423.766734606</v>
      </c>
      <c r="L132" s="247">
        <f t="shared" si="699"/>
        <v>0.22995929456932826</v>
      </c>
      <c r="BF132" s="339" t="s">
        <v>128</v>
      </c>
      <c r="BG132" s="340">
        <f>BI49</f>
        <v>29155.420000000002</v>
      </c>
      <c r="BH132" s="340">
        <f>BJ49</f>
        <v>613036.04180000012</v>
      </c>
      <c r="BI132" s="340">
        <f>BK49</f>
        <v>613036.04180000012</v>
      </c>
      <c r="BJ132" s="341">
        <f>BL48</f>
        <v>4.5399887314415861E-2</v>
      </c>
      <c r="BK132" s="331"/>
      <c r="BN132" s="239" t="s">
        <v>14</v>
      </c>
      <c r="BO132" s="240">
        <f>SUM(BO15,BO28,BO44,BO57,BO70,BO83,BO97,BO110,BO123)</f>
        <v>1453418.3506400001</v>
      </c>
      <c r="BQ132" s="247"/>
      <c r="BR132" s="358"/>
      <c r="BX132" s="240">
        <f>SUM(BX15,BX28,BX44,BX57,BX70,BX83,BX97,BX110,BX123)</f>
        <v>1247635.47804</v>
      </c>
      <c r="CG132" s="240">
        <f>SUM(CG15,CG28,CG44,CG57,CG70,CG83,CG97,CG110,CG123)</f>
        <v>1994124.8170999999</v>
      </c>
      <c r="DF132" s="338">
        <f t="shared" si="700"/>
        <v>0.18261825116849031</v>
      </c>
      <c r="DI132" s="379"/>
    </row>
    <row r="133" spans="1:135">
      <c r="H133" s="338"/>
      <c r="I133" s="239" t="s">
        <v>15</v>
      </c>
      <c r="J133" s="240">
        <f>SUM(J16,J29,J45,J58,J71,J84,J98,J111,J124)</f>
        <v>5917752.1808080003</v>
      </c>
      <c r="L133" s="247">
        <f t="shared" si="699"/>
        <v>9.6737123975230654E-2</v>
      </c>
      <c r="BF133" s="339" t="s">
        <v>129</v>
      </c>
      <c r="BG133" s="340">
        <f>BI62</f>
        <v>78823.290000000008</v>
      </c>
      <c r="BH133" s="340">
        <f>BJ62</f>
        <v>789804.99</v>
      </c>
      <c r="BI133" s="340">
        <f>BK62</f>
        <v>789804.99</v>
      </c>
      <c r="BJ133" s="341">
        <f>BL61</f>
        <v>9.0744558765689737E-2</v>
      </c>
      <c r="BK133" s="331"/>
      <c r="BN133" s="239" t="s">
        <v>15</v>
      </c>
      <c r="BO133" s="240">
        <f>SUM(BO16,BO29,BO45,BO58,BO71,BO84,BO98,BO111,BO124)</f>
        <v>529929.36880000005</v>
      </c>
      <c r="BQ133" s="247"/>
      <c r="BR133" s="338"/>
      <c r="BX133" s="240">
        <f>SUM(BX16,BX29,BX45,BX58,BX71,BX84,BX98,BX111,BX124)</f>
        <v>653836.02040000015</v>
      </c>
      <c r="CG133" s="240">
        <f>SUM(CG16,CG29,CG45,CG58,CG71,CG84,CG98,CG111,CG124)</f>
        <v>826706.64520000003</v>
      </c>
      <c r="DF133" s="338">
        <f t="shared" si="700"/>
        <v>9.5702945850811461E-2</v>
      </c>
      <c r="DI133" s="379"/>
    </row>
    <row r="134" spans="1:135">
      <c r="I134" s="239" t="s">
        <v>16</v>
      </c>
      <c r="J134" s="240">
        <f>SUM(J17,J30,J46,J59,J72,J85,J99,J112,J125)</f>
        <v>13483427.477464002</v>
      </c>
      <c r="L134" s="247">
        <f t="shared" si="699"/>
        <v>0.22041274383348258</v>
      </c>
      <c r="BF134" s="339" t="s">
        <v>130</v>
      </c>
      <c r="BG134" s="340">
        <f>BI75</f>
        <v>34005.885199999961</v>
      </c>
      <c r="BH134" s="340">
        <f>BJ75</f>
        <v>777941.04920000012</v>
      </c>
      <c r="BI134" s="340">
        <f>BK75</f>
        <v>777941.04920000012</v>
      </c>
      <c r="BJ134" s="341">
        <f>BL74</f>
        <v>4.1881906020285797E-2</v>
      </c>
      <c r="BK134" s="331"/>
      <c r="BN134" s="239" t="s">
        <v>16</v>
      </c>
      <c r="BO134" s="240">
        <f>SUM(BO17,BO30,BO46,BO59,BO72,BO85,BO99,BO112,BO125)</f>
        <v>1691766.0440000002</v>
      </c>
      <c r="BQ134" s="247"/>
      <c r="BS134" s="350"/>
      <c r="BX134" s="240">
        <f>SUM(BX17,BX30,BX46,BX59,BX72,BX85,BX99,BX112,BX125)</f>
        <v>1404292.42</v>
      </c>
      <c r="CG134" s="240">
        <f>SUM(CG17,CG30,CG46,CG59,CG72,CG85,CG99,CG112,CG125)</f>
        <v>1282516.5884000002</v>
      </c>
      <c r="DF134" s="338">
        <f t="shared" si="700"/>
        <v>0.20554835958371581</v>
      </c>
      <c r="DI134" s="379"/>
    </row>
    <row r="135" spans="1:135">
      <c r="I135" s="239" t="s">
        <v>17</v>
      </c>
      <c r="J135" s="240">
        <f>SUM(J18,J31,J47,J60,J73,J86,J100,J113,J126)</f>
        <v>7002572.2644100003</v>
      </c>
      <c r="L135" s="247">
        <f t="shared" si="699"/>
        <v>0.11447060988539902</v>
      </c>
      <c r="BF135" s="339" t="s">
        <v>131</v>
      </c>
      <c r="BG135" s="340">
        <f>BI88</f>
        <v>74534.657264762558</v>
      </c>
      <c r="BH135" s="340">
        <f>BJ88</f>
        <v>236627.92504000003</v>
      </c>
      <c r="BI135" s="340">
        <f>BK88</f>
        <v>236627.92504000003</v>
      </c>
      <c r="BJ135" s="341">
        <f>BL87</f>
        <v>0.23953605447251666</v>
      </c>
      <c r="BK135" s="331"/>
      <c r="BN135" s="239" t="s">
        <v>17</v>
      </c>
      <c r="BO135" s="240">
        <f>SUM(BO18,BO31,BO47,BO60,BO73,BO86,BO100,BO113,BO126)</f>
        <v>818615.84800000011</v>
      </c>
      <c r="BQ135" s="247"/>
      <c r="BX135" s="240">
        <f>SUM(BX18,BX31,BX47,BX60,BX73,BX86,BX100,BX113,BX126)</f>
        <v>877595.78320000006</v>
      </c>
      <c r="CG135" s="240">
        <f>SUM(CG18,CG31,CG47,CG60,CG73,CG86,CG100,CG113,CG126)</f>
        <v>1312530.8728</v>
      </c>
      <c r="DF135" s="338">
        <f t="shared" si="700"/>
        <v>0.12845499345096964</v>
      </c>
      <c r="DI135" s="379"/>
    </row>
    <row r="136" spans="1:135">
      <c r="J136" s="238" t="b">
        <f>SUM(J130:J135)=F129</f>
        <v>1</v>
      </c>
      <c r="BF136" s="339" t="s">
        <v>132</v>
      </c>
      <c r="BG136" s="340">
        <f>BI102</f>
        <v>0</v>
      </c>
      <c r="BH136" s="340">
        <f>BJ102</f>
        <v>42649.599999999999</v>
      </c>
      <c r="BI136" s="340">
        <f>BK102</f>
        <v>42649.599999999999</v>
      </c>
      <c r="BJ136" s="341">
        <f>BL101</f>
        <v>0</v>
      </c>
      <c r="BK136" s="331"/>
      <c r="BO136" s="238" t="b">
        <f>SUM(BO130:BO135)=BK129</f>
        <v>1</v>
      </c>
      <c r="BX136" s="238" t="b">
        <f>SUM(BX130:BX135)=BT129</f>
        <v>1</v>
      </c>
      <c r="CG136" s="238" t="b">
        <f>SUM(CG130:CG135)=CC129</f>
        <v>1</v>
      </c>
      <c r="DI136" s="379"/>
    </row>
    <row r="137" spans="1:135">
      <c r="BF137" s="339" t="s">
        <v>133</v>
      </c>
      <c r="BG137" s="340">
        <f>BI115</f>
        <v>642500</v>
      </c>
      <c r="BH137" s="340">
        <f>BJ115</f>
        <v>639695.97499999998</v>
      </c>
      <c r="BI137" s="340">
        <f>BK115</f>
        <v>639695.98</v>
      </c>
      <c r="BJ137" s="341">
        <f>BL114</f>
        <v>0.39176829268292684</v>
      </c>
      <c r="BK137" s="331"/>
    </row>
    <row r="138" spans="1:135">
      <c r="J138" s="348"/>
      <c r="BF138" s="339" t="s">
        <v>134</v>
      </c>
      <c r="BG138" s="340">
        <f>BI128</f>
        <v>301070.58</v>
      </c>
      <c r="BH138" s="340">
        <f>BJ128</f>
        <v>1469729.42</v>
      </c>
      <c r="BI138" s="340">
        <f>BK128</f>
        <v>1469729.42</v>
      </c>
      <c r="BJ138" s="341">
        <f>BL127</f>
        <v>0.1700195278969957</v>
      </c>
      <c r="BK138" s="331"/>
      <c r="BX138" s="348"/>
      <c r="CG138" s="348"/>
    </row>
    <row r="139" spans="1:135">
      <c r="J139" s="348"/>
      <c r="BF139" s="339"/>
      <c r="BG139" s="340">
        <f>SUM(BG130:BG138)</f>
        <v>3037355.3124647625</v>
      </c>
      <c r="BH139" s="340">
        <f>SUM(BH130:BH138)</f>
        <v>7420557.5814399999</v>
      </c>
      <c r="BI139" s="331"/>
      <c r="BJ139" s="331"/>
      <c r="BK139" s="331"/>
      <c r="CG139" s="338"/>
    </row>
    <row r="140" spans="1:135">
      <c r="BF140" s="339"/>
      <c r="BG140" s="331"/>
      <c r="BH140" s="331"/>
      <c r="BI140" s="331"/>
      <c r="BJ140" s="331"/>
      <c r="BK140" s="331"/>
      <c r="CG140" s="350"/>
    </row>
    <row r="141" spans="1:135">
      <c r="BF141" s="339"/>
      <c r="BG141" s="331"/>
      <c r="BH141" s="331"/>
      <c r="BI141" s="331"/>
      <c r="BJ141" s="331"/>
      <c r="BK141" s="331"/>
      <c r="CG141" s="350"/>
    </row>
    <row r="142" spans="1:135">
      <c r="BF142" s="339"/>
      <c r="BG142" s="331"/>
      <c r="BH142" s="331"/>
      <c r="BI142" s="331"/>
      <c r="BJ142" s="331"/>
      <c r="BK142" s="331"/>
      <c r="DF142" s="379"/>
    </row>
    <row r="143" spans="1:135">
      <c r="BF143" s="339"/>
      <c r="BG143" s="331"/>
      <c r="BH143" s="331"/>
      <c r="BI143" s="331"/>
      <c r="BJ143" s="331"/>
      <c r="BK143" s="331"/>
      <c r="DF143" s="379"/>
    </row>
    <row r="144" spans="1:135">
      <c r="BF144" s="339"/>
      <c r="BG144" s="331"/>
      <c r="BH144" s="331"/>
      <c r="BI144" s="331"/>
      <c r="BJ144" s="331"/>
      <c r="BK144" s="331"/>
      <c r="DF144" s="379"/>
    </row>
    <row r="145" spans="110:110">
      <c r="DF145" s="379"/>
    </row>
    <row r="146" spans="110:110">
      <c r="DF146" s="379"/>
    </row>
    <row r="147" spans="110:110">
      <c r="DF147" s="379"/>
    </row>
    <row r="148" spans="110:110">
      <c r="DF148" s="379"/>
    </row>
    <row r="149" spans="110:110">
      <c r="DF149" s="379"/>
    </row>
    <row r="150" spans="110:110">
      <c r="DF150" s="379"/>
    </row>
    <row r="151" spans="110:110">
      <c r="DF151" s="379"/>
    </row>
  </sheetData>
  <mergeCells count="22">
    <mergeCell ref="A6:I6"/>
    <mergeCell ref="A116:A127"/>
    <mergeCell ref="A103:A114"/>
    <mergeCell ref="A89:A101"/>
    <mergeCell ref="A8:A19"/>
    <mergeCell ref="A21:A32"/>
    <mergeCell ref="A34:A48"/>
    <mergeCell ref="A50:A61"/>
    <mergeCell ref="A63:A74"/>
    <mergeCell ref="A76:A87"/>
    <mergeCell ref="BZ6:CF6"/>
    <mergeCell ref="CI6:CO6"/>
    <mergeCell ref="CQ6:CW6"/>
    <mergeCell ref="CY6:DE6"/>
    <mergeCell ref="L6:R6"/>
    <mergeCell ref="T6:Z6"/>
    <mergeCell ref="AB6:AH6"/>
    <mergeCell ref="AJ6:AP6"/>
    <mergeCell ref="AR6:AX6"/>
    <mergeCell ref="AZ6:BF6"/>
    <mergeCell ref="BH6:BN6"/>
    <mergeCell ref="BQ6:BW6"/>
  </mergeCells>
  <conditionalFormatting sqref="A1:I2 J1:J5 BO1:BO5 BX1:BX5 CG1:CG5 K1:BN20 BP1:BW47 BY1:CF47 CH1:XFD77 A3 C3:I3 A4:I5 A6 A7:I7 J7:J23 BO7:BO77 BX7:BX77 CG7:CG77 A8:B8 C8:F14 G8:I18 B9:B14 B15:F18 B19:I20 A21:I21 K21:BL23 BM21:BN31 B22:I23 B24:BL27 J28:BL31 B28:I33 J32:BN33 A34:I34 J34:BL36 BM34:BN47 B35:I36 I37:AJ43 AK37:BL44 B37:H45 J44:AJ44 I44:I45 J45:BL47 B46:I49 BP48 BY48 CD48 CF48 J48:BN52 BP49:BW77 BY49:CF77 A50:G50 I50:I52 H50:H61 B51:G60 I53:BN56 I57:I60 K57:BN62 J57:J65 B61:I62 A63:G63 I63:I65 K63:AA65 AI63:BN65 H63:H74 B64:G74 I66:BK69 BL66:BN70 T70:Z70 AI70:BK70 I70:I74 K70:S74 AA70:AA74 J70:J77 T71:U71 X71:Z71 AI71:BN71 AI72:BL72 BN72 T72:Z74 AI73:BN74 AB74:AH74 B75:I75 K75:BN77 A76:G76 H76:I77 B77:G77 B78:AA78 AI78:XFD78 I79:BK82 BL79:BM83 BN79:BN85 B79:H87 BO79:XFD90 J83:BK83 I83:I87 J84:BM84 J85:BL85 J86:BN90 B88:I88 A89:I89 B90:I90 B91:AA91 AI91:XFD91 B92:BM96 BN92:BN97 BO92:XFD104 J97:BM97 B97:I102 J98:BN98 J99:BL99 BN99 J100:BN104 A103:I103 B104:I104 B105:AA105 AI105:XFD105 B106:BN109 BO106:XFD117 B110:I115 J110:BN117 A116:G116 H116:I117 B117:G117 B118:AA118 AI118:CC118 CD118:XFD123 BO119:CC123 B119:BN129 BO124:XFD1048576 A130:BN1048576">
    <cfRule type="cellIs" dxfId="5" priority="4" operator="lessThan">
      <formula>0</formula>
    </cfRule>
  </conditionalFormatting>
  <conditionalFormatting sqref="BQ48:BW48">
    <cfRule type="cellIs" dxfId="4" priority="3" operator="lessThan">
      <formula>0</formula>
    </cfRule>
  </conditionalFormatting>
  <conditionalFormatting sqref="BZ48:CC48">
    <cfRule type="cellIs" dxfId="3" priority="2" operator="lessThan">
      <formula>0</formula>
    </cfRule>
  </conditionalFormatting>
  <conditionalFormatting sqref="CE48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C73AF-11BF-4F7B-A0C1-6BFA5B86C82F}">
  <dimension ref="A3:L28"/>
  <sheetViews>
    <sheetView workbookViewId="0">
      <selection activeCell="D29" sqref="D29"/>
    </sheetView>
  </sheetViews>
  <sheetFormatPr defaultRowHeight="14.5"/>
  <cols>
    <col min="1" max="1" width="13.90625" bestFit="1" customWidth="1"/>
    <col min="2" max="7" width="13.08984375" bestFit="1" customWidth="1"/>
    <col min="8" max="8" width="11.81640625" bestFit="1" customWidth="1"/>
    <col min="9" max="9" width="13.08984375" bestFit="1" customWidth="1"/>
    <col min="10" max="10" width="17.26953125" bestFit="1" customWidth="1"/>
    <col min="11" max="11" width="11.81640625" bestFit="1" customWidth="1"/>
  </cols>
  <sheetData>
    <row r="3" spans="1:12">
      <c r="A3" s="366" t="s">
        <v>186</v>
      </c>
      <c r="B3" t="s">
        <v>197</v>
      </c>
      <c r="C3" t="s">
        <v>198</v>
      </c>
      <c r="D3" t="s">
        <v>199</v>
      </c>
      <c r="E3" t="s">
        <v>200</v>
      </c>
      <c r="F3" t="s">
        <v>201</v>
      </c>
      <c r="G3" t="s">
        <v>202</v>
      </c>
      <c r="J3" t="s">
        <v>186</v>
      </c>
    </row>
    <row r="4" spans="1:12">
      <c r="A4" s="367" t="s">
        <v>48</v>
      </c>
      <c r="B4">
        <v>392738.98</v>
      </c>
      <c r="C4">
        <v>279216.12</v>
      </c>
      <c r="D4">
        <v>263328.59999999998</v>
      </c>
      <c r="E4">
        <v>356661.33</v>
      </c>
      <c r="F4">
        <v>365352.23</v>
      </c>
      <c r="G4">
        <v>682960.44</v>
      </c>
      <c r="J4" s="382" t="s">
        <v>48</v>
      </c>
      <c r="K4" s="382">
        <v>370087.52</v>
      </c>
      <c r="L4" s="338">
        <f>K4/H17</f>
        <v>0.15813964419388513</v>
      </c>
    </row>
    <row r="5" spans="1:12">
      <c r="A5" s="367" t="s">
        <v>59</v>
      </c>
      <c r="B5">
        <v>276863.60685393267</v>
      </c>
      <c r="C5">
        <v>544268.92941142851</v>
      </c>
      <c r="D5">
        <v>876097.02249999996</v>
      </c>
      <c r="E5">
        <v>991026.37249999994</v>
      </c>
      <c r="F5">
        <v>748437.29570000002</v>
      </c>
      <c r="G5">
        <v>953179.29039999994</v>
      </c>
      <c r="J5" t="s">
        <v>13</v>
      </c>
      <c r="K5">
        <v>285000</v>
      </c>
      <c r="L5" s="338">
        <f t="shared" ref="L5:L28" si="0">K5/H18</f>
        <v>6.4922158644152711E-2</v>
      </c>
    </row>
    <row r="6" spans="1:12">
      <c r="A6" s="367" t="s">
        <v>70</v>
      </c>
      <c r="B6">
        <v>517634</v>
      </c>
      <c r="C6">
        <v>98813.989999999991</v>
      </c>
      <c r="E6">
        <v>176000</v>
      </c>
      <c r="J6" t="s">
        <v>51</v>
      </c>
      <c r="K6">
        <v>85087.52</v>
      </c>
      <c r="L6" s="338">
        <f t="shared" si="0"/>
        <v>0.10737300248562685</v>
      </c>
    </row>
    <row r="7" spans="1:12">
      <c r="A7" s="367" t="s">
        <v>73</v>
      </c>
      <c r="B7">
        <v>3959490</v>
      </c>
      <c r="C7">
        <v>6774222.0999999996</v>
      </c>
      <c r="D7">
        <v>9508483</v>
      </c>
      <c r="E7">
        <v>5054352.4700000007</v>
      </c>
      <c r="F7">
        <v>2224394</v>
      </c>
      <c r="G7">
        <v>1057893.6599999999</v>
      </c>
      <c r="J7" s="382" t="s">
        <v>59</v>
      </c>
      <c r="K7" s="382">
        <v>347597.06441142852</v>
      </c>
      <c r="L7" s="338">
        <f>K7/H18</f>
        <v>7.9181585122668527E-2</v>
      </c>
    </row>
    <row r="8" spans="1:12">
      <c r="A8" s="367" t="s">
        <v>83</v>
      </c>
      <c r="B8">
        <v>2424481.2385</v>
      </c>
      <c r="C8">
        <v>1568827.9100000001</v>
      </c>
      <c r="D8">
        <v>3141256.7228333335</v>
      </c>
      <c r="E8">
        <v>1799113.45</v>
      </c>
      <c r="F8">
        <v>1790487.55</v>
      </c>
      <c r="G8">
        <v>1885356.7</v>
      </c>
      <c r="J8" t="s">
        <v>13</v>
      </c>
      <c r="K8">
        <v>347597.06441142852</v>
      </c>
      <c r="L8" s="338">
        <f t="shared" si="0"/>
        <v>2.7566232970265468E-2</v>
      </c>
    </row>
    <row r="9" spans="1:12">
      <c r="A9" s="367" t="s">
        <v>116</v>
      </c>
      <c r="B9">
        <v>1681367.35</v>
      </c>
      <c r="C9">
        <v>2879153.35</v>
      </c>
      <c r="D9">
        <v>3094026.75</v>
      </c>
      <c r="E9">
        <v>3590410.95</v>
      </c>
      <c r="F9">
        <v>3123773.2</v>
      </c>
      <c r="G9">
        <v>3350373.32</v>
      </c>
      <c r="J9" t="s">
        <v>70</v>
      </c>
      <c r="K9">
        <v>98813.989999999991</v>
      </c>
      <c r="L9" s="338">
        <f t="shared" si="0"/>
        <v>5.576691963061077E-3</v>
      </c>
    </row>
    <row r="10" spans="1:12">
      <c r="A10" s="367" t="s">
        <v>103</v>
      </c>
      <c r="J10" t="s">
        <v>13</v>
      </c>
      <c r="K10">
        <v>98813.989999999991</v>
      </c>
      <c r="L10" s="338" t="e">
        <f t="shared" si="0"/>
        <v>#DIV/0!</v>
      </c>
    </row>
    <row r="11" spans="1:12">
      <c r="A11" s="367" t="s">
        <v>86</v>
      </c>
      <c r="C11">
        <v>31305483</v>
      </c>
      <c r="D11">
        <v>62387631</v>
      </c>
      <c r="E11">
        <v>69701631</v>
      </c>
      <c r="F11">
        <v>23030000</v>
      </c>
      <c r="G11">
        <v>16120000</v>
      </c>
      <c r="J11" s="382" t="s">
        <v>73</v>
      </c>
      <c r="K11" s="382">
        <v>11182131.23</v>
      </c>
      <c r="L11" s="338">
        <f>K11/H20</f>
        <v>0.39127316211480184</v>
      </c>
    </row>
    <row r="12" spans="1:12">
      <c r="A12" s="367" t="s">
        <v>102</v>
      </c>
      <c r="B12">
        <v>216966000</v>
      </c>
      <c r="C12">
        <v>273958857</v>
      </c>
      <c r="D12">
        <v>346177364</v>
      </c>
      <c r="E12">
        <v>248692117</v>
      </c>
      <c r="F12">
        <v>174321188</v>
      </c>
      <c r="G12">
        <v>266936996.47499999</v>
      </c>
      <c r="J12" t="s">
        <v>13</v>
      </c>
      <c r="K12">
        <v>11182131.23</v>
      </c>
      <c r="L12" s="338">
        <f t="shared" si="0"/>
        <v>7.3226893413439013E-3</v>
      </c>
    </row>
    <row r="13" spans="1:12">
      <c r="A13" s="367" t="s">
        <v>89</v>
      </c>
      <c r="B13">
        <v>684342</v>
      </c>
      <c r="C13">
        <v>1517204.67</v>
      </c>
      <c r="D13">
        <v>1721907.67</v>
      </c>
      <c r="E13">
        <v>1638190.67</v>
      </c>
      <c r="F13">
        <v>1383271.67</v>
      </c>
      <c r="G13">
        <v>1786491</v>
      </c>
      <c r="J13" t="s">
        <v>142</v>
      </c>
      <c r="K13">
        <v>0</v>
      </c>
      <c r="L13" s="338">
        <f t="shared" si="0"/>
        <v>0</v>
      </c>
    </row>
    <row r="14" spans="1:12">
      <c r="A14" s="367" t="s">
        <v>187</v>
      </c>
      <c r="B14">
        <v>226902917.17535394</v>
      </c>
      <c r="C14">
        <v>318926047.06941146</v>
      </c>
      <c r="D14">
        <v>427170094.76533335</v>
      </c>
      <c r="E14">
        <v>331999503.24250001</v>
      </c>
      <c r="F14">
        <v>206986903.94569999</v>
      </c>
      <c r="G14">
        <v>292773250.8854</v>
      </c>
      <c r="J14" s="382" t="s">
        <v>83</v>
      </c>
      <c r="K14" s="382">
        <v>3617610.3679999998</v>
      </c>
      <c r="L14" s="338">
        <f>K14/H21</f>
        <v>0.28689508747375081</v>
      </c>
    </row>
    <row r="15" spans="1:12">
      <c r="J15" t="s">
        <v>13</v>
      </c>
      <c r="K15">
        <v>3617610.3679999998</v>
      </c>
      <c r="L15" s="338" t="e">
        <f t="shared" si="0"/>
        <v>#DIV/0!</v>
      </c>
    </row>
    <row r="16" spans="1:12">
      <c r="A16" t="s">
        <v>186</v>
      </c>
      <c r="B16" t="s">
        <v>197</v>
      </c>
      <c r="C16" t="s">
        <v>198</v>
      </c>
      <c r="D16" t="s">
        <v>199</v>
      </c>
      <c r="E16" t="s">
        <v>200</v>
      </c>
      <c r="F16" t="s">
        <v>201</v>
      </c>
      <c r="G16" t="s">
        <v>202</v>
      </c>
      <c r="J16" s="382" t="s">
        <v>116</v>
      </c>
      <c r="K16" s="382">
        <v>4396301.5199999996</v>
      </c>
      <c r="L16" s="338">
        <f>K16/H22</f>
        <v>0.24811081258612463</v>
      </c>
    </row>
    <row r="17" spans="1:12">
      <c r="A17" t="s">
        <v>48</v>
      </c>
      <c r="B17">
        <v>392738.98</v>
      </c>
      <c r="C17">
        <v>279216.12</v>
      </c>
      <c r="D17">
        <v>263328.59999999998</v>
      </c>
      <c r="E17">
        <v>356661.33</v>
      </c>
      <c r="F17">
        <v>365352.23</v>
      </c>
      <c r="G17">
        <v>682960.44</v>
      </c>
      <c r="H17">
        <f>SUM(B17:G17)</f>
        <v>2340257.7000000002</v>
      </c>
      <c r="J17" t="s">
        <v>13</v>
      </c>
      <c r="K17">
        <v>4396301.5199999996</v>
      </c>
      <c r="L17" s="338" t="e">
        <f t="shared" si="0"/>
        <v>#DIV/0!</v>
      </c>
    </row>
    <row r="18" spans="1:12">
      <c r="A18" t="s">
        <v>59</v>
      </c>
      <c r="B18">
        <v>276863.60685393267</v>
      </c>
      <c r="C18">
        <v>544268.92941142851</v>
      </c>
      <c r="D18">
        <v>876097.02249999996</v>
      </c>
      <c r="E18">
        <v>991026.37249999994</v>
      </c>
      <c r="F18">
        <v>748437.29570000002</v>
      </c>
      <c r="G18">
        <v>953179.29039999994</v>
      </c>
      <c r="H18">
        <f t="shared" ref="H18:H27" si="1">SUM(B18:G18)</f>
        <v>4389872.5173653616</v>
      </c>
      <c r="J18" s="382" t="s">
        <v>103</v>
      </c>
      <c r="K18" s="382">
        <v>0</v>
      </c>
      <c r="L18" s="338" t="e">
        <f t="shared" si="0"/>
        <v>#DIV/0!</v>
      </c>
    </row>
    <row r="19" spans="1:12">
      <c r="A19" t="s">
        <v>70</v>
      </c>
      <c r="B19">
        <v>517634</v>
      </c>
      <c r="C19">
        <v>98813.989999999991</v>
      </c>
      <c r="E19">
        <v>176000</v>
      </c>
      <c r="H19">
        <f t="shared" si="1"/>
        <v>792447.99</v>
      </c>
      <c r="J19" t="s">
        <v>13</v>
      </c>
      <c r="K19">
        <v>0</v>
      </c>
      <c r="L19" s="338" t="e">
        <f>K19/H32</f>
        <v>#DIV/0!</v>
      </c>
    </row>
    <row r="20" spans="1:12">
      <c r="A20" t="s">
        <v>73</v>
      </c>
      <c r="B20">
        <v>3959490</v>
      </c>
      <c r="C20">
        <v>6774222.0999999996</v>
      </c>
      <c r="D20">
        <v>9508483</v>
      </c>
      <c r="E20">
        <v>5054352.4700000007</v>
      </c>
      <c r="F20">
        <v>2224394</v>
      </c>
      <c r="G20">
        <v>1057893.6599999999</v>
      </c>
      <c r="H20">
        <f t="shared" si="1"/>
        <v>28578835.23</v>
      </c>
      <c r="J20" s="382" t="s">
        <v>86</v>
      </c>
      <c r="K20" s="382">
        <v>21783245</v>
      </c>
      <c r="L20" s="338">
        <f>K20/H24</f>
        <v>0.10754781616279405</v>
      </c>
    </row>
    <row r="21" spans="1:12">
      <c r="A21" t="s">
        <v>83</v>
      </c>
      <c r="B21">
        <v>2424481.2385</v>
      </c>
      <c r="C21">
        <v>1568827.9100000001</v>
      </c>
      <c r="D21">
        <v>3141256.7228333335</v>
      </c>
      <c r="E21">
        <v>1799113.45</v>
      </c>
      <c r="F21">
        <v>1790487.55</v>
      </c>
      <c r="G21">
        <v>1885356.7</v>
      </c>
      <c r="H21">
        <f t="shared" si="1"/>
        <v>12609523.571333334</v>
      </c>
      <c r="J21" t="s">
        <v>13</v>
      </c>
      <c r="K21">
        <v>21783245</v>
      </c>
      <c r="L21" s="338" t="e">
        <f t="shared" si="0"/>
        <v>#DIV/0!</v>
      </c>
    </row>
    <row r="22" spans="1:12">
      <c r="A22" t="s">
        <v>116</v>
      </c>
      <c r="B22">
        <v>1681367.35</v>
      </c>
      <c r="C22">
        <v>2879153.35</v>
      </c>
      <c r="D22">
        <v>3094026.75</v>
      </c>
      <c r="E22">
        <v>3590410.95</v>
      </c>
      <c r="F22">
        <v>3123773.2</v>
      </c>
      <c r="G22">
        <v>3350373.32</v>
      </c>
      <c r="H22">
        <f t="shared" si="1"/>
        <v>17719104.920000002</v>
      </c>
      <c r="J22" t="s">
        <v>142</v>
      </c>
      <c r="K22">
        <v>0</v>
      </c>
      <c r="L22" s="338" t="e">
        <f t="shared" si="0"/>
        <v>#DIV/0!</v>
      </c>
    </row>
    <row r="23" spans="1:12">
      <c r="A23" t="s">
        <v>103</v>
      </c>
      <c r="H23">
        <f t="shared" si="1"/>
        <v>0</v>
      </c>
      <c r="J23" t="s">
        <v>196</v>
      </c>
      <c r="K23">
        <v>0</v>
      </c>
      <c r="L23" s="338" t="e">
        <f t="shared" si="0"/>
        <v>#DIV/0!</v>
      </c>
    </row>
    <row r="24" spans="1:12">
      <c r="A24" t="s">
        <v>86</v>
      </c>
      <c r="C24">
        <v>31305483</v>
      </c>
      <c r="D24">
        <v>62387631</v>
      </c>
      <c r="E24">
        <v>69701631</v>
      </c>
      <c r="F24">
        <v>23030000</v>
      </c>
      <c r="G24">
        <v>16120000</v>
      </c>
      <c r="H24">
        <f t="shared" si="1"/>
        <v>202544745</v>
      </c>
      <c r="J24" s="382" t="s">
        <v>102</v>
      </c>
      <c r="K24" s="382">
        <v>365227544.47500002</v>
      </c>
      <c r="L24" s="338">
        <f>K24/H25</f>
        <v>0.23917156685812641</v>
      </c>
    </row>
    <row r="25" spans="1:12">
      <c r="A25" t="s">
        <v>102</v>
      </c>
      <c r="B25">
        <v>216966000</v>
      </c>
      <c r="C25">
        <v>273958857</v>
      </c>
      <c r="D25">
        <v>346177364</v>
      </c>
      <c r="E25">
        <v>248692117</v>
      </c>
      <c r="F25">
        <v>174321188</v>
      </c>
      <c r="G25">
        <v>266936996.47499999</v>
      </c>
      <c r="H25">
        <f t="shared" si="1"/>
        <v>1527052522.4749999</v>
      </c>
      <c r="J25" t="s">
        <v>13</v>
      </c>
      <c r="K25">
        <v>365227544.47500002</v>
      </c>
      <c r="L25" s="338" t="e">
        <f t="shared" si="0"/>
        <v>#DIV/0!</v>
      </c>
    </row>
    <row r="26" spans="1:12">
      <c r="A26" t="s">
        <v>89</v>
      </c>
      <c r="B26">
        <v>684342</v>
      </c>
      <c r="C26">
        <v>1517204.67</v>
      </c>
      <c r="D26">
        <v>1721907.67</v>
      </c>
      <c r="E26">
        <v>1638190.67</v>
      </c>
      <c r="F26">
        <v>1383271.67</v>
      </c>
      <c r="G26">
        <v>1786491</v>
      </c>
      <c r="H26">
        <f t="shared" si="1"/>
        <v>8731407.6799999997</v>
      </c>
      <c r="J26" s="382" t="s">
        <v>89</v>
      </c>
      <c r="K26" s="382">
        <v>665351</v>
      </c>
      <c r="L26" s="338">
        <f>K26/H26</f>
        <v>7.6202031148315363E-2</v>
      </c>
    </row>
    <row r="27" spans="1:12">
      <c r="A27" t="s">
        <v>187</v>
      </c>
      <c r="B27">
        <v>226902917.17535394</v>
      </c>
      <c r="C27">
        <v>318926047.06941146</v>
      </c>
      <c r="D27">
        <v>427170094.76533335</v>
      </c>
      <c r="E27">
        <v>331999503.24250001</v>
      </c>
      <c r="F27">
        <v>206986903.94569999</v>
      </c>
      <c r="G27">
        <v>292773250.8854</v>
      </c>
      <c r="H27">
        <f t="shared" si="1"/>
        <v>1804758717.0836987</v>
      </c>
      <c r="J27" t="s">
        <v>13</v>
      </c>
      <c r="K27">
        <v>665351</v>
      </c>
      <c r="L27" s="338" t="e">
        <f t="shared" si="0"/>
        <v>#DIV/0!</v>
      </c>
    </row>
    <row r="28" spans="1:12">
      <c r="J28" t="s">
        <v>187</v>
      </c>
      <c r="K28">
        <v>407688682.16741139</v>
      </c>
      <c r="L28" s="338" t="e">
        <f t="shared" si="0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882C-5EDF-43E0-BE50-D03BDE79D2D0}">
  <dimension ref="A1:J25"/>
  <sheetViews>
    <sheetView workbookViewId="0">
      <selection activeCell="E6" sqref="E6"/>
    </sheetView>
  </sheetViews>
  <sheetFormatPr defaultRowHeight="14.5"/>
  <cols>
    <col min="1" max="1" width="14.6328125" bestFit="1" customWidth="1"/>
    <col min="2" max="2" width="17.90625" bestFit="1" customWidth="1"/>
    <col min="3" max="3" width="24.90625" bestFit="1" customWidth="1"/>
    <col min="4" max="4" width="20.08984375" bestFit="1" customWidth="1"/>
    <col min="5" max="5" width="23.7265625" bestFit="1" customWidth="1"/>
    <col min="7" max="7" width="14.6328125" bestFit="1" customWidth="1"/>
    <col min="8" max="8" width="17.90625" bestFit="1" customWidth="1"/>
    <col min="9" max="9" width="24.90625" bestFit="1" customWidth="1"/>
    <col min="10" max="10" width="20.08984375" bestFit="1" customWidth="1"/>
  </cols>
  <sheetData>
    <row r="1" spans="1:10">
      <c r="E1" s="400" t="s">
        <v>214</v>
      </c>
    </row>
    <row r="2" spans="1:10">
      <c r="E2" s="401" t="s">
        <v>215</v>
      </c>
    </row>
    <row r="3" spans="1:10">
      <c r="A3" s="366" t="s">
        <v>31</v>
      </c>
      <c r="B3" s="366" t="s">
        <v>30</v>
      </c>
      <c r="E3" s="401" t="s">
        <v>216</v>
      </c>
      <c r="G3" s="366" t="s">
        <v>31</v>
      </c>
      <c r="H3" s="366" t="s">
        <v>30</v>
      </c>
      <c r="I3" t="s">
        <v>227</v>
      </c>
      <c r="J3" s="402" t="s">
        <v>228</v>
      </c>
    </row>
    <row r="4" spans="1:10">
      <c r="A4" t="s">
        <v>48</v>
      </c>
      <c r="B4">
        <v>1.32</v>
      </c>
      <c r="E4" s="401" t="s">
        <v>217</v>
      </c>
      <c r="G4" t="s">
        <v>48</v>
      </c>
      <c r="H4">
        <v>1.32</v>
      </c>
      <c r="I4" s="350">
        <v>4920902.6328000007</v>
      </c>
      <c r="J4" s="402">
        <v>3727956.54</v>
      </c>
    </row>
    <row r="5" spans="1:10">
      <c r="A5" t="s">
        <v>59</v>
      </c>
      <c r="B5">
        <v>1.68</v>
      </c>
      <c r="E5" s="401" t="s">
        <v>218</v>
      </c>
      <c r="G5" t="s">
        <v>59</v>
      </c>
      <c r="H5">
        <v>1.68</v>
      </c>
      <c r="I5" s="350">
        <v>11773358.327329805</v>
      </c>
      <c r="J5" s="402">
        <v>7007951.3853153624</v>
      </c>
    </row>
    <row r="6" spans="1:10">
      <c r="A6" t="s">
        <v>70</v>
      </c>
      <c r="B6">
        <v>1</v>
      </c>
      <c r="E6" s="401" t="s">
        <v>219</v>
      </c>
      <c r="G6" t="s">
        <v>70</v>
      </c>
      <c r="H6">
        <v>1</v>
      </c>
      <c r="I6" s="350">
        <v>4659433.3747474607</v>
      </c>
      <c r="J6" s="402">
        <v>4659433.3747474607</v>
      </c>
    </row>
    <row r="7" spans="1:10">
      <c r="A7" t="s">
        <v>73</v>
      </c>
      <c r="B7">
        <v>0.14000000000000001</v>
      </c>
      <c r="E7" s="401" t="s">
        <v>220</v>
      </c>
      <c r="G7" t="s">
        <v>73</v>
      </c>
      <c r="H7">
        <v>0.14000000000000001</v>
      </c>
      <c r="I7" s="350">
        <v>7811759.6424000002</v>
      </c>
      <c r="J7" s="402">
        <v>55798283.159999996</v>
      </c>
    </row>
    <row r="8" spans="1:10">
      <c r="A8" t="s">
        <v>83</v>
      </c>
      <c r="B8">
        <v>0.39</v>
      </c>
      <c r="E8" s="401" t="s">
        <v>221</v>
      </c>
      <c r="G8" t="s">
        <v>83</v>
      </c>
      <c r="H8">
        <v>0.39</v>
      </c>
      <c r="I8" s="350">
        <v>7206700.8278199984</v>
      </c>
      <c r="J8" s="402">
        <v>18478720.07133333</v>
      </c>
    </row>
    <row r="9" spans="1:10">
      <c r="A9" t="s">
        <v>116</v>
      </c>
      <c r="B9">
        <v>0.28000000000000003</v>
      </c>
      <c r="E9" s="401" t="s">
        <v>222</v>
      </c>
      <c r="G9" t="s">
        <v>116</v>
      </c>
      <c r="H9">
        <v>0.28000000000000003</v>
      </c>
      <c r="I9" s="350">
        <v>7342069.546000002</v>
      </c>
      <c r="J9" s="402">
        <v>26221676.950000003</v>
      </c>
    </row>
    <row r="10" spans="1:10">
      <c r="A10" t="s">
        <v>103</v>
      </c>
      <c r="B10">
        <v>1.2107000000000001</v>
      </c>
      <c r="E10" s="401" t="s">
        <v>223</v>
      </c>
      <c r="G10" t="s">
        <v>103</v>
      </c>
      <c r="H10">
        <v>1.2107000000000001</v>
      </c>
      <c r="I10" s="350">
        <v>1011652.4450999998</v>
      </c>
      <c r="J10" s="402">
        <v>835593</v>
      </c>
    </row>
    <row r="11" spans="1:10">
      <c r="A11" t="s">
        <v>86</v>
      </c>
      <c r="B11">
        <v>7.0000000000000001E-3</v>
      </c>
      <c r="E11" s="401" t="s">
        <v>224</v>
      </c>
      <c r="G11" t="s">
        <v>86</v>
      </c>
      <c r="H11">
        <v>7.0000000000000001E-3</v>
      </c>
      <c r="I11" s="350">
        <v>2211053.2149999999</v>
      </c>
      <c r="J11" s="402">
        <v>315864745</v>
      </c>
    </row>
    <row r="12" spans="1:10">
      <c r="A12" t="s">
        <v>102</v>
      </c>
      <c r="B12">
        <v>5.0000000000000001E-3</v>
      </c>
      <c r="E12" s="401" t="s">
        <v>225</v>
      </c>
      <c r="G12" t="s">
        <v>102</v>
      </c>
      <c r="H12">
        <v>5.0000000000000001E-3</v>
      </c>
      <c r="I12" s="350">
        <v>9499021.3423749991</v>
      </c>
      <c r="J12" s="402">
        <v>1899804268.4750001</v>
      </c>
    </row>
    <row r="13" spans="1:10">
      <c r="A13" t="s">
        <v>89</v>
      </c>
      <c r="B13">
        <v>0.76</v>
      </c>
      <c r="E13" s="401" t="s">
        <v>226</v>
      </c>
      <c r="G13" t="s">
        <v>89</v>
      </c>
      <c r="H13">
        <v>0.76</v>
      </c>
      <c r="I13" s="350">
        <v>12110887.796800001</v>
      </c>
      <c r="J13" s="402">
        <v>15935378.68</v>
      </c>
    </row>
    <row r="14" spans="1:10">
      <c r="A14" t="s">
        <v>213</v>
      </c>
      <c r="B14" t="s">
        <v>213</v>
      </c>
      <c r="G14" t="s">
        <v>187</v>
      </c>
      <c r="I14" s="350">
        <v>68546839.150372267</v>
      </c>
      <c r="J14" s="402">
        <v>2348334006.6363959</v>
      </c>
    </row>
    <row r="15" spans="1:10">
      <c r="A15" t="s">
        <v>187</v>
      </c>
    </row>
    <row r="23" spans="1:4">
      <c r="A23" s="366" t="s">
        <v>31</v>
      </c>
      <c r="B23" s="366" t="s">
        <v>30</v>
      </c>
      <c r="C23" t="s">
        <v>227</v>
      </c>
      <c r="D23" s="402" t="s">
        <v>228</v>
      </c>
    </row>
    <row r="24" spans="1:4">
      <c r="A24" t="s">
        <v>103</v>
      </c>
      <c r="B24">
        <v>1.2107000000000001</v>
      </c>
      <c r="C24" s="350">
        <v>1011652.4451</v>
      </c>
      <c r="D24" s="402">
        <v>835593</v>
      </c>
    </row>
    <row r="25" spans="1:4">
      <c r="A25" t="s">
        <v>187</v>
      </c>
      <c r="C25" s="350">
        <v>1011652.4451</v>
      </c>
      <c r="D25" s="402">
        <v>835593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9D9F9-F732-4ABD-A2A2-5784FC0C9F5D}">
  <dimension ref="A3:S353"/>
  <sheetViews>
    <sheetView showGridLines="0" tabSelected="1" workbookViewId="0">
      <selection activeCell="G278" sqref="G278"/>
    </sheetView>
  </sheetViews>
  <sheetFormatPr defaultColWidth="8.7265625" defaultRowHeight="13"/>
  <cols>
    <col min="1" max="2" width="12.1796875" style="7" customWidth="1"/>
    <col min="3" max="3" width="19.1796875" style="7" customWidth="1"/>
    <col min="4" max="4" width="42.90625" style="7" bestFit="1" customWidth="1"/>
    <col min="5" max="6" width="18" style="11" customWidth="1"/>
    <col min="7" max="7" width="15.81640625" style="7" bestFit="1" customWidth="1"/>
    <col min="8" max="19" width="16" style="7" customWidth="1"/>
    <col min="20" max="20" width="14.1796875" style="7" customWidth="1"/>
    <col min="21" max="16384" width="8.7265625" style="7"/>
  </cols>
  <sheetData>
    <row r="3" spans="1:19" ht="25">
      <c r="A3" s="242" t="s">
        <v>29</v>
      </c>
    </row>
    <row r="5" spans="1:19">
      <c r="H5" s="403">
        <f>SUM(H8:H59)</f>
        <v>392738.98</v>
      </c>
      <c r="I5" s="403">
        <f t="shared" ref="I5:S5" si="0">SUM(I8:I59)</f>
        <v>279216.12</v>
      </c>
      <c r="J5" s="403">
        <f t="shared" si="0"/>
        <v>263328.59999999998</v>
      </c>
      <c r="K5" s="403">
        <f t="shared" si="0"/>
        <v>356661.33</v>
      </c>
      <c r="L5" s="403">
        <f t="shared" si="0"/>
        <v>365352.23</v>
      </c>
      <c r="M5" s="403">
        <f t="shared" si="0"/>
        <v>682960.44</v>
      </c>
      <c r="N5" s="403">
        <f t="shared" si="0"/>
        <v>886001.01</v>
      </c>
      <c r="O5" s="403">
        <f t="shared" si="0"/>
        <v>501697.83000000007</v>
      </c>
      <c r="P5" s="403">
        <f t="shared" si="0"/>
        <v>0</v>
      </c>
      <c r="Q5" s="403">
        <f t="shared" si="0"/>
        <v>0</v>
      </c>
      <c r="R5" s="403">
        <f t="shared" si="0"/>
        <v>0</v>
      </c>
      <c r="S5" s="403">
        <f t="shared" si="0"/>
        <v>0</v>
      </c>
    </row>
    <row r="6" spans="1:19">
      <c r="F6" s="357"/>
    </row>
    <row r="7" spans="1:19" s="18" customFormat="1" ht="26">
      <c r="A7" s="282" t="s">
        <v>30</v>
      </c>
      <c r="B7" s="282" t="s">
        <v>31</v>
      </c>
      <c r="C7" s="282" t="s">
        <v>32</v>
      </c>
      <c r="D7" s="282" t="s">
        <v>33</v>
      </c>
      <c r="E7" s="284" t="s">
        <v>2</v>
      </c>
      <c r="F7" s="282" t="s">
        <v>34</v>
      </c>
      <c r="G7" s="283" t="s">
        <v>35</v>
      </c>
      <c r="H7" s="283" t="s">
        <v>36</v>
      </c>
      <c r="I7" s="283" t="s">
        <v>37</v>
      </c>
      <c r="J7" s="283" t="s">
        <v>38</v>
      </c>
      <c r="K7" s="283" t="s">
        <v>39</v>
      </c>
      <c r="L7" s="283" t="s">
        <v>40</v>
      </c>
      <c r="M7" s="283" t="s">
        <v>41</v>
      </c>
      <c r="N7" s="283" t="s">
        <v>42</v>
      </c>
      <c r="O7" s="283" t="s">
        <v>43</v>
      </c>
      <c r="P7" s="283" t="s">
        <v>44</v>
      </c>
      <c r="Q7" s="283" t="s">
        <v>45</v>
      </c>
      <c r="R7" s="283" t="s">
        <v>46</v>
      </c>
      <c r="S7" s="283" t="s">
        <v>47</v>
      </c>
    </row>
    <row r="8" spans="1:19" s="48" customFormat="1">
      <c r="A8" s="276">
        <v>1.32</v>
      </c>
      <c r="B8" s="276" t="s">
        <v>48</v>
      </c>
      <c r="C8" s="276" t="s">
        <v>49</v>
      </c>
      <c r="D8" s="277" t="s">
        <v>50</v>
      </c>
      <c r="E8" s="278" t="s">
        <v>12</v>
      </c>
      <c r="F8" s="279">
        <f>G8*A8</f>
        <v>81964.608000000007</v>
      </c>
      <c r="G8" s="280">
        <f t="shared" ref="G8:G62" si="1">SUM(H8:S8)</f>
        <v>62094.400000000001</v>
      </c>
      <c r="H8" s="281"/>
      <c r="I8" s="281"/>
      <c r="J8" s="281"/>
      <c r="K8" s="281">
        <v>27337.759999999998</v>
      </c>
      <c r="L8" s="281">
        <v>23628.32</v>
      </c>
      <c r="M8" s="281">
        <v>11128.32</v>
      </c>
      <c r="N8" s="281"/>
      <c r="O8" s="281"/>
      <c r="P8" s="281"/>
      <c r="Q8" s="281"/>
      <c r="R8" s="281"/>
      <c r="S8" s="281"/>
    </row>
    <row r="9" spans="1:19" s="48" customFormat="1">
      <c r="A9" s="42">
        <v>1.32</v>
      </c>
      <c r="B9" s="42" t="s">
        <v>48</v>
      </c>
      <c r="C9" s="42" t="s">
        <v>49</v>
      </c>
      <c r="D9" s="43" t="s">
        <v>50</v>
      </c>
      <c r="E9" s="49" t="s">
        <v>13</v>
      </c>
      <c r="F9" s="249">
        <f t="shared" ref="F9:F106" si="2">G9*A9</f>
        <v>105600</v>
      </c>
      <c r="G9" s="253">
        <f t="shared" si="1"/>
        <v>80000</v>
      </c>
      <c r="H9" s="50"/>
      <c r="I9" s="50"/>
      <c r="J9" s="50"/>
      <c r="K9" s="50"/>
      <c r="L9" s="50">
        <v>40000</v>
      </c>
      <c r="M9" s="50">
        <v>40000</v>
      </c>
      <c r="N9" s="50"/>
      <c r="O9" s="50"/>
      <c r="P9" s="50"/>
      <c r="Q9" s="50"/>
      <c r="R9" s="50"/>
      <c r="S9" s="50"/>
    </row>
    <row r="10" spans="1:19" s="48" customFormat="1">
      <c r="A10" s="42">
        <v>1.32</v>
      </c>
      <c r="B10" s="42" t="s">
        <v>48</v>
      </c>
      <c r="C10" s="42" t="s">
        <v>49</v>
      </c>
      <c r="D10" s="43" t="s">
        <v>50</v>
      </c>
      <c r="E10" s="49" t="s">
        <v>17</v>
      </c>
      <c r="F10" s="249">
        <f t="shared" si="2"/>
        <v>132977.11680000002</v>
      </c>
      <c r="G10" s="253">
        <f t="shared" si="1"/>
        <v>100740.24</v>
      </c>
      <c r="H10" s="50"/>
      <c r="I10" s="50"/>
      <c r="J10" s="50"/>
      <c r="K10" s="50">
        <v>33580.080000000002</v>
      </c>
      <c r="L10" s="50">
        <v>33580.080000000002</v>
      </c>
      <c r="M10" s="50">
        <v>33580.080000000002</v>
      </c>
      <c r="N10" s="50"/>
      <c r="O10" s="50"/>
      <c r="P10" s="50"/>
      <c r="Q10" s="50"/>
      <c r="R10" s="50"/>
      <c r="S10" s="50"/>
    </row>
    <row r="11" spans="1:19" s="48" customFormat="1">
      <c r="A11" s="42">
        <v>1.32</v>
      </c>
      <c r="B11" s="42" t="s">
        <v>48</v>
      </c>
      <c r="C11" s="42" t="s">
        <v>49</v>
      </c>
      <c r="D11" s="43" t="s">
        <v>50</v>
      </c>
      <c r="E11" s="49" t="s">
        <v>14</v>
      </c>
      <c r="F11" s="249">
        <f t="shared" si="2"/>
        <v>40125.465599999996</v>
      </c>
      <c r="G11" s="253">
        <f t="shared" si="1"/>
        <v>30398.079999999998</v>
      </c>
      <c r="H11" s="50"/>
      <c r="I11" s="50"/>
      <c r="J11" s="50"/>
      <c r="K11" s="50">
        <v>11968.4</v>
      </c>
      <c r="L11" s="50">
        <v>9214.84</v>
      </c>
      <c r="M11" s="50">
        <v>9214.84</v>
      </c>
      <c r="N11" s="50"/>
      <c r="O11" s="50"/>
      <c r="P11" s="50"/>
      <c r="Q11" s="50"/>
      <c r="R11" s="50"/>
      <c r="S11" s="50"/>
    </row>
    <row r="12" spans="1:19" s="48" customFormat="1">
      <c r="A12" s="42">
        <v>1.32</v>
      </c>
      <c r="B12" s="42" t="s">
        <v>48</v>
      </c>
      <c r="C12" s="42" t="s">
        <v>49</v>
      </c>
      <c r="D12" s="43" t="s">
        <v>50</v>
      </c>
      <c r="E12" s="49" t="s">
        <v>16</v>
      </c>
      <c r="F12" s="249">
        <f t="shared" si="2"/>
        <v>39600</v>
      </c>
      <c r="G12" s="253">
        <f t="shared" si="1"/>
        <v>30000</v>
      </c>
      <c r="H12" s="50"/>
      <c r="I12" s="50"/>
      <c r="J12" s="50"/>
      <c r="K12" s="50">
        <v>10000</v>
      </c>
      <c r="L12" s="50">
        <v>10000</v>
      </c>
      <c r="M12" s="50">
        <v>10000</v>
      </c>
      <c r="N12" s="50"/>
      <c r="O12" s="50"/>
      <c r="P12" s="50"/>
      <c r="Q12" s="50"/>
      <c r="R12" s="50"/>
      <c r="S12" s="50"/>
    </row>
    <row r="13" spans="1:19" s="48" customFormat="1">
      <c r="A13" s="42">
        <v>1.32</v>
      </c>
      <c r="B13" s="42" t="s">
        <v>48</v>
      </c>
      <c r="C13" s="42" t="s">
        <v>49</v>
      </c>
      <c r="D13" s="43" t="s">
        <v>50</v>
      </c>
      <c r="E13" s="49" t="s">
        <v>15</v>
      </c>
      <c r="F13" s="249">
        <f t="shared" si="2"/>
        <v>60429.600000000006</v>
      </c>
      <c r="G13" s="253">
        <f t="shared" si="1"/>
        <v>45780</v>
      </c>
      <c r="H13" s="50"/>
      <c r="I13" s="50"/>
      <c r="J13" s="50"/>
      <c r="K13" s="50">
        <v>12570</v>
      </c>
      <c r="L13" s="50">
        <v>16650</v>
      </c>
      <c r="M13" s="50">
        <v>16560</v>
      </c>
      <c r="N13" s="50"/>
      <c r="O13" s="50"/>
      <c r="P13" s="50"/>
      <c r="Q13" s="50"/>
      <c r="R13" s="50"/>
      <c r="S13" s="50"/>
    </row>
    <row r="14" spans="1:19" s="48" customFormat="1">
      <c r="A14" s="42">
        <v>1.32</v>
      </c>
      <c r="B14" s="42" t="s">
        <v>48</v>
      </c>
      <c r="C14" s="42" t="s">
        <v>49</v>
      </c>
      <c r="D14" s="43" t="s">
        <v>50</v>
      </c>
      <c r="E14" s="49" t="s">
        <v>51</v>
      </c>
      <c r="F14" s="249">
        <f t="shared" si="2"/>
        <v>25290.671999999999</v>
      </c>
      <c r="G14" s="253">
        <f t="shared" si="1"/>
        <v>19159.599999999999</v>
      </c>
      <c r="H14" s="50"/>
      <c r="I14" s="50"/>
      <c r="J14" s="50"/>
      <c r="K14" s="50">
        <v>9579.7999999999993</v>
      </c>
      <c r="L14" s="50">
        <v>9579.7999999999993</v>
      </c>
      <c r="M14" s="50"/>
      <c r="N14" s="50"/>
      <c r="O14" s="50"/>
      <c r="P14" s="50"/>
      <c r="Q14" s="50"/>
      <c r="R14" s="50"/>
      <c r="S14" s="50"/>
    </row>
    <row r="15" spans="1:19" s="48" customFormat="1">
      <c r="A15" s="42">
        <v>1.32</v>
      </c>
      <c r="B15" s="42" t="s">
        <v>48</v>
      </c>
      <c r="C15" s="42" t="s">
        <v>49</v>
      </c>
      <c r="D15" s="43" t="s">
        <v>52</v>
      </c>
      <c r="E15" s="49" t="s">
        <v>12</v>
      </c>
      <c r="F15" s="249">
        <f t="shared" si="2"/>
        <v>105272.95680000001</v>
      </c>
      <c r="G15" s="253">
        <f t="shared" si="1"/>
        <v>79752.240000000005</v>
      </c>
      <c r="H15" s="50">
        <v>20401.919999999998</v>
      </c>
      <c r="I15" s="50">
        <v>27820.080000000002</v>
      </c>
      <c r="J15" s="50">
        <v>31530.240000000002</v>
      </c>
      <c r="K15" s="50"/>
      <c r="L15" s="50"/>
      <c r="M15" s="50"/>
      <c r="N15" s="50"/>
      <c r="O15" s="50"/>
      <c r="P15" s="50"/>
      <c r="Q15" s="50"/>
      <c r="R15" s="50"/>
      <c r="S15" s="50"/>
    </row>
    <row r="16" spans="1:19" s="48" customFormat="1">
      <c r="A16" s="42">
        <v>1.32</v>
      </c>
      <c r="B16" s="42" t="s">
        <v>48</v>
      </c>
      <c r="C16" s="42" t="s">
        <v>49</v>
      </c>
      <c r="D16" s="43" t="s">
        <v>52</v>
      </c>
      <c r="E16" s="49" t="s">
        <v>13</v>
      </c>
      <c r="F16" s="249">
        <f t="shared" si="2"/>
        <v>132000</v>
      </c>
      <c r="G16" s="253">
        <f t="shared" si="1"/>
        <v>100000</v>
      </c>
      <c r="H16" s="50">
        <v>25000</v>
      </c>
      <c r="I16" s="50">
        <v>25000</v>
      </c>
      <c r="J16" s="50">
        <v>25000</v>
      </c>
      <c r="K16" s="50">
        <v>25000</v>
      </c>
      <c r="L16" s="50"/>
      <c r="M16" s="50"/>
      <c r="N16" s="50"/>
      <c r="O16" s="50"/>
      <c r="P16" s="50"/>
      <c r="Q16" s="50"/>
      <c r="R16" s="50"/>
      <c r="S16" s="50"/>
    </row>
    <row r="17" spans="1:19" s="48" customFormat="1">
      <c r="A17" s="42">
        <v>1.32</v>
      </c>
      <c r="B17" s="42" t="s">
        <v>48</v>
      </c>
      <c r="C17" s="42" t="s">
        <v>49</v>
      </c>
      <c r="D17" s="43" t="s">
        <v>52</v>
      </c>
      <c r="E17" s="49" t="s">
        <v>16</v>
      </c>
      <c r="F17" s="249">
        <f t="shared" si="2"/>
        <v>346159.96800000005</v>
      </c>
      <c r="G17" s="253">
        <f t="shared" si="1"/>
        <v>262242.40000000002</v>
      </c>
      <c r="H17" s="50">
        <v>84080.8</v>
      </c>
      <c r="I17" s="50">
        <v>94080.8</v>
      </c>
      <c r="J17" s="50">
        <v>84080.8</v>
      </c>
      <c r="K17" s="50"/>
      <c r="L17" s="50"/>
      <c r="M17" s="50"/>
      <c r="N17" s="50"/>
      <c r="O17" s="50"/>
      <c r="P17" s="50"/>
      <c r="Q17" s="50"/>
      <c r="R17" s="50"/>
      <c r="S17" s="50"/>
    </row>
    <row r="18" spans="1:19" s="48" customFormat="1">
      <c r="A18" s="42">
        <v>1.32</v>
      </c>
      <c r="B18" s="42" t="s">
        <v>48</v>
      </c>
      <c r="C18" s="42" t="s">
        <v>49</v>
      </c>
      <c r="D18" s="43" t="s">
        <v>52</v>
      </c>
      <c r="E18" s="49" t="s">
        <v>15</v>
      </c>
      <c r="F18" s="249">
        <f t="shared" si="2"/>
        <v>124250.808</v>
      </c>
      <c r="G18" s="253">
        <f t="shared" si="1"/>
        <v>94129.4</v>
      </c>
      <c r="H18" s="50">
        <v>40715.160000000003</v>
      </c>
      <c r="I18" s="50">
        <v>53414.239999999998</v>
      </c>
      <c r="J18" s="50"/>
      <c r="K18" s="50"/>
      <c r="L18" s="50"/>
      <c r="M18" s="50"/>
      <c r="N18" s="50"/>
      <c r="O18" s="50"/>
      <c r="P18" s="50"/>
      <c r="Q18" s="50"/>
      <c r="R18" s="50"/>
      <c r="S18" s="50"/>
    </row>
    <row r="19" spans="1:19" s="48" customFormat="1">
      <c r="A19" s="42">
        <v>1.32</v>
      </c>
      <c r="B19" s="42" t="s">
        <v>48</v>
      </c>
      <c r="C19" s="42" t="s">
        <v>49</v>
      </c>
      <c r="D19" s="43" t="s">
        <v>52</v>
      </c>
      <c r="E19" s="49" t="s">
        <v>51</v>
      </c>
      <c r="F19" s="249">
        <f t="shared" si="2"/>
        <v>16914.902399999999</v>
      </c>
      <c r="G19" s="253">
        <f t="shared" si="1"/>
        <v>12814.32</v>
      </c>
      <c r="H19" s="50">
        <v>12814.32</v>
      </c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</row>
    <row r="20" spans="1:19" s="48" customFormat="1">
      <c r="A20" s="42">
        <v>1.32</v>
      </c>
      <c r="B20" s="42" t="s">
        <v>48</v>
      </c>
      <c r="C20" s="42" t="s">
        <v>53</v>
      </c>
      <c r="D20" s="43" t="s">
        <v>54</v>
      </c>
      <c r="E20" s="49" t="s">
        <v>14</v>
      </c>
      <c r="F20" s="249">
        <f t="shared" si="2"/>
        <v>36607.955999999998</v>
      </c>
      <c r="G20" s="253">
        <f t="shared" si="1"/>
        <v>27733.3</v>
      </c>
      <c r="H20" s="50">
        <v>27733.3</v>
      </c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</row>
    <row r="21" spans="1:19" s="48" customFormat="1">
      <c r="A21" s="42">
        <v>1.32</v>
      </c>
      <c r="B21" s="42" t="s">
        <v>48</v>
      </c>
      <c r="C21" s="42" t="s">
        <v>53</v>
      </c>
      <c r="D21" s="43" t="s">
        <v>54</v>
      </c>
      <c r="E21" s="49" t="s">
        <v>16</v>
      </c>
      <c r="F21" s="249">
        <f t="shared" si="2"/>
        <v>170115.6336</v>
      </c>
      <c r="G21" s="253">
        <f t="shared" si="1"/>
        <v>128875.48</v>
      </c>
      <c r="H21" s="50">
        <v>128875.48</v>
      </c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</row>
    <row r="22" spans="1:19" s="48" customFormat="1">
      <c r="A22" s="42">
        <v>1.32</v>
      </c>
      <c r="B22" s="42" t="s">
        <v>48</v>
      </c>
      <c r="C22" s="42" t="s">
        <v>53</v>
      </c>
      <c r="D22" s="43" t="s">
        <v>54</v>
      </c>
      <c r="E22" s="49" t="s">
        <v>15</v>
      </c>
      <c r="F22" s="249">
        <f t="shared" si="2"/>
        <v>36128.400000000001</v>
      </c>
      <c r="G22" s="253">
        <f t="shared" si="1"/>
        <v>27370</v>
      </c>
      <c r="H22" s="50">
        <v>27370</v>
      </c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</row>
    <row r="23" spans="1:19" s="48" customFormat="1">
      <c r="A23" s="42">
        <v>1.32</v>
      </c>
      <c r="B23" s="42" t="s">
        <v>48</v>
      </c>
      <c r="C23" s="42" t="s">
        <v>53</v>
      </c>
      <c r="D23" s="43" t="s">
        <v>54</v>
      </c>
      <c r="E23" s="49" t="s">
        <v>51</v>
      </c>
      <c r="F23" s="249">
        <f t="shared" si="2"/>
        <v>33987.360000000001</v>
      </c>
      <c r="G23" s="253">
        <f t="shared" si="1"/>
        <v>25748</v>
      </c>
      <c r="H23" s="50">
        <v>25748</v>
      </c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</row>
    <row r="24" spans="1:19" s="48" customFormat="1">
      <c r="A24" s="42">
        <v>1.32</v>
      </c>
      <c r="B24" s="42" t="s">
        <v>48</v>
      </c>
      <c r="C24" s="42" t="s">
        <v>53</v>
      </c>
      <c r="D24" s="43" t="s">
        <v>55</v>
      </c>
      <c r="E24" s="49" t="s">
        <v>13</v>
      </c>
      <c r="F24" s="249">
        <f t="shared" si="2"/>
        <v>46200</v>
      </c>
      <c r="G24" s="253">
        <f t="shared" si="1"/>
        <v>35000</v>
      </c>
      <c r="H24" s="50"/>
      <c r="I24" s="50"/>
      <c r="J24" s="50"/>
      <c r="K24" s="50"/>
      <c r="L24" s="50"/>
      <c r="M24" s="50">
        <v>35000</v>
      </c>
      <c r="N24" s="50"/>
      <c r="O24" s="50"/>
      <c r="P24" s="50"/>
      <c r="Q24" s="50"/>
      <c r="R24" s="50"/>
      <c r="S24" s="50"/>
    </row>
    <row r="25" spans="1:19" s="48" customFormat="1">
      <c r="A25" s="42">
        <v>1.32</v>
      </c>
      <c r="B25" s="42" t="s">
        <v>48</v>
      </c>
      <c r="C25" s="42" t="s">
        <v>53</v>
      </c>
      <c r="D25" s="43" t="s">
        <v>55</v>
      </c>
      <c r="E25" s="49" t="s">
        <v>17</v>
      </c>
      <c r="F25" s="249">
        <f t="shared" si="2"/>
        <v>125769.60000000001</v>
      </c>
      <c r="G25" s="253">
        <f t="shared" si="1"/>
        <v>95280</v>
      </c>
      <c r="H25" s="50"/>
      <c r="I25" s="50"/>
      <c r="J25" s="50"/>
      <c r="K25" s="50">
        <v>31760</v>
      </c>
      <c r="L25" s="50">
        <v>31760</v>
      </c>
      <c r="M25" s="50">
        <v>31760</v>
      </c>
      <c r="N25" s="50"/>
      <c r="O25" s="50"/>
      <c r="P25" s="50"/>
      <c r="Q25" s="50"/>
      <c r="R25" s="50"/>
      <c r="S25" s="50"/>
    </row>
    <row r="26" spans="1:19" s="48" customFormat="1">
      <c r="A26" s="42">
        <v>1.32</v>
      </c>
      <c r="B26" s="42" t="s">
        <v>48</v>
      </c>
      <c r="C26" s="42" t="s">
        <v>53</v>
      </c>
      <c r="D26" s="43" t="s">
        <v>55</v>
      </c>
      <c r="E26" s="49" t="s">
        <v>16</v>
      </c>
      <c r="F26" s="249">
        <f t="shared" si="2"/>
        <v>23760</v>
      </c>
      <c r="G26" s="253">
        <f t="shared" si="1"/>
        <v>18000</v>
      </c>
      <c r="H26" s="50"/>
      <c r="I26" s="50"/>
      <c r="J26" s="50"/>
      <c r="K26" s="50">
        <v>6000</v>
      </c>
      <c r="L26" s="50">
        <v>6000</v>
      </c>
      <c r="M26" s="50">
        <v>6000</v>
      </c>
      <c r="N26" s="50"/>
      <c r="O26" s="50"/>
      <c r="P26" s="50"/>
      <c r="Q26" s="50"/>
      <c r="R26" s="50"/>
      <c r="S26" s="50"/>
    </row>
    <row r="27" spans="1:19" s="48" customFormat="1">
      <c r="A27" s="42">
        <v>1.32</v>
      </c>
      <c r="B27" s="42" t="s">
        <v>48</v>
      </c>
      <c r="C27" s="42" t="s">
        <v>53</v>
      </c>
      <c r="D27" s="43" t="s">
        <v>55</v>
      </c>
      <c r="E27" s="49" t="s">
        <v>15</v>
      </c>
      <c r="F27" s="249">
        <f t="shared" si="2"/>
        <v>57655.804800000005</v>
      </c>
      <c r="G27" s="253">
        <f t="shared" si="1"/>
        <v>43678.64</v>
      </c>
      <c r="H27" s="50"/>
      <c r="I27" s="50"/>
      <c r="J27" s="50"/>
      <c r="K27" s="50">
        <v>43678.64</v>
      </c>
      <c r="L27" s="50"/>
      <c r="M27" s="50"/>
      <c r="N27" s="50"/>
      <c r="O27" s="50"/>
      <c r="P27" s="50"/>
      <c r="Q27" s="50"/>
      <c r="R27" s="50"/>
      <c r="S27" s="50"/>
    </row>
    <row r="28" spans="1:19" s="48" customFormat="1">
      <c r="A28" s="42">
        <v>1.32</v>
      </c>
      <c r="B28" s="42" t="s">
        <v>48</v>
      </c>
      <c r="C28" s="42" t="s">
        <v>53</v>
      </c>
      <c r="D28" s="43" t="s">
        <v>55</v>
      </c>
      <c r="E28" s="49" t="s">
        <v>51</v>
      </c>
      <c r="F28" s="249">
        <f t="shared" si="2"/>
        <v>12647.712000000001</v>
      </c>
      <c r="G28" s="253">
        <f t="shared" si="1"/>
        <v>9581.6</v>
      </c>
      <c r="H28" s="50"/>
      <c r="I28" s="50"/>
      <c r="J28" s="50"/>
      <c r="K28" s="50">
        <v>9581.6</v>
      </c>
      <c r="L28" s="50"/>
      <c r="M28" s="50"/>
      <c r="N28" s="50"/>
      <c r="O28" s="50"/>
      <c r="P28" s="50"/>
      <c r="Q28" s="50"/>
      <c r="R28" s="50"/>
      <c r="S28" s="50"/>
    </row>
    <row r="29" spans="1:19" s="48" customFormat="1">
      <c r="A29" s="42">
        <v>1.32</v>
      </c>
      <c r="B29" s="42" t="s">
        <v>48</v>
      </c>
      <c r="C29" s="42" t="s">
        <v>56</v>
      </c>
      <c r="D29" s="43" t="s">
        <v>57</v>
      </c>
      <c r="E29" s="49" t="s">
        <v>16</v>
      </c>
      <c r="F29" s="249">
        <f t="shared" si="2"/>
        <v>269599.1496</v>
      </c>
      <c r="G29" s="253">
        <f t="shared" si="1"/>
        <v>204241.78</v>
      </c>
      <c r="H29" s="50"/>
      <c r="I29" s="50"/>
      <c r="J29" s="50">
        <v>8393</v>
      </c>
      <c r="K29" s="50">
        <v>48795.3</v>
      </c>
      <c r="L29" s="50">
        <v>5964.48</v>
      </c>
      <c r="M29" s="50">
        <v>71489</v>
      </c>
      <c r="N29" s="50">
        <v>69600</v>
      </c>
      <c r="O29" s="50"/>
      <c r="P29" s="50"/>
      <c r="Q29" s="50"/>
      <c r="R29" s="50"/>
      <c r="S29" s="50"/>
    </row>
    <row r="30" spans="1:19" s="48" customFormat="1">
      <c r="A30" s="42">
        <v>1.32</v>
      </c>
      <c r="B30" s="42" t="s">
        <v>48</v>
      </c>
      <c r="C30" s="42" t="s">
        <v>56</v>
      </c>
      <c r="D30" s="43" t="s">
        <v>57</v>
      </c>
      <c r="E30" s="49" t="s">
        <v>15</v>
      </c>
      <c r="F30" s="249">
        <f t="shared" si="2"/>
        <v>568510.04760000005</v>
      </c>
      <c r="G30" s="253">
        <f t="shared" si="1"/>
        <v>430689.43</v>
      </c>
      <c r="H30" s="50"/>
      <c r="I30" s="50">
        <v>78901</v>
      </c>
      <c r="J30" s="50">
        <v>114324.56</v>
      </c>
      <c r="K30" s="50">
        <v>86809.75</v>
      </c>
      <c r="L30" s="50">
        <v>57224.92</v>
      </c>
      <c r="M30" s="50">
        <v>66209.2</v>
      </c>
      <c r="N30" s="50">
        <v>27220</v>
      </c>
      <c r="O30" s="50"/>
      <c r="P30" s="50"/>
      <c r="Q30" s="50"/>
      <c r="R30" s="50"/>
      <c r="S30" s="50"/>
    </row>
    <row r="31" spans="1:19" s="48" customFormat="1">
      <c r="A31" s="42">
        <v>1.32</v>
      </c>
      <c r="B31" s="42" t="s">
        <v>48</v>
      </c>
      <c r="C31" s="163" t="s">
        <v>53</v>
      </c>
      <c r="D31" s="43" t="s">
        <v>58</v>
      </c>
      <c r="E31" s="49" t="s">
        <v>13</v>
      </c>
      <c r="F31" s="249">
        <f t="shared" si="2"/>
        <v>153978</v>
      </c>
      <c r="G31" s="253">
        <f t="shared" si="1"/>
        <v>116650</v>
      </c>
      <c r="H31" s="50"/>
      <c r="I31" s="50"/>
      <c r="J31" s="50"/>
      <c r="K31" s="50"/>
      <c r="L31" s="50">
        <v>35000</v>
      </c>
      <c r="M31" s="50">
        <v>35000</v>
      </c>
      <c r="N31" s="50">
        <v>46650</v>
      </c>
      <c r="O31" s="50"/>
      <c r="P31" s="50"/>
      <c r="Q31" s="50"/>
      <c r="R31" s="50"/>
      <c r="S31" s="50"/>
    </row>
    <row r="32" spans="1:19" s="48" customFormat="1">
      <c r="A32" s="42">
        <v>1.32</v>
      </c>
      <c r="B32" s="42" t="s">
        <v>48</v>
      </c>
      <c r="C32" s="163" t="s">
        <v>53</v>
      </c>
      <c r="D32" s="43" t="s">
        <v>58</v>
      </c>
      <c r="E32" s="49" t="s">
        <v>17</v>
      </c>
      <c r="F32" s="249">
        <f t="shared" si="2"/>
        <v>220616.08799999999</v>
      </c>
      <c r="G32" s="253">
        <f t="shared" si="1"/>
        <v>167133.4</v>
      </c>
      <c r="H32" s="50"/>
      <c r="I32" s="50"/>
      <c r="J32" s="50"/>
      <c r="K32" s="50"/>
      <c r="L32" s="50">
        <v>39824</v>
      </c>
      <c r="M32" s="50">
        <v>39824</v>
      </c>
      <c r="N32" s="50">
        <v>48742.400000000001</v>
      </c>
      <c r="O32" s="50">
        <v>38743</v>
      </c>
      <c r="P32" s="50"/>
      <c r="Q32" s="50"/>
      <c r="R32" s="50"/>
      <c r="S32" s="50"/>
    </row>
    <row r="33" spans="1:19" s="48" customFormat="1">
      <c r="A33" s="42">
        <v>1.32</v>
      </c>
      <c r="B33" s="42" t="s">
        <v>48</v>
      </c>
      <c r="C33" s="163" t="s">
        <v>53</v>
      </c>
      <c r="D33" s="43" t="s">
        <v>58</v>
      </c>
      <c r="E33" s="49" t="s">
        <v>14</v>
      </c>
      <c r="F33" s="249">
        <f t="shared" si="2"/>
        <v>88914.605999999985</v>
      </c>
      <c r="G33" s="253">
        <f t="shared" si="1"/>
        <v>67359.549999999988</v>
      </c>
      <c r="H33" s="50"/>
      <c r="I33" s="50"/>
      <c r="J33" s="50"/>
      <c r="K33" s="50"/>
      <c r="L33" s="50">
        <v>16160</v>
      </c>
      <c r="M33" s="50">
        <v>14500</v>
      </c>
      <c r="N33" s="50">
        <v>16899.95</v>
      </c>
      <c r="O33" s="50">
        <v>19799.599999999999</v>
      </c>
      <c r="P33" s="50"/>
      <c r="Q33" s="50"/>
      <c r="R33" s="50"/>
      <c r="S33" s="50"/>
    </row>
    <row r="34" spans="1:19" s="48" customFormat="1">
      <c r="A34" s="42">
        <v>1.32</v>
      </c>
      <c r="B34" s="42" t="s">
        <v>48</v>
      </c>
      <c r="C34" s="163" t="s">
        <v>53</v>
      </c>
      <c r="D34" s="43" t="s">
        <v>58</v>
      </c>
      <c r="E34" s="49" t="s">
        <v>16</v>
      </c>
      <c r="F34" s="249">
        <f t="shared" si="2"/>
        <v>390367.56</v>
      </c>
      <c r="G34" s="253">
        <f t="shared" si="1"/>
        <v>295733</v>
      </c>
      <c r="H34" s="50"/>
      <c r="I34" s="50"/>
      <c r="J34" s="50"/>
      <c r="K34" s="50"/>
      <c r="L34" s="50"/>
      <c r="M34" s="50">
        <v>252695</v>
      </c>
      <c r="N34" s="50">
        <v>21519</v>
      </c>
      <c r="O34" s="50">
        <v>21519</v>
      </c>
      <c r="P34" s="50"/>
      <c r="Q34" s="50"/>
      <c r="R34" s="50"/>
      <c r="S34" s="50"/>
    </row>
    <row r="35" spans="1:19" s="48" customFormat="1">
      <c r="A35" s="42">
        <v>1.32</v>
      </c>
      <c r="B35" s="42" t="s">
        <v>48</v>
      </c>
      <c r="C35" s="163" t="s">
        <v>53</v>
      </c>
      <c r="D35" s="43" t="s">
        <v>58</v>
      </c>
      <c r="E35" s="49" t="s">
        <v>15</v>
      </c>
      <c r="F35" s="249">
        <f t="shared" si="2"/>
        <v>67181.122799999997</v>
      </c>
      <c r="G35" s="253">
        <f t="shared" si="1"/>
        <v>50894.79</v>
      </c>
      <c r="H35" s="50"/>
      <c r="I35" s="50"/>
      <c r="J35" s="50"/>
      <c r="K35" s="50"/>
      <c r="L35" s="50">
        <v>22981.79</v>
      </c>
      <c r="M35" s="50"/>
      <c r="N35" s="50">
        <v>21326</v>
      </c>
      <c r="O35" s="50">
        <v>6587</v>
      </c>
      <c r="P35" s="50"/>
      <c r="Q35" s="50"/>
      <c r="R35" s="50"/>
      <c r="S35" s="50"/>
    </row>
    <row r="36" spans="1:19" s="48" customFormat="1">
      <c r="A36" s="42">
        <v>1.32</v>
      </c>
      <c r="B36" s="42" t="s">
        <v>48</v>
      </c>
      <c r="C36" s="163" t="s">
        <v>53</v>
      </c>
      <c r="D36" s="43" t="s">
        <v>58</v>
      </c>
      <c r="E36" s="49" t="s">
        <v>51</v>
      </c>
      <c r="F36" s="249">
        <f t="shared" si="2"/>
        <v>23474.880000000001</v>
      </c>
      <c r="G36" s="253">
        <f t="shared" si="1"/>
        <v>17784</v>
      </c>
      <c r="H36" s="50"/>
      <c r="I36" s="50"/>
      <c r="J36" s="50"/>
      <c r="K36" s="50"/>
      <c r="L36" s="50">
        <v>7784</v>
      </c>
      <c r="M36" s="50">
        <v>10000</v>
      </c>
      <c r="N36" s="50"/>
      <c r="O36" s="50"/>
      <c r="P36" s="50"/>
      <c r="Q36" s="50"/>
      <c r="R36" s="50"/>
      <c r="S36" s="50"/>
    </row>
    <row r="37" spans="1:19" s="48" customFormat="1">
      <c r="A37" s="42">
        <v>1.32</v>
      </c>
      <c r="B37" s="42" t="s">
        <v>48</v>
      </c>
      <c r="C37" s="163" t="s">
        <v>53</v>
      </c>
      <c r="D37" s="43" t="s">
        <v>153</v>
      </c>
      <c r="E37" s="49" t="s">
        <v>13</v>
      </c>
      <c r="F37" s="249">
        <f t="shared" si="2"/>
        <v>74778</v>
      </c>
      <c r="G37" s="253">
        <f t="shared" si="1"/>
        <v>56650</v>
      </c>
      <c r="H37" s="50"/>
      <c r="I37" s="50"/>
      <c r="J37" s="50"/>
      <c r="K37" s="50"/>
      <c r="L37" s="50"/>
      <c r="M37" s="50"/>
      <c r="N37" s="50">
        <v>56650</v>
      </c>
      <c r="O37" s="50"/>
      <c r="P37" s="50"/>
      <c r="Q37" s="50"/>
      <c r="R37" s="50"/>
      <c r="S37" s="50"/>
    </row>
    <row r="38" spans="1:19" s="48" customFormat="1">
      <c r="A38" s="42">
        <v>1.32</v>
      </c>
      <c r="B38" s="42" t="s">
        <v>48</v>
      </c>
      <c r="C38" s="163" t="s">
        <v>53</v>
      </c>
      <c r="D38" s="43" t="s">
        <v>153</v>
      </c>
      <c r="E38" s="49" t="s">
        <v>12</v>
      </c>
      <c r="F38" s="249">
        <f t="shared" si="2"/>
        <v>26142.600000000002</v>
      </c>
      <c r="G38" s="253">
        <f t="shared" si="1"/>
        <v>19805</v>
      </c>
      <c r="H38" s="50"/>
      <c r="I38" s="50"/>
      <c r="J38" s="50"/>
      <c r="K38" s="50"/>
      <c r="L38" s="50"/>
      <c r="M38" s="50"/>
      <c r="N38" s="50">
        <v>9902.5</v>
      </c>
      <c r="O38" s="50">
        <v>9902.5</v>
      </c>
      <c r="P38" s="50"/>
      <c r="Q38" s="50"/>
      <c r="R38" s="50"/>
      <c r="S38" s="50"/>
    </row>
    <row r="39" spans="1:19" s="48" customFormat="1">
      <c r="A39" s="42">
        <v>1.32</v>
      </c>
      <c r="B39" s="42" t="s">
        <v>48</v>
      </c>
      <c r="C39" s="163" t="s">
        <v>53</v>
      </c>
      <c r="D39" s="43" t="s">
        <v>153</v>
      </c>
      <c r="E39" s="49" t="s">
        <v>14</v>
      </c>
      <c r="F39" s="249">
        <f t="shared" si="2"/>
        <v>139946.4</v>
      </c>
      <c r="G39" s="253">
        <f t="shared" si="1"/>
        <v>106020</v>
      </c>
      <c r="H39" s="50"/>
      <c r="I39" s="50"/>
      <c r="J39" s="50"/>
      <c r="K39" s="50"/>
      <c r="L39" s="50"/>
      <c r="M39" s="50"/>
      <c r="N39" s="50">
        <v>79740.100000000006</v>
      </c>
      <c r="O39" s="50">
        <v>26279.9</v>
      </c>
      <c r="P39" s="50"/>
      <c r="Q39" s="50"/>
      <c r="R39" s="50"/>
      <c r="S39" s="50"/>
    </row>
    <row r="40" spans="1:19" s="48" customFormat="1">
      <c r="A40" s="42">
        <v>1.32</v>
      </c>
      <c r="B40" s="42" t="s">
        <v>48</v>
      </c>
      <c r="C40" s="163" t="s">
        <v>53</v>
      </c>
      <c r="D40" s="43" t="s">
        <v>153</v>
      </c>
      <c r="E40" s="49" t="s">
        <v>17</v>
      </c>
      <c r="F40" s="249">
        <f t="shared" si="2"/>
        <v>83371.305600000007</v>
      </c>
      <c r="G40" s="253">
        <f t="shared" si="1"/>
        <v>63160.08</v>
      </c>
      <c r="H40" s="50"/>
      <c r="I40" s="50"/>
      <c r="J40" s="50"/>
      <c r="K40" s="50"/>
      <c r="L40" s="50"/>
      <c r="M40" s="50"/>
      <c r="N40" s="50">
        <v>31580</v>
      </c>
      <c r="O40" s="50">
        <v>31580.080000000002</v>
      </c>
      <c r="P40" s="50"/>
      <c r="Q40" s="50"/>
      <c r="R40" s="50"/>
      <c r="S40" s="50"/>
    </row>
    <row r="41" spans="1:19" s="48" customFormat="1">
      <c r="A41" s="42">
        <v>1.32</v>
      </c>
      <c r="B41" s="42" t="s">
        <v>48</v>
      </c>
      <c r="C41" s="163" t="s">
        <v>53</v>
      </c>
      <c r="D41" s="43" t="s">
        <v>153</v>
      </c>
      <c r="E41" s="49" t="s">
        <v>15</v>
      </c>
      <c r="F41" s="249">
        <f t="shared" si="2"/>
        <v>44657.712</v>
      </c>
      <c r="G41" s="253">
        <f t="shared" si="1"/>
        <v>33831.599999999999</v>
      </c>
      <c r="H41" s="50"/>
      <c r="I41" s="50"/>
      <c r="J41" s="50"/>
      <c r="K41" s="50"/>
      <c r="L41" s="50"/>
      <c r="M41" s="50"/>
      <c r="N41" s="50">
        <v>24476.6</v>
      </c>
      <c r="O41" s="50">
        <v>9355</v>
      </c>
      <c r="P41" s="50"/>
      <c r="Q41" s="50"/>
      <c r="R41" s="50"/>
      <c r="S41" s="50"/>
    </row>
    <row r="42" spans="1:19" s="48" customFormat="1">
      <c r="A42" s="42">
        <v>1.32</v>
      </c>
      <c r="B42" s="42" t="s">
        <v>48</v>
      </c>
      <c r="C42" s="163" t="s">
        <v>53</v>
      </c>
      <c r="D42" s="43" t="s">
        <v>153</v>
      </c>
      <c r="E42" s="49" t="s">
        <v>16</v>
      </c>
      <c r="F42" s="249">
        <f t="shared" si="2"/>
        <v>28405.08</v>
      </c>
      <c r="G42" s="253">
        <f t="shared" si="1"/>
        <v>21519</v>
      </c>
      <c r="H42" s="50"/>
      <c r="I42" s="50"/>
      <c r="J42" s="50"/>
      <c r="K42" s="50"/>
      <c r="L42" s="50"/>
      <c r="M42" s="50"/>
      <c r="N42" s="50">
        <v>21519</v>
      </c>
      <c r="O42" s="50"/>
      <c r="P42" s="50"/>
      <c r="Q42" s="50"/>
      <c r="R42" s="50"/>
      <c r="S42" s="50"/>
    </row>
    <row r="43" spans="1:19" s="48" customFormat="1">
      <c r="A43" s="42">
        <v>1.32</v>
      </c>
      <c r="B43" s="42" t="s">
        <v>48</v>
      </c>
      <c r="C43" s="163" t="s">
        <v>53</v>
      </c>
      <c r="D43" s="43" t="s">
        <v>153</v>
      </c>
      <c r="E43" s="49" t="s">
        <v>51</v>
      </c>
      <c r="F43" s="249">
        <f t="shared" si="2"/>
        <v>29412.240000000002</v>
      </c>
      <c r="G43" s="253">
        <f t="shared" si="1"/>
        <v>22282</v>
      </c>
      <c r="H43" s="50"/>
      <c r="I43" s="50"/>
      <c r="J43" s="50"/>
      <c r="K43" s="50"/>
      <c r="L43" s="50"/>
      <c r="M43" s="50"/>
      <c r="N43" s="50">
        <v>22282</v>
      </c>
      <c r="O43" s="50"/>
      <c r="P43" s="50"/>
      <c r="Q43" s="50"/>
      <c r="R43" s="50"/>
      <c r="S43" s="50"/>
    </row>
    <row r="44" spans="1:19" s="48" customFormat="1">
      <c r="A44" s="42">
        <v>1.32</v>
      </c>
      <c r="B44" s="42" t="s">
        <v>48</v>
      </c>
      <c r="C44" s="163" t="s">
        <v>53</v>
      </c>
      <c r="D44" s="43" t="s">
        <v>57</v>
      </c>
      <c r="E44" s="49" t="s">
        <v>15</v>
      </c>
      <c r="F44" s="249">
        <f t="shared" si="2"/>
        <v>96638.52</v>
      </c>
      <c r="G44" s="253">
        <f t="shared" si="1"/>
        <v>73211</v>
      </c>
      <c r="H44" s="50"/>
      <c r="I44" s="50"/>
      <c r="J44" s="50"/>
      <c r="K44" s="50"/>
      <c r="L44" s="50"/>
      <c r="M44" s="50"/>
      <c r="N44" s="50">
        <v>73211</v>
      </c>
      <c r="O44" s="50"/>
      <c r="P44" s="50"/>
      <c r="Q44" s="50"/>
      <c r="R44" s="50"/>
      <c r="S44" s="50"/>
    </row>
    <row r="45" spans="1:19" s="48" customFormat="1">
      <c r="A45" s="42">
        <v>1.32</v>
      </c>
      <c r="B45" s="42" t="s">
        <v>48</v>
      </c>
      <c r="C45" s="163" t="s">
        <v>53</v>
      </c>
      <c r="D45" s="43" t="s">
        <v>57</v>
      </c>
      <c r="E45" s="49" t="s">
        <v>16</v>
      </c>
      <c r="F45" s="249">
        <f t="shared" si="2"/>
        <v>142755.36000000002</v>
      </c>
      <c r="G45" s="253">
        <f t="shared" si="1"/>
        <v>108148</v>
      </c>
      <c r="H45" s="50"/>
      <c r="I45" s="50"/>
      <c r="J45" s="50"/>
      <c r="K45" s="50"/>
      <c r="L45" s="50"/>
      <c r="M45" s="50"/>
      <c r="N45" s="50">
        <v>71498</v>
      </c>
      <c r="O45" s="50">
        <v>36650</v>
      </c>
      <c r="P45" s="50"/>
      <c r="Q45" s="50"/>
      <c r="R45" s="50"/>
      <c r="S45" s="50"/>
    </row>
    <row r="46" spans="1:19" s="48" customFormat="1">
      <c r="A46" s="42">
        <v>1.32</v>
      </c>
      <c r="B46" s="42" t="s">
        <v>48</v>
      </c>
      <c r="C46" s="163" t="s">
        <v>53</v>
      </c>
      <c r="D46" s="43" t="s">
        <v>154</v>
      </c>
      <c r="E46" s="49" t="s">
        <v>13</v>
      </c>
      <c r="F46" s="249">
        <f t="shared" si="2"/>
        <v>83358</v>
      </c>
      <c r="G46" s="253">
        <f t="shared" si="1"/>
        <v>63150</v>
      </c>
      <c r="H46" s="50"/>
      <c r="I46" s="50"/>
      <c r="J46" s="50"/>
      <c r="K46" s="50"/>
      <c r="L46" s="50"/>
      <c r="M46" s="50"/>
      <c r="N46" s="50">
        <v>36650</v>
      </c>
      <c r="O46" s="50">
        <v>26500</v>
      </c>
      <c r="P46" s="50"/>
      <c r="Q46" s="50"/>
      <c r="R46" s="50"/>
      <c r="S46" s="50"/>
    </row>
    <row r="47" spans="1:19" s="48" customFormat="1">
      <c r="A47" s="42">
        <v>1.32</v>
      </c>
      <c r="B47" s="42" t="s">
        <v>48</v>
      </c>
      <c r="C47" s="163" t="s">
        <v>53</v>
      </c>
      <c r="D47" s="43" t="s">
        <v>154</v>
      </c>
      <c r="E47" s="49" t="s">
        <v>17</v>
      </c>
      <c r="F47" s="249">
        <f t="shared" si="2"/>
        <v>34980</v>
      </c>
      <c r="G47" s="253">
        <f t="shared" si="1"/>
        <v>26500</v>
      </c>
      <c r="H47" s="50"/>
      <c r="I47" s="50"/>
      <c r="J47" s="50"/>
      <c r="K47" s="50"/>
      <c r="L47" s="50"/>
      <c r="M47" s="50"/>
      <c r="N47" s="50">
        <v>26500</v>
      </c>
      <c r="O47" s="50"/>
      <c r="P47" s="50"/>
      <c r="Q47" s="50"/>
      <c r="R47" s="50"/>
      <c r="S47" s="50"/>
    </row>
    <row r="48" spans="1:19" s="48" customFormat="1">
      <c r="A48" s="42">
        <v>1.32</v>
      </c>
      <c r="B48" s="42" t="s">
        <v>48</v>
      </c>
      <c r="C48" s="163" t="s">
        <v>53</v>
      </c>
      <c r="D48" s="43" t="s">
        <v>154</v>
      </c>
      <c r="E48" s="49" t="s">
        <v>15</v>
      </c>
      <c r="F48" s="249">
        <f t="shared" si="2"/>
        <v>33811.800000000003</v>
      </c>
      <c r="G48" s="253">
        <f t="shared" si="1"/>
        <v>25615</v>
      </c>
      <c r="H48" s="50"/>
      <c r="I48" s="50"/>
      <c r="J48" s="50"/>
      <c r="K48" s="50"/>
      <c r="L48" s="50"/>
      <c r="M48" s="50"/>
      <c r="N48" s="50">
        <v>25615</v>
      </c>
      <c r="O48" s="50"/>
      <c r="P48" s="50"/>
      <c r="Q48" s="50"/>
      <c r="R48" s="50"/>
      <c r="S48" s="50"/>
    </row>
    <row r="49" spans="1:19" s="48" customFormat="1">
      <c r="A49" s="42">
        <v>1.32</v>
      </c>
      <c r="B49" s="42" t="s">
        <v>48</v>
      </c>
      <c r="C49" s="163" t="s">
        <v>53</v>
      </c>
      <c r="D49" s="43" t="s">
        <v>154</v>
      </c>
      <c r="E49" s="49" t="s">
        <v>51</v>
      </c>
      <c r="F49" s="249">
        <f t="shared" si="2"/>
        <v>12646.655999999999</v>
      </c>
      <c r="G49" s="253">
        <f t="shared" si="1"/>
        <v>9580.7999999999993</v>
      </c>
      <c r="H49" s="50"/>
      <c r="I49" s="50"/>
      <c r="J49" s="50"/>
      <c r="K49" s="50"/>
      <c r="L49" s="50"/>
      <c r="M49" s="50"/>
      <c r="N49" s="50">
        <v>9580.7999999999993</v>
      </c>
      <c r="O49" s="50"/>
      <c r="P49" s="50"/>
      <c r="Q49" s="50"/>
      <c r="R49" s="50"/>
      <c r="S49" s="50"/>
    </row>
    <row r="50" spans="1:19" s="48" customFormat="1">
      <c r="A50" s="42">
        <v>1.32</v>
      </c>
      <c r="B50" s="42" t="s">
        <v>48</v>
      </c>
      <c r="C50" s="163" t="s">
        <v>53</v>
      </c>
      <c r="D50" s="43" t="s">
        <v>155</v>
      </c>
      <c r="E50" s="49" t="s">
        <v>13</v>
      </c>
      <c r="F50" s="249">
        <f t="shared" si="2"/>
        <v>157476</v>
      </c>
      <c r="G50" s="253">
        <f t="shared" si="1"/>
        <v>119300</v>
      </c>
      <c r="H50" s="50"/>
      <c r="I50" s="50"/>
      <c r="J50" s="50"/>
      <c r="K50" s="50"/>
      <c r="L50" s="50"/>
      <c r="M50" s="50"/>
      <c r="N50" s="50">
        <v>59650</v>
      </c>
      <c r="O50" s="50">
        <v>59650</v>
      </c>
      <c r="P50" s="50"/>
      <c r="Q50" s="50"/>
      <c r="R50" s="50"/>
      <c r="S50" s="50"/>
    </row>
    <row r="51" spans="1:19" s="48" customFormat="1">
      <c r="A51" s="42">
        <v>1.32</v>
      </c>
      <c r="B51" s="42" t="s">
        <v>48</v>
      </c>
      <c r="C51" s="163" t="s">
        <v>53</v>
      </c>
      <c r="D51" s="43" t="s">
        <v>155</v>
      </c>
      <c r="E51" s="49" t="s">
        <v>14</v>
      </c>
      <c r="F51" s="249">
        <f t="shared" si="2"/>
        <v>45583.89</v>
      </c>
      <c r="G51" s="253">
        <f t="shared" si="1"/>
        <v>34533.25</v>
      </c>
      <c r="H51" s="50"/>
      <c r="I51" s="50"/>
      <c r="J51" s="50"/>
      <c r="K51" s="50"/>
      <c r="L51" s="50"/>
      <c r="M51" s="50"/>
      <c r="N51" s="50">
        <v>13813.3</v>
      </c>
      <c r="O51" s="50">
        <v>20719.95</v>
      </c>
      <c r="P51" s="50"/>
      <c r="Q51" s="50"/>
      <c r="R51" s="50"/>
      <c r="S51" s="50"/>
    </row>
    <row r="52" spans="1:19" s="48" customFormat="1">
      <c r="A52" s="42">
        <v>1.32</v>
      </c>
      <c r="B52" s="42" t="s">
        <v>48</v>
      </c>
      <c r="C52" s="163" t="s">
        <v>53</v>
      </c>
      <c r="D52" s="43" t="s">
        <v>155</v>
      </c>
      <c r="E52" s="49" t="s">
        <v>17</v>
      </c>
      <c r="F52" s="249">
        <f t="shared" si="2"/>
        <v>103382.82240000002</v>
      </c>
      <c r="G52" s="253">
        <f t="shared" si="1"/>
        <v>78320.320000000007</v>
      </c>
      <c r="H52" s="50"/>
      <c r="I52" s="50"/>
      <c r="J52" s="50"/>
      <c r="K52" s="50"/>
      <c r="L52" s="50"/>
      <c r="M52" s="50"/>
      <c r="N52" s="50">
        <v>39160.160000000003</v>
      </c>
      <c r="O52" s="50">
        <v>39160.160000000003</v>
      </c>
      <c r="P52" s="50"/>
      <c r="Q52" s="50"/>
      <c r="R52" s="50"/>
      <c r="S52" s="50"/>
    </row>
    <row r="53" spans="1:19" s="48" customFormat="1">
      <c r="A53" s="42">
        <v>1.32</v>
      </c>
      <c r="B53" s="42" t="s">
        <v>48</v>
      </c>
      <c r="C53" s="163" t="s">
        <v>53</v>
      </c>
      <c r="D53" s="43" t="s">
        <v>155</v>
      </c>
      <c r="E53" s="49" t="s">
        <v>15</v>
      </c>
      <c r="F53" s="249">
        <f t="shared" si="2"/>
        <v>43169.279999999999</v>
      </c>
      <c r="G53" s="253">
        <f t="shared" si="1"/>
        <v>32704</v>
      </c>
      <c r="H53" s="50"/>
      <c r="I53" s="50"/>
      <c r="J53" s="50"/>
      <c r="K53" s="50"/>
      <c r="L53" s="50"/>
      <c r="M53" s="50"/>
      <c r="N53" s="50">
        <v>19632</v>
      </c>
      <c r="O53" s="50">
        <v>13072</v>
      </c>
      <c r="P53" s="50"/>
      <c r="Q53" s="50"/>
      <c r="R53" s="50"/>
      <c r="S53" s="50"/>
    </row>
    <row r="54" spans="1:19" s="48" customFormat="1">
      <c r="A54" s="42">
        <v>1.32</v>
      </c>
      <c r="B54" s="42" t="s">
        <v>48</v>
      </c>
      <c r="C54" s="163" t="s">
        <v>53</v>
      </c>
      <c r="D54" s="43" t="s">
        <v>155</v>
      </c>
      <c r="E54" s="49" t="s">
        <v>51</v>
      </c>
      <c r="F54" s="249">
        <f t="shared" si="2"/>
        <v>33219.648000000001</v>
      </c>
      <c r="G54" s="253">
        <f t="shared" si="1"/>
        <v>25166.400000000001</v>
      </c>
      <c r="H54" s="50"/>
      <c r="I54" s="50"/>
      <c r="J54" s="50"/>
      <c r="K54" s="50"/>
      <c r="L54" s="50"/>
      <c r="M54" s="50"/>
      <c r="N54" s="50">
        <v>12583.2</v>
      </c>
      <c r="O54" s="50">
        <v>12583.2</v>
      </c>
      <c r="P54" s="50"/>
      <c r="Q54" s="50"/>
      <c r="R54" s="50"/>
      <c r="S54" s="50"/>
    </row>
    <row r="55" spans="1:19" s="48" customFormat="1">
      <c r="A55" s="42">
        <v>1.32</v>
      </c>
      <c r="B55" s="42" t="s">
        <v>48</v>
      </c>
      <c r="C55" s="163" t="s">
        <v>53</v>
      </c>
      <c r="D55" s="43" t="s">
        <v>156</v>
      </c>
      <c r="E55" s="49" t="s">
        <v>13</v>
      </c>
      <c r="F55" s="249">
        <f t="shared" si="2"/>
        <v>57618</v>
      </c>
      <c r="G55" s="253">
        <f t="shared" si="1"/>
        <v>43650</v>
      </c>
      <c r="H55" s="50"/>
      <c r="I55" s="50"/>
      <c r="J55" s="50"/>
      <c r="K55" s="50"/>
      <c r="L55" s="50"/>
      <c r="M55" s="50"/>
      <c r="N55" s="50"/>
      <c r="O55" s="50">
        <v>43650</v>
      </c>
      <c r="P55" s="50"/>
      <c r="Q55" s="50"/>
      <c r="R55" s="50"/>
      <c r="S55" s="50"/>
    </row>
    <row r="56" spans="1:19" s="48" customFormat="1">
      <c r="A56" s="42">
        <v>1.32</v>
      </c>
      <c r="B56" s="42" t="s">
        <v>48</v>
      </c>
      <c r="C56" s="163" t="s">
        <v>53</v>
      </c>
      <c r="D56" s="43" t="s">
        <v>156</v>
      </c>
      <c r="E56" s="49" t="s">
        <v>14</v>
      </c>
      <c r="F56" s="249">
        <f t="shared" si="2"/>
        <v>20407.992000000002</v>
      </c>
      <c r="G56" s="253">
        <f t="shared" si="1"/>
        <v>15460.6</v>
      </c>
      <c r="H56" s="50"/>
      <c r="I56" s="50"/>
      <c r="J56" s="50"/>
      <c r="K56" s="50"/>
      <c r="L56" s="50"/>
      <c r="M56" s="50"/>
      <c r="N56" s="50"/>
      <c r="O56" s="50">
        <v>15460.6</v>
      </c>
      <c r="P56" s="50"/>
      <c r="Q56" s="50"/>
      <c r="R56" s="50"/>
      <c r="S56" s="50"/>
    </row>
    <row r="57" spans="1:19" s="48" customFormat="1">
      <c r="A57" s="42">
        <v>1.32</v>
      </c>
      <c r="B57" s="42" t="s">
        <v>48</v>
      </c>
      <c r="C57" s="163" t="s">
        <v>53</v>
      </c>
      <c r="D57" s="43" t="s">
        <v>156</v>
      </c>
      <c r="E57" s="49" t="s">
        <v>17</v>
      </c>
      <c r="F57" s="249">
        <f t="shared" si="2"/>
        <v>40365.705600000001</v>
      </c>
      <c r="G57" s="253">
        <f t="shared" si="1"/>
        <v>30580.080000000002</v>
      </c>
      <c r="H57" s="50"/>
      <c r="I57" s="50"/>
      <c r="J57" s="50"/>
      <c r="K57" s="50"/>
      <c r="L57" s="50"/>
      <c r="M57" s="50"/>
      <c r="N57" s="50"/>
      <c r="O57" s="50">
        <v>30580.080000000002</v>
      </c>
      <c r="P57" s="50"/>
      <c r="Q57" s="50"/>
      <c r="R57" s="50"/>
      <c r="S57" s="50"/>
    </row>
    <row r="58" spans="1:19" s="48" customFormat="1">
      <c r="A58" s="42">
        <v>1.32</v>
      </c>
      <c r="B58" s="42" t="s">
        <v>48</v>
      </c>
      <c r="C58" s="163" t="s">
        <v>53</v>
      </c>
      <c r="D58" s="43" t="s">
        <v>156</v>
      </c>
      <c r="E58" s="49" t="s">
        <v>15</v>
      </c>
      <c r="F58" s="249">
        <f t="shared" si="2"/>
        <v>40503.196800000005</v>
      </c>
      <c r="G58" s="253">
        <f t="shared" si="1"/>
        <v>30684.240000000002</v>
      </c>
      <c r="H58" s="50"/>
      <c r="I58" s="50"/>
      <c r="J58" s="50"/>
      <c r="K58" s="50"/>
      <c r="L58" s="50"/>
      <c r="M58" s="50"/>
      <c r="N58" s="50"/>
      <c r="O58" s="50">
        <v>30684.240000000002</v>
      </c>
      <c r="P58" s="50"/>
      <c r="Q58" s="50"/>
      <c r="R58" s="50"/>
      <c r="S58" s="50"/>
    </row>
    <row r="59" spans="1:19" s="48" customFormat="1">
      <c r="A59" s="42">
        <v>1.32</v>
      </c>
      <c r="B59" s="42" t="s">
        <v>48</v>
      </c>
      <c r="C59" s="163" t="s">
        <v>53</v>
      </c>
      <c r="D59" s="43" t="s">
        <v>156</v>
      </c>
      <c r="E59" s="49" t="s">
        <v>51</v>
      </c>
      <c r="F59" s="249">
        <f t="shared" si="2"/>
        <v>12172.406400000002</v>
      </c>
      <c r="G59" s="253">
        <f>SUM(H59:S59)</f>
        <v>9221.52</v>
      </c>
      <c r="H59" s="50"/>
      <c r="I59" s="50"/>
      <c r="J59" s="50"/>
      <c r="K59" s="50"/>
      <c r="L59" s="50"/>
      <c r="M59" s="50"/>
      <c r="N59" s="50"/>
      <c r="O59" s="50">
        <v>9221.52</v>
      </c>
      <c r="P59" s="50"/>
      <c r="Q59" s="50"/>
      <c r="R59" s="50"/>
      <c r="S59" s="50"/>
    </row>
    <row r="60" spans="1:19" s="48" customFormat="1">
      <c r="A60" s="248">
        <v>1.68</v>
      </c>
      <c r="B60" s="51" t="s">
        <v>59</v>
      </c>
      <c r="C60" s="163" t="s">
        <v>53</v>
      </c>
      <c r="D60" s="52" t="s">
        <v>60</v>
      </c>
      <c r="E60" s="53" t="s">
        <v>13</v>
      </c>
      <c r="F60" s="249">
        <f t="shared" si="2"/>
        <v>105153.06479999999</v>
      </c>
      <c r="G60" s="254">
        <f t="shared" si="1"/>
        <v>62591.11</v>
      </c>
      <c r="H60" s="54">
        <v>16800</v>
      </c>
      <c r="I60" s="54">
        <v>21793.99</v>
      </c>
      <c r="J60" s="54">
        <v>23997.119999999999</v>
      </c>
      <c r="K60" s="54"/>
      <c r="L60" s="54"/>
      <c r="M60" s="54"/>
      <c r="N60" s="54"/>
      <c r="O60" s="54"/>
      <c r="P60" s="54"/>
      <c r="Q60" s="54"/>
      <c r="R60" s="54"/>
      <c r="S60" s="54"/>
    </row>
    <row r="61" spans="1:19" s="48" customFormat="1">
      <c r="A61" s="248">
        <v>1.68</v>
      </c>
      <c r="B61" s="51" t="s">
        <v>59</v>
      </c>
      <c r="C61" s="163" t="s">
        <v>53</v>
      </c>
      <c r="D61" s="52" t="s">
        <v>60</v>
      </c>
      <c r="E61" s="53" t="s">
        <v>14</v>
      </c>
      <c r="F61" s="249">
        <f t="shared" si="2"/>
        <v>754106.43311460677</v>
      </c>
      <c r="G61" s="254">
        <f t="shared" si="1"/>
        <v>448872.87685393263</v>
      </c>
      <c r="H61" s="54">
        <v>181557.3468539326</v>
      </c>
      <c r="I61" s="54">
        <v>202085.51</v>
      </c>
      <c r="J61" s="54">
        <v>65230.020000000004</v>
      </c>
      <c r="K61" s="54"/>
      <c r="L61" s="54"/>
      <c r="M61" s="54"/>
      <c r="N61" s="54"/>
      <c r="O61" s="54"/>
      <c r="P61" s="54"/>
      <c r="Q61" s="54"/>
      <c r="R61" s="54"/>
      <c r="S61" s="54"/>
    </row>
    <row r="62" spans="1:19" s="48" customFormat="1">
      <c r="A62" s="248">
        <v>1.68</v>
      </c>
      <c r="B62" s="51" t="s">
        <v>59</v>
      </c>
      <c r="C62" s="163" t="s">
        <v>53</v>
      </c>
      <c r="D62" s="52" t="s">
        <v>60</v>
      </c>
      <c r="E62" s="53" t="s">
        <v>16</v>
      </c>
      <c r="F62" s="249">
        <f t="shared" si="2"/>
        <v>220977.65760000001</v>
      </c>
      <c r="G62" s="254">
        <f t="shared" si="1"/>
        <v>131534.32</v>
      </c>
      <c r="H62" s="54">
        <v>59137.159999999996</v>
      </c>
      <c r="I62" s="54">
        <v>59137.159999999996</v>
      </c>
      <c r="J62" s="54">
        <v>13260</v>
      </c>
      <c r="K62" s="54"/>
      <c r="L62" s="54"/>
      <c r="M62" s="54"/>
      <c r="N62" s="54"/>
      <c r="O62" s="54"/>
      <c r="P62" s="54"/>
      <c r="Q62" s="54"/>
      <c r="R62" s="54"/>
      <c r="S62" s="54"/>
    </row>
    <row r="63" spans="1:19" s="48" customFormat="1">
      <c r="A63" s="248">
        <v>1.68</v>
      </c>
      <c r="B63" s="51" t="s">
        <v>59</v>
      </c>
      <c r="C63" s="163" t="s">
        <v>53</v>
      </c>
      <c r="D63" s="52" t="s">
        <v>60</v>
      </c>
      <c r="E63" s="53" t="s">
        <v>61</v>
      </c>
      <c r="F63" s="249">
        <f t="shared" si="2"/>
        <v>213060.12</v>
      </c>
      <c r="G63" s="254">
        <f t="shared" ref="G63:G106" si="3">SUM(H63:S63)</f>
        <v>126821.5</v>
      </c>
      <c r="H63" s="54">
        <v>6961.5</v>
      </c>
      <c r="I63" s="54">
        <v>119860</v>
      </c>
      <c r="J63" s="54"/>
      <c r="K63" s="54"/>
      <c r="L63" s="54"/>
      <c r="M63" s="54"/>
      <c r="N63" s="54"/>
      <c r="O63" s="54"/>
      <c r="P63" s="54"/>
      <c r="Q63" s="54"/>
      <c r="R63" s="54"/>
      <c r="S63" s="54"/>
    </row>
    <row r="64" spans="1:19" s="48" customFormat="1">
      <c r="A64" s="248">
        <v>1.68</v>
      </c>
      <c r="B64" s="51" t="s">
        <v>59</v>
      </c>
      <c r="C64" s="51" t="s">
        <v>53</v>
      </c>
      <c r="D64" s="52" t="s">
        <v>62</v>
      </c>
      <c r="E64" s="53" t="s">
        <v>15</v>
      </c>
      <c r="F64" s="249">
        <f t="shared" si="2"/>
        <v>349283.74924800004</v>
      </c>
      <c r="G64" s="254">
        <f t="shared" si="3"/>
        <v>207906.99360000002</v>
      </c>
      <c r="H64" s="54">
        <v>11588.45</v>
      </c>
      <c r="I64" s="54">
        <v>11588.45</v>
      </c>
      <c r="J64" s="54">
        <v>83795.16</v>
      </c>
      <c r="K64" s="54">
        <v>28559.55</v>
      </c>
      <c r="L64" s="54">
        <v>12747.29</v>
      </c>
      <c r="M64" s="54">
        <v>12747.29</v>
      </c>
      <c r="N64" s="54">
        <v>25494.573600000003</v>
      </c>
      <c r="O64" s="54"/>
      <c r="P64" s="54">
        <v>21386.23</v>
      </c>
      <c r="Q64" s="54"/>
      <c r="R64" s="54"/>
      <c r="S64" s="54"/>
    </row>
    <row r="65" spans="1:19" s="48" customFormat="1">
      <c r="A65" s="248">
        <v>1.68</v>
      </c>
      <c r="B65" s="51" t="s">
        <v>59</v>
      </c>
      <c r="C65" s="51" t="s">
        <v>53</v>
      </c>
      <c r="D65" s="52" t="s">
        <v>189</v>
      </c>
      <c r="E65" s="53" t="s">
        <v>16</v>
      </c>
      <c r="F65" s="249">
        <f>G65*A65</f>
        <v>16800</v>
      </c>
      <c r="G65" s="254">
        <f t="shared" si="3"/>
        <v>10000</v>
      </c>
      <c r="H65" s="54"/>
      <c r="I65" s="54"/>
      <c r="J65" s="54"/>
      <c r="K65" s="54"/>
      <c r="L65" s="54"/>
      <c r="M65" s="54"/>
      <c r="N65" s="54"/>
      <c r="O65" s="54"/>
      <c r="P65" s="54">
        <v>10000</v>
      </c>
      <c r="Q65" s="54"/>
      <c r="R65" s="54"/>
      <c r="S65" s="54"/>
    </row>
    <row r="66" spans="1:19" s="48" customFormat="1">
      <c r="A66" s="248">
        <v>1.68</v>
      </c>
      <c r="B66" s="51" t="s">
        <v>59</v>
      </c>
      <c r="C66" s="51" t="s">
        <v>53</v>
      </c>
      <c r="D66" s="52" t="s">
        <v>63</v>
      </c>
      <c r="E66" s="53" t="s">
        <v>13</v>
      </c>
      <c r="F66" s="249">
        <f t="shared" si="2"/>
        <v>282836.34119999997</v>
      </c>
      <c r="G66" s="254">
        <f t="shared" si="3"/>
        <v>168354.965</v>
      </c>
      <c r="H66" s="54">
        <v>819.15000000000009</v>
      </c>
      <c r="I66" s="54">
        <v>13911.150000000001</v>
      </c>
      <c r="J66" s="54">
        <v>13655.559999999998</v>
      </c>
      <c r="K66" s="54">
        <v>25444.32</v>
      </c>
      <c r="L66" s="54">
        <v>7938.91</v>
      </c>
      <c r="M66" s="54">
        <v>38343.565000000002</v>
      </c>
      <c r="N66" s="54">
        <v>30477.23</v>
      </c>
      <c r="O66" s="54">
        <v>37765.08</v>
      </c>
      <c r="P66" s="54"/>
      <c r="Q66" s="54"/>
      <c r="R66" s="54"/>
      <c r="S66" s="54"/>
    </row>
    <row r="67" spans="1:19" s="48" customFormat="1">
      <c r="A67" s="248">
        <v>1.68</v>
      </c>
      <c r="B67" s="51" t="s">
        <v>59</v>
      </c>
      <c r="C67" s="51" t="s">
        <v>53</v>
      </c>
      <c r="D67" s="52" t="s">
        <v>64</v>
      </c>
      <c r="E67" s="53" t="s">
        <v>16</v>
      </c>
      <c r="F67" s="249">
        <f t="shared" si="2"/>
        <v>1236748.8336</v>
      </c>
      <c r="G67" s="254">
        <f t="shared" si="3"/>
        <v>736160.02</v>
      </c>
      <c r="H67" s="54"/>
      <c r="I67" s="54">
        <v>89551.33</v>
      </c>
      <c r="J67" s="54">
        <v>92372.67</v>
      </c>
      <c r="K67" s="54">
        <v>92372.67</v>
      </c>
      <c r="L67" s="54">
        <v>92372.67</v>
      </c>
      <c r="M67" s="54">
        <v>92372.67</v>
      </c>
      <c r="N67" s="54">
        <v>92372.67</v>
      </c>
      <c r="O67" s="54">
        <v>92372.67</v>
      </c>
      <c r="P67" s="54">
        <v>92372.67</v>
      </c>
      <c r="Q67" s="54"/>
      <c r="R67" s="54"/>
      <c r="S67" s="54"/>
    </row>
    <row r="68" spans="1:19" s="48" customFormat="1">
      <c r="A68" s="248">
        <v>1.68</v>
      </c>
      <c r="B68" s="51" t="s">
        <v>59</v>
      </c>
      <c r="C68" s="163" t="s">
        <v>53</v>
      </c>
      <c r="D68" s="52" t="s">
        <v>65</v>
      </c>
      <c r="E68" s="53" t="s">
        <v>12</v>
      </c>
      <c r="F68" s="249">
        <f t="shared" si="2"/>
        <v>4712.3999999999996</v>
      </c>
      <c r="G68" s="254">
        <f t="shared" si="3"/>
        <v>2805</v>
      </c>
      <c r="H68" s="54"/>
      <c r="I68" s="54">
        <v>1275</v>
      </c>
      <c r="J68" s="54"/>
      <c r="K68" s="54"/>
      <c r="L68" s="54">
        <v>1530</v>
      </c>
      <c r="M68" s="54"/>
      <c r="N68" s="54"/>
      <c r="O68" s="54"/>
      <c r="P68" s="54"/>
      <c r="Q68" s="54"/>
      <c r="R68" s="54"/>
      <c r="S68" s="54"/>
    </row>
    <row r="69" spans="1:19" s="48" customFormat="1">
      <c r="A69" s="248">
        <v>1.68</v>
      </c>
      <c r="B69" s="51" t="s">
        <v>59</v>
      </c>
      <c r="C69" s="163" t="s">
        <v>53</v>
      </c>
      <c r="D69" s="52" t="s">
        <v>65</v>
      </c>
      <c r="E69" s="53" t="s">
        <v>13</v>
      </c>
      <c r="F69" s="249">
        <f t="shared" si="2"/>
        <v>35186.565811200002</v>
      </c>
      <c r="G69" s="254">
        <f t="shared" si="3"/>
        <v>20944.384411428571</v>
      </c>
      <c r="H69" s="54"/>
      <c r="I69" s="54">
        <v>13498.264411428572</v>
      </c>
      <c r="J69" s="54"/>
      <c r="K69" s="54"/>
      <c r="L69" s="54">
        <v>7446.12</v>
      </c>
      <c r="M69" s="54"/>
      <c r="N69" s="54"/>
      <c r="O69" s="54"/>
      <c r="P69" s="54"/>
      <c r="Q69" s="54"/>
      <c r="R69" s="54"/>
      <c r="S69" s="54"/>
    </row>
    <row r="70" spans="1:19" s="48" customFormat="1">
      <c r="A70" s="248">
        <v>1.68</v>
      </c>
      <c r="B70" s="51" t="s">
        <v>59</v>
      </c>
      <c r="C70" s="163" t="s">
        <v>53</v>
      </c>
      <c r="D70" s="52" t="s">
        <v>65</v>
      </c>
      <c r="E70" s="53" t="s">
        <v>14</v>
      </c>
      <c r="F70" s="249">
        <f t="shared" si="2"/>
        <v>39298.568399999996</v>
      </c>
      <c r="G70" s="254">
        <f t="shared" si="3"/>
        <v>23392.004999999997</v>
      </c>
      <c r="H70" s="54"/>
      <c r="I70" s="54">
        <v>11568.074999999999</v>
      </c>
      <c r="J70" s="54"/>
      <c r="K70" s="54"/>
      <c r="L70" s="54">
        <v>11823.93</v>
      </c>
      <c r="M70" s="54"/>
      <c r="N70" s="54"/>
      <c r="O70" s="54"/>
      <c r="P70" s="54"/>
      <c r="Q70" s="54"/>
      <c r="R70" s="54"/>
      <c r="S70" s="54"/>
    </row>
    <row r="71" spans="1:19" s="48" customFormat="1">
      <c r="A71" s="248">
        <v>1.68</v>
      </c>
      <c r="B71" s="51" t="s">
        <v>59</v>
      </c>
      <c r="C71" s="163" t="s">
        <v>53</v>
      </c>
      <c r="D71" s="52" t="s">
        <v>66</v>
      </c>
      <c r="E71" s="53" t="s">
        <v>12</v>
      </c>
      <c r="F71" s="249">
        <f t="shared" si="2"/>
        <v>758609.04839999997</v>
      </c>
      <c r="G71" s="254">
        <f t="shared" si="3"/>
        <v>451553.005</v>
      </c>
      <c r="H71" s="54"/>
      <c r="I71" s="54"/>
      <c r="J71" s="54"/>
      <c r="K71" s="54"/>
      <c r="L71" s="54"/>
      <c r="M71" s="54"/>
      <c r="N71" s="54">
        <v>322783.89500000002</v>
      </c>
      <c r="O71" s="54">
        <v>128769.11</v>
      </c>
      <c r="P71" s="54"/>
      <c r="Q71" s="54"/>
      <c r="R71" s="54"/>
      <c r="S71" s="54"/>
    </row>
    <row r="72" spans="1:19" s="48" customFormat="1">
      <c r="A72" s="248">
        <v>1.68</v>
      </c>
      <c r="B72" s="51" t="s">
        <v>59</v>
      </c>
      <c r="C72" s="163" t="s">
        <v>53</v>
      </c>
      <c r="D72" s="52" t="s">
        <v>66</v>
      </c>
      <c r="E72" s="53" t="s">
        <v>13</v>
      </c>
      <c r="F72" s="249">
        <f t="shared" si="2"/>
        <v>465411.87839999999</v>
      </c>
      <c r="G72" s="254">
        <f t="shared" si="3"/>
        <v>277030.88</v>
      </c>
      <c r="H72" s="54"/>
      <c r="I72" s="54"/>
      <c r="J72" s="54">
        <v>44979.839999999997</v>
      </c>
      <c r="K72" s="54">
        <v>38426.559999999998</v>
      </c>
      <c r="L72" s="54">
        <v>9236</v>
      </c>
      <c r="M72" s="54">
        <v>30422.720000000001</v>
      </c>
      <c r="N72" s="54">
        <v>35821.599999999999</v>
      </c>
      <c r="O72" s="54">
        <v>35821.599999999999</v>
      </c>
      <c r="P72" s="54">
        <v>82322.559999999998</v>
      </c>
      <c r="Q72" s="54"/>
      <c r="R72" s="54"/>
      <c r="S72" s="54"/>
    </row>
    <row r="73" spans="1:19" s="48" customFormat="1">
      <c r="A73" s="248">
        <v>1.68</v>
      </c>
      <c r="B73" s="51" t="s">
        <v>59</v>
      </c>
      <c r="C73" s="163" t="s">
        <v>53</v>
      </c>
      <c r="D73" s="52" t="s">
        <v>66</v>
      </c>
      <c r="E73" s="53" t="s">
        <v>14</v>
      </c>
      <c r="F73" s="249">
        <f t="shared" si="2"/>
        <v>2406789.6636000006</v>
      </c>
      <c r="G73" s="254">
        <f t="shared" si="3"/>
        <v>1432612.8950000003</v>
      </c>
      <c r="H73" s="54"/>
      <c r="I73" s="54"/>
      <c r="J73" s="54">
        <v>222231.67250000002</v>
      </c>
      <c r="K73" s="54">
        <v>286994.36249999999</v>
      </c>
      <c r="L73" s="54">
        <v>204376.7</v>
      </c>
      <c r="M73" s="54">
        <v>179752.54</v>
      </c>
      <c r="N73" s="54">
        <v>179752.54</v>
      </c>
      <c r="O73" s="54">
        <v>179752.54</v>
      </c>
      <c r="P73" s="54">
        <v>179752.54</v>
      </c>
      <c r="Q73" s="54"/>
      <c r="R73" s="54"/>
      <c r="S73" s="54"/>
    </row>
    <row r="74" spans="1:19" s="48" customFormat="1">
      <c r="A74" s="248">
        <v>1.68</v>
      </c>
      <c r="B74" s="51" t="s">
        <v>59</v>
      </c>
      <c r="C74" s="163" t="s">
        <v>53</v>
      </c>
      <c r="D74" s="52" t="s">
        <v>66</v>
      </c>
      <c r="E74" s="53" t="s">
        <v>16</v>
      </c>
      <c r="F74" s="249">
        <f t="shared" si="2"/>
        <v>2786259.6047999999</v>
      </c>
      <c r="G74" s="254">
        <f t="shared" si="3"/>
        <v>1658487.8599999999</v>
      </c>
      <c r="H74" s="54"/>
      <c r="I74" s="54"/>
      <c r="J74" s="54">
        <v>267831.98</v>
      </c>
      <c r="K74" s="54">
        <v>267831.98</v>
      </c>
      <c r="L74" s="54">
        <v>267831.98</v>
      </c>
      <c r="M74" s="54">
        <v>267831.98</v>
      </c>
      <c r="N74" s="54">
        <v>267831.98</v>
      </c>
      <c r="O74" s="54">
        <v>232798.98</v>
      </c>
      <c r="P74" s="54">
        <v>86528.98</v>
      </c>
      <c r="Q74" s="54"/>
      <c r="R74" s="54"/>
      <c r="S74" s="54"/>
    </row>
    <row r="75" spans="1:19" s="48" customFormat="1">
      <c r="A75" s="248">
        <v>1.68</v>
      </c>
      <c r="B75" s="51" t="s">
        <v>59</v>
      </c>
      <c r="C75" s="163" t="s">
        <v>53</v>
      </c>
      <c r="D75" s="52" t="s">
        <v>66</v>
      </c>
      <c r="E75" s="53" t="s">
        <v>15</v>
      </c>
      <c r="F75" s="249">
        <f t="shared" si="2"/>
        <v>327555.04269600002</v>
      </c>
      <c r="G75" s="254">
        <f t="shared" si="3"/>
        <v>194973.23970000001</v>
      </c>
      <c r="H75" s="54"/>
      <c r="I75" s="54"/>
      <c r="J75" s="54">
        <v>48743</v>
      </c>
      <c r="K75" s="54">
        <v>36557.56</v>
      </c>
      <c r="L75" s="54">
        <v>48743.413200000003</v>
      </c>
      <c r="M75" s="54">
        <v>36557.5599</v>
      </c>
      <c r="N75" s="54">
        <v>24371.706600000001</v>
      </c>
      <c r="O75" s="54"/>
      <c r="P75" s="54"/>
      <c r="Q75" s="54"/>
      <c r="R75" s="54"/>
      <c r="S75" s="54"/>
    </row>
    <row r="76" spans="1:19" s="48" customFormat="1">
      <c r="A76" s="248">
        <v>1.68</v>
      </c>
      <c r="B76" s="51" t="s">
        <v>59</v>
      </c>
      <c r="C76" s="163" t="s">
        <v>53</v>
      </c>
      <c r="D76" s="52" t="s">
        <v>175</v>
      </c>
      <c r="E76" s="53" t="s">
        <v>13</v>
      </c>
      <c r="F76" s="249">
        <f t="shared" si="2"/>
        <v>15175.439999999999</v>
      </c>
      <c r="G76" s="254">
        <f t="shared" si="3"/>
        <v>9033</v>
      </c>
      <c r="H76" s="54"/>
      <c r="I76" s="54"/>
      <c r="J76" s="54"/>
      <c r="K76" s="54"/>
      <c r="L76" s="54"/>
      <c r="M76" s="54"/>
      <c r="N76" s="54">
        <v>8200</v>
      </c>
      <c r="O76" s="54"/>
      <c r="P76" s="54">
        <v>833</v>
      </c>
      <c r="Q76" s="54"/>
      <c r="R76" s="54"/>
      <c r="S76" s="54"/>
    </row>
    <row r="77" spans="1:19" s="48" customFormat="1">
      <c r="A77" s="248">
        <v>1.68</v>
      </c>
      <c r="B77" s="51" t="s">
        <v>59</v>
      </c>
      <c r="C77" s="163" t="s">
        <v>53</v>
      </c>
      <c r="D77" s="52" t="s">
        <v>175</v>
      </c>
      <c r="E77" s="53" t="s">
        <v>14</v>
      </c>
      <c r="F77" s="249">
        <f t="shared" si="2"/>
        <v>21869.82</v>
      </c>
      <c r="G77" s="254">
        <f t="shared" si="3"/>
        <v>13017.75</v>
      </c>
      <c r="H77" s="54"/>
      <c r="I77" s="54"/>
      <c r="J77" s="54"/>
      <c r="K77" s="54"/>
      <c r="L77" s="54"/>
      <c r="M77" s="54"/>
      <c r="N77" s="54">
        <v>13017.75</v>
      </c>
      <c r="O77" s="54"/>
      <c r="P77" s="54"/>
      <c r="Q77" s="54"/>
      <c r="R77" s="54"/>
      <c r="S77" s="54"/>
    </row>
    <row r="78" spans="1:19" s="48" customFormat="1">
      <c r="A78" s="248">
        <v>1.68</v>
      </c>
      <c r="B78" s="51" t="s">
        <v>59</v>
      </c>
      <c r="C78" s="163" t="s">
        <v>53</v>
      </c>
      <c r="D78" s="52" t="s">
        <v>175</v>
      </c>
      <c r="E78" s="53" t="s">
        <v>16</v>
      </c>
      <c r="F78" s="249">
        <f t="shared" si="2"/>
        <v>13776</v>
      </c>
      <c r="G78" s="254">
        <f t="shared" si="3"/>
        <v>8200</v>
      </c>
      <c r="H78" s="54"/>
      <c r="I78" s="54"/>
      <c r="J78" s="54"/>
      <c r="K78" s="54"/>
      <c r="L78" s="54"/>
      <c r="M78" s="54"/>
      <c r="N78" s="54">
        <v>8200</v>
      </c>
      <c r="O78" s="54"/>
      <c r="P78" s="54"/>
      <c r="Q78" s="54"/>
      <c r="R78" s="54"/>
      <c r="S78" s="54"/>
    </row>
    <row r="79" spans="1:19" s="48" customFormat="1">
      <c r="A79" s="248">
        <v>1.68</v>
      </c>
      <c r="B79" s="51" t="s">
        <v>59</v>
      </c>
      <c r="C79" s="51" t="s">
        <v>49</v>
      </c>
      <c r="D79" s="52" t="s">
        <v>175</v>
      </c>
      <c r="E79" s="53" t="s">
        <v>15</v>
      </c>
      <c r="F79" s="249">
        <f t="shared" si="2"/>
        <v>11040.099336000001</v>
      </c>
      <c r="G79" s="254">
        <f t="shared" si="3"/>
        <v>6571.4877000000006</v>
      </c>
      <c r="H79" s="54"/>
      <c r="I79" s="54"/>
      <c r="J79" s="54"/>
      <c r="K79" s="54"/>
      <c r="L79" s="54"/>
      <c r="M79" s="54"/>
      <c r="N79" s="54">
        <v>6571.4877000000006</v>
      </c>
      <c r="O79" s="54"/>
      <c r="P79" s="54"/>
      <c r="Q79" s="54"/>
      <c r="R79" s="54"/>
      <c r="S79" s="54"/>
    </row>
    <row r="80" spans="1:19" s="48" customFormat="1">
      <c r="A80" s="248">
        <v>1.68</v>
      </c>
      <c r="B80" s="51" t="s">
        <v>59</v>
      </c>
      <c r="C80" s="51" t="s">
        <v>49</v>
      </c>
      <c r="D80" s="52" t="s">
        <v>175</v>
      </c>
      <c r="E80" s="53" t="s">
        <v>61</v>
      </c>
      <c r="F80" s="249">
        <f t="shared" si="2"/>
        <v>50904</v>
      </c>
      <c r="G80" s="254">
        <f t="shared" si="3"/>
        <v>30300</v>
      </c>
      <c r="H80" s="54"/>
      <c r="I80" s="54"/>
      <c r="J80" s="54"/>
      <c r="K80" s="54"/>
      <c r="L80" s="54"/>
      <c r="M80" s="54"/>
      <c r="N80" s="54">
        <v>30300</v>
      </c>
      <c r="O80" s="54"/>
      <c r="P80" s="54"/>
      <c r="Q80" s="54"/>
      <c r="R80" s="54"/>
      <c r="S80" s="54"/>
    </row>
    <row r="81" spans="1:19" s="48" customFormat="1">
      <c r="A81" s="248">
        <v>1.68</v>
      </c>
      <c r="B81" s="51" t="s">
        <v>59</v>
      </c>
      <c r="C81" s="51" t="s">
        <v>49</v>
      </c>
      <c r="D81" s="52" t="s">
        <v>176</v>
      </c>
      <c r="E81" s="53" t="s">
        <v>13</v>
      </c>
      <c r="F81" s="249">
        <f t="shared" si="2"/>
        <v>52996.675199999998</v>
      </c>
      <c r="G81" s="254">
        <f t="shared" si="3"/>
        <v>31545.64</v>
      </c>
      <c r="H81" s="54"/>
      <c r="I81" s="54"/>
      <c r="J81" s="54"/>
      <c r="K81" s="54"/>
      <c r="L81" s="54"/>
      <c r="M81" s="54"/>
      <c r="N81" s="54">
        <v>15772.82</v>
      </c>
      <c r="O81" s="54">
        <v>15772.82</v>
      </c>
      <c r="P81" s="54"/>
      <c r="Q81" s="54"/>
      <c r="R81" s="54"/>
      <c r="S81" s="54"/>
    </row>
    <row r="82" spans="1:19" s="48" customFormat="1">
      <c r="A82" s="248">
        <v>1.68</v>
      </c>
      <c r="B82" s="51" t="s">
        <v>59</v>
      </c>
      <c r="C82" s="163" t="s">
        <v>53</v>
      </c>
      <c r="D82" s="52" t="s">
        <v>176</v>
      </c>
      <c r="E82" s="53" t="s">
        <v>14</v>
      </c>
      <c r="F82" s="249">
        <f t="shared" si="2"/>
        <v>111304.60319999998</v>
      </c>
      <c r="G82" s="254">
        <f t="shared" si="3"/>
        <v>66252.739999999991</v>
      </c>
      <c r="H82" s="54"/>
      <c r="I82" s="54"/>
      <c r="J82" s="54"/>
      <c r="K82" s="54"/>
      <c r="L82" s="54"/>
      <c r="M82" s="54"/>
      <c r="N82" s="54">
        <v>66252.739999999991</v>
      </c>
      <c r="O82" s="54"/>
      <c r="P82" s="54"/>
      <c r="Q82" s="54"/>
      <c r="R82" s="54"/>
      <c r="S82" s="54"/>
    </row>
    <row r="83" spans="1:19" s="48" customFormat="1">
      <c r="A83" s="248">
        <v>1.68</v>
      </c>
      <c r="B83" s="51" t="s">
        <v>59</v>
      </c>
      <c r="C83" s="163" t="s">
        <v>53</v>
      </c>
      <c r="D83" s="52" t="s">
        <v>176</v>
      </c>
      <c r="E83" s="53" t="s">
        <v>15</v>
      </c>
      <c r="F83" s="249">
        <f t="shared" si="2"/>
        <v>31841.105184000004</v>
      </c>
      <c r="G83" s="254">
        <f t="shared" si="3"/>
        <v>18953.038800000002</v>
      </c>
      <c r="H83" s="54"/>
      <c r="I83" s="54"/>
      <c r="J83" s="54"/>
      <c r="K83" s="54"/>
      <c r="L83" s="54"/>
      <c r="M83" s="54"/>
      <c r="N83" s="54">
        <v>18953.038800000002</v>
      </c>
      <c r="O83" s="54"/>
      <c r="P83" s="54"/>
      <c r="Q83" s="54"/>
      <c r="R83" s="54"/>
      <c r="S83" s="54"/>
    </row>
    <row r="84" spans="1:19" s="48" customFormat="1">
      <c r="A84" s="248">
        <v>1.68</v>
      </c>
      <c r="B84" s="51" t="s">
        <v>59</v>
      </c>
      <c r="C84" s="163" t="s">
        <v>53</v>
      </c>
      <c r="D84" s="52" t="s">
        <v>177</v>
      </c>
      <c r="E84" s="53" t="s">
        <v>13</v>
      </c>
      <c r="F84" s="249">
        <f t="shared" si="2"/>
        <v>15964.317599999998</v>
      </c>
      <c r="G84" s="254">
        <f>SUM(H84:S84)</f>
        <v>9502.57</v>
      </c>
      <c r="H84" s="54"/>
      <c r="I84" s="54"/>
      <c r="J84" s="54"/>
      <c r="K84" s="54"/>
      <c r="L84" s="54"/>
      <c r="M84" s="54"/>
      <c r="N84" s="54">
        <v>9502.57</v>
      </c>
      <c r="O84" s="54"/>
      <c r="P84" s="54"/>
      <c r="Q84" s="54"/>
      <c r="R84" s="54"/>
      <c r="S84" s="54"/>
    </row>
    <row r="85" spans="1:19" s="48" customFormat="1">
      <c r="A85" s="248">
        <v>1.68</v>
      </c>
      <c r="B85" s="51" t="s">
        <v>59</v>
      </c>
      <c r="C85" s="163" t="s">
        <v>53</v>
      </c>
      <c r="D85" s="52" t="s">
        <v>177</v>
      </c>
      <c r="E85" s="53" t="s">
        <v>14</v>
      </c>
      <c r="F85" s="249">
        <f t="shared" si="2"/>
        <v>20940.191999999999</v>
      </c>
      <c r="G85" s="254">
        <f>SUM(H85:S85)</f>
        <v>12464.4</v>
      </c>
      <c r="H85" s="54"/>
      <c r="I85" s="54"/>
      <c r="J85" s="54"/>
      <c r="K85" s="54"/>
      <c r="L85" s="54"/>
      <c r="M85" s="54"/>
      <c r="N85" s="54">
        <v>12464.4</v>
      </c>
      <c r="O85" s="54"/>
      <c r="P85" s="54"/>
      <c r="Q85" s="54"/>
      <c r="R85" s="54"/>
      <c r="S85" s="54"/>
    </row>
    <row r="86" spans="1:19" s="48" customFormat="1">
      <c r="A86" s="248">
        <v>1.68</v>
      </c>
      <c r="B86" s="51" t="s">
        <v>59</v>
      </c>
      <c r="C86" s="163" t="s">
        <v>53</v>
      </c>
      <c r="D86" s="52" t="s">
        <v>178</v>
      </c>
      <c r="E86" s="53" t="s">
        <v>13</v>
      </c>
      <c r="F86" s="249">
        <f t="shared" si="2"/>
        <v>36929.323199999999</v>
      </c>
      <c r="G86" s="254">
        <f>SUM(H86:S86)</f>
        <v>21981.74</v>
      </c>
      <c r="H86" s="54"/>
      <c r="I86" s="54"/>
      <c r="J86" s="54"/>
      <c r="K86" s="54"/>
      <c r="L86" s="54"/>
      <c r="M86" s="54"/>
      <c r="N86" s="54">
        <v>10990.87</v>
      </c>
      <c r="O86" s="54">
        <v>10990.87</v>
      </c>
      <c r="P86" s="54"/>
      <c r="Q86" s="54"/>
      <c r="R86" s="54"/>
      <c r="S86" s="54"/>
    </row>
    <row r="87" spans="1:19" s="48" customFormat="1">
      <c r="A87" s="248">
        <v>1.68</v>
      </c>
      <c r="B87" s="51" t="s">
        <v>59</v>
      </c>
      <c r="C87" s="163" t="s">
        <v>53</v>
      </c>
      <c r="D87" s="52" t="s">
        <v>178</v>
      </c>
      <c r="E87" s="53" t="s">
        <v>14</v>
      </c>
      <c r="F87" s="249">
        <f t="shared" si="2"/>
        <v>25221.335999999999</v>
      </c>
      <c r="G87" s="254">
        <f t="shared" si="3"/>
        <v>15012.7</v>
      </c>
      <c r="H87" s="54"/>
      <c r="I87" s="54"/>
      <c r="J87" s="54"/>
      <c r="K87" s="54"/>
      <c r="L87" s="54"/>
      <c r="M87" s="54"/>
      <c r="N87" s="54">
        <v>15012.7</v>
      </c>
      <c r="O87" s="54"/>
      <c r="P87" s="54"/>
      <c r="Q87" s="54"/>
      <c r="R87" s="54"/>
      <c r="S87" s="54"/>
    </row>
    <row r="88" spans="1:19" s="48" customFormat="1">
      <c r="A88" s="248">
        <v>1.68</v>
      </c>
      <c r="B88" s="51" t="s">
        <v>59</v>
      </c>
      <c r="C88" s="163" t="s">
        <v>53</v>
      </c>
      <c r="D88" s="52" t="s">
        <v>179</v>
      </c>
      <c r="E88" s="53" t="s">
        <v>14</v>
      </c>
      <c r="F88" s="249">
        <f t="shared" si="2"/>
        <v>265483.6569</v>
      </c>
      <c r="G88" s="254">
        <f t="shared" si="3"/>
        <v>158025.98625000002</v>
      </c>
      <c r="H88" s="54"/>
      <c r="I88" s="54"/>
      <c r="J88" s="54"/>
      <c r="K88" s="54"/>
      <c r="L88" s="54"/>
      <c r="M88" s="54"/>
      <c r="N88" s="54"/>
      <c r="O88" s="54">
        <v>105350.6575</v>
      </c>
      <c r="P88" s="54">
        <v>52675.328750000001</v>
      </c>
      <c r="Q88" s="54"/>
      <c r="R88" s="54"/>
      <c r="S88" s="54"/>
    </row>
    <row r="89" spans="1:19" s="48" customFormat="1">
      <c r="A89" s="248">
        <v>1.68</v>
      </c>
      <c r="B89" s="51" t="s">
        <v>59</v>
      </c>
      <c r="C89" s="163" t="s">
        <v>53</v>
      </c>
      <c r="D89" s="52" t="s">
        <v>67</v>
      </c>
      <c r="E89" s="53" t="s">
        <v>12</v>
      </c>
      <c r="F89" s="249">
        <f t="shared" si="2"/>
        <v>83357.500799999994</v>
      </c>
      <c r="G89" s="254">
        <f t="shared" si="3"/>
        <v>49617.56</v>
      </c>
      <c r="H89" s="54"/>
      <c r="I89" s="54"/>
      <c r="J89" s="54"/>
      <c r="K89" s="54">
        <v>40130.03</v>
      </c>
      <c r="L89" s="54">
        <v>9487.5300000000007</v>
      </c>
      <c r="M89" s="54"/>
      <c r="N89" s="54"/>
      <c r="O89" s="54"/>
      <c r="P89" s="54"/>
      <c r="Q89" s="54"/>
      <c r="R89" s="54"/>
      <c r="S89" s="54"/>
    </row>
    <row r="90" spans="1:19" s="48" customFormat="1">
      <c r="A90" s="248">
        <v>1.68</v>
      </c>
      <c r="B90" s="51" t="s">
        <v>59</v>
      </c>
      <c r="C90" s="163" t="s">
        <v>53</v>
      </c>
      <c r="D90" s="52" t="s">
        <v>67</v>
      </c>
      <c r="E90" s="53" t="s">
        <v>13</v>
      </c>
      <c r="F90" s="249">
        <f t="shared" si="2"/>
        <v>52901.125199999995</v>
      </c>
      <c r="G90" s="254">
        <f t="shared" si="3"/>
        <v>31488.764999999999</v>
      </c>
      <c r="H90" s="54"/>
      <c r="I90" s="54"/>
      <c r="J90" s="54"/>
      <c r="K90" s="54">
        <v>10840.5</v>
      </c>
      <c r="L90" s="54">
        <v>11222.145</v>
      </c>
      <c r="M90" s="54"/>
      <c r="N90" s="54"/>
      <c r="O90" s="54">
        <v>9426.1200000000008</v>
      </c>
      <c r="P90" s="54"/>
      <c r="Q90" s="54"/>
      <c r="R90" s="54"/>
      <c r="S90" s="54"/>
    </row>
    <row r="91" spans="1:19" s="48" customFormat="1">
      <c r="A91" s="248">
        <v>1.68</v>
      </c>
      <c r="B91" s="51" t="s">
        <v>59</v>
      </c>
      <c r="C91" s="163" t="s">
        <v>53</v>
      </c>
      <c r="D91" s="52" t="s">
        <v>67</v>
      </c>
      <c r="E91" s="53" t="s">
        <v>14</v>
      </c>
      <c r="F91" s="249">
        <f t="shared" si="2"/>
        <v>219386.69339999999</v>
      </c>
      <c r="G91" s="254">
        <f t="shared" si="3"/>
        <v>130587.3175</v>
      </c>
      <c r="H91" s="54"/>
      <c r="I91" s="54"/>
      <c r="J91" s="54"/>
      <c r="K91" s="54">
        <v>79654</v>
      </c>
      <c r="L91" s="54">
        <v>50933.317499999997</v>
      </c>
      <c r="M91" s="54"/>
      <c r="N91" s="54"/>
      <c r="O91" s="54"/>
      <c r="P91" s="54"/>
      <c r="Q91" s="54"/>
      <c r="R91" s="54"/>
      <c r="S91" s="54"/>
    </row>
    <row r="92" spans="1:19" s="48" customFormat="1">
      <c r="A92" s="248">
        <v>1.68</v>
      </c>
      <c r="B92" s="51" t="s">
        <v>59</v>
      </c>
      <c r="C92" s="163" t="s">
        <v>53</v>
      </c>
      <c r="D92" s="52" t="s">
        <v>67</v>
      </c>
      <c r="E92" s="53" t="s">
        <v>15</v>
      </c>
      <c r="F92" s="249">
        <f t="shared" si="2"/>
        <v>64246.324800000002</v>
      </c>
      <c r="G92" s="254">
        <f t="shared" si="3"/>
        <v>38241.86</v>
      </c>
      <c r="H92" s="54"/>
      <c r="I92" s="54"/>
      <c r="J92" s="54"/>
      <c r="K92" s="54">
        <v>25494.57</v>
      </c>
      <c r="L92" s="54">
        <v>12747.29</v>
      </c>
      <c r="M92" s="54"/>
      <c r="N92" s="54"/>
      <c r="O92" s="54"/>
      <c r="P92" s="54"/>
      <c r="Q92" s="54"/>
      <c r="R92" s="54"/>
      <c r="S92" s="54"/>
    </row>
    <row r="93" spans="1:19" s="48" customFormat="1">
      <c r="A93" s="248">
        <v>1.68</v>
      </c>
      <c r="B93" s="51" t="s">
        <v>59</v>
      </c>
      <c r="C93" s="163" t="s">
        <v>53</v>
      </c>
      <c r="D93" s="52" t="s">
        <v>68</v>
      </c>
      <c r="E93" s="53" t="s">
        <v>13</v>
      </c>
      <c r="F93" s="249">
        <f t="shared" si="2"/>
        <v>17806.7736</v>
      </c>
      <c r="G93" s="254">
        <f t="shared" si="3"/>
        <v>10599.27</v>
      </c>
      <c r="H93" s="54"/>
      <c r="I93" s="54"/>
      <c r="J93" s="54"/>
      <c r="K93" s="54">
        <v>10599.27</v>
      </c>
      <c r="L93" s="54"/>
      <c r="M93" s="54"/>
      <c r="N93" s="54"/>
      <c r="O93" s="54"/>
      <c r="P93" s="54"/>
      <c r="Q93" s="54"/>
      <c r="R93" s="54"/>
      <c r="S93" s="54"/>
    </row>
    <row r="94" spans="1:19" s="48" customFormat="1">
      <c r="A94" s="248">
        <v>1.68</v>
      </c>
      <c r="B94" s="51" t="s">
        <v>59</v>
      </c>
      <c r="C94" s="163" t="s">
        <v>53</v>
      </c>
      <c r="D94" s="52" t="s">
        <v>68</v>
      </c>
      <c r="E94" s="53" t="s">
        <v>16</v>
      </c>
      <c r="F94" s="249">
        <f t="shared" si="2"/>
        <v>50400</v>
      </c>
      <c r="G94" s="254">
        <f t="shared" si="3"/>
        <v>30000</v>
      </c>
      <c r="H94" s="54"/>
      <c r="I94" s="54"/>
      <c r="J94" s="54"/>
      <c r="K94" s="54">
        <v>30000</v>
      </c>
      <c r="L94" s="54"/>
      <c r="M94" s="54"/>
      <c r="N94" s="54"/>
      <c r="O94" s="54"/>
      <c r="P94" s="54"/>
      <c r="Q94" s="54"/>
      <c r="R94" s="54"/>
      <c r="S94" s="54"/>
    </row>
    <row r="95" spans="1:19" s="48" customFormat="1">
      <c r="A95" s="248">
        <v>1.68</v>
      </c>
      <c r="B95" s="51" t="s">
        <v>59</v>
      </c>
      <c r="C95" s="163" t="s">
        <v>53</v>
      </c>
      <c r="D95" s="52" t="s">
        <v>68</v>
      </c>
      <c r="E95" s="53" t="s">
        <v>15</v>
      </c>
      <c r="F95" s="249">
        <f t="shared" si="2"/>
        <v>30443.279999999999</v>
      </c>
      <c r="G95" s="254">
        <f t="shared" si="3"/>
        <v>18121</v>
      </c>
      <c r="H95" s="54"/>
      <c r="I95" s="54"/>
      <c r="J95" s="54"/>
      <c r="K95" s="54">
        <v>18121</v>
      </c>
      <c r="L95" s="54"/>
      <c r="M95" s="54"/>
      <c r="N95" s="54"/>
      <c r="O95" s="54"/>
      <c r="P95" s="54"/>
      <c r="Q95" s="54"/>
      <c r="R95" s="54"/>
      <c r="S95" s="54"/>
    </row>
    <row r="96" spans="1:19" s="48" customFormat="1">
      <c r="A96" s="248">
        <v>1.68</v>
      </c>
      <c r="B96" s="51" t="s">
        <v>59</v>
      </c>
      <c r="C96" s="163" t="s">
        <v>53</v>
      </c>
      <c r="D96" s="52" t="s">
        <v>69</v>
      </c>
      <c r="E96" s="53" t="s">
        <v>12</v>
      </c>
      <c r="F96" s="249">
        <f t="shared" si="2"/>
        <v>482040.86363999994</v>
      </c>
      <c r="G96" s="254">
        <f t="shared" si="3"/>
        <v>286929.08549999999</v>
      </c>
      <c r="H96" s="54"/>
      <c r="I96" s="54"/>
      <c r="J96" s="54"/>
      <c r="K96" s="54"/>
      <c r="L96" s="54"/>
      <c r="M96" s="54">
        <v>286929.08549999999</v>
      </c>
      <c r="N96" s="54"/>
      <c r="O96" s="54"/>
      <c r="P96" s="54"/>
      <c r="Q96" s="54"/>
      <c r="R96" s="54"/>
      <c r="S96" s="54"/>
    </row>
    <row r="97" spans="1:19" s="48" customFormat="1">
      <c r="A97" s="248">
        <v>1.68</v>
      </c>
      <c r="B97" s="51" t="s">
        <v>59</v>
      </c>
      <c r="C97" s="163" t="s">
        <v>53</v>
      </c>
      <c r="D97" s="52" t="s">
        <v>69</v>
      </c>
      <c r="E97" s="53" t="s">
        <v>13</v>
      </c>
      <c r="F97" s="249">
        <f t="shared" si="2"/>
        <v>96540.225599999991</v>
      </c>
      <c r="G97" s="254">
        <f t="shared" si="3"/>
        <v>57464.42</v>
      </c>
      <c r="H97" s="54"/>
      <c r="I97" s="54"/>
      <c r="J97" s="54"/>
      <c r="K97" s="54"/>
      <c r="L97" s="54"/>
      <c r="M97" s="54">
        <v>8221.8799999999992</v>
      </c>
      <c r="N97" s="54">
        <v>24621.27</v>
      </c>
      <c r="O97" s="54">
        <v>24621.27</v>
      </c>
      <c r="P97" s="54">
        <v>0</v>
      </c>
      <c r="Q97" s="54">
        <v>0</v>
      </c>
      <c r="R97" s="54">
        <v>0</v>
      </c>
      <c r="S97" s="54">
        <v>0</v>
      </c>
    </row>
    <row r="98" spans="1:19" s="48" customFormat="1">
      <c r="A98" s="42">
        <v>1</v>
      </c>
      <c r="B98" s="42" t="s">
        <v>70</v>
      </c>
      <c r="C98" s="42" t="s">
        <v>56</v>
      </c>
      <c r="D98" s="42" t="s">
        <v>205</v>
      </c>
      <c r="E98" s="60" t="s">
        <v>203</v>
      </c>
      <c r="F98" s="249">
        <f t="shared" si="2"/>
        <v>3168846</v>
      </c>
      <c r="G98" s="255">
        <f t="shared" si="3"/>
        <v>3168846</v>
      </c>
      <c r="H98" s="129"/>
      <c r="I98" s="129"/>
      <c r="J98" s="129"/>
      <c r="K98" s="129"/>
      <c r="L98" s="129"/>
      <c r="M98" s="129"/>
      <c r="N98" s="129"/>
      <c r="O98" s="129">
        <v>3168846</v>
      </c>
      <c r="P98" s="129"/>
      <c r="Q98" s="129"/>
      <c r="R98" s="129"/>
      <c r="S98" s="129"/>
    </row>
    <row r="99" spans="1:19" s="48" customFormat="1">
      <c r="A99" s="42">
        <v>1</v>
      </c>
      <c r="B99" s="42" t="s">
        <v>70</v>
      </c>
      <c r="C99" s="42" t="s">
        <v>49</v>
      </c>
      <c r="D99" s="42" t="s">
        <v>206</v>
      </c>
      <c r="E99" s="60" t="s">
        <v>203</v>
      </c>
      <c r="F99" s="249">
        <f t="shared" si="2"/>
        <v>13323.63</v>
      </c>
      <c r="G99" s="255">
        <f t="shared" si="3"/>
        <v>13323.63</v>
      </c>
      <c r="H99" s="129"/>
      <c r="I99" s="129"/>
      <c r="J99" s="129"/>
      <c r="K99" s="129"/>
      <c r="L99" s="129"/>
      <c r="M99" s="129"/>
      <c r="N99" s="129"/>
      <c r="O99" s="129">
        <v>13323.63</v>
      </c>
      <c r="P99" s="129"/>
      <c r="Q99" s="129"/>
      <c r="R99" s="129"/>
      <c r="S99" s="129"/>
    </row>
    <row r="100" spans="1:19" s="48" customFormat="1">
      <c r="A100" s="42">
        <v>1</v>
      </c>
      <c r="B100" s="42" t="s">
        <v>70</v>
      </c>
      <c r="C100" s="42" t="s">
        <v>56</v>
      </c>
      <c r="D100" s="42" t="s">
        <v>211</v>
      </c>
      <c r="E100" s="60" t="s">
        <v>203</v>
      </c>
      <c r="F100" s="249">
        <f t="shared" si="2"/>
        <v>482779.81474746129</v>
      </c>
      <c r="G100" s="255">
        <f t="shared" si="3"/>
        <v>482779.81474746129</v>
      </c>
      <c r="H100" s="129"/>
      <c r="I100" s="129"/>
      <c r="J100" s="129"/>
      <c r="K100" s="129"/>
      <c r="L100" s="129"/>
      <c r="M100" s="129"/>
      <c r="N100" s="129"/>
      <c r="O100" s="129"/>
      <c r="P100" s="129">
        <v>299537.59999999998</v>
      </c>
      <c r="Q100" s="129">
        <v>97961.220456140261</v>
      </c>
      <c r="R100" s="129"/>
      <c r="S100" s="129">
        <v>85280.994291321083</v>
      </c>
    </row>
    <row r="101" spans="1:19" s="48" customFormat="1">
      <c r="A101" s="42">
        <v>1</v>
      </c>
      <c r="B101" s="42" t="s">
        <v>70</v>
      </c>
      <c r="C101" s="42" t="s">
        <v>56</v>
      </c>
      <c r="D101" s="42" t="s">
        <v>212</v>
      </c>
      <c r="E101" s="60" t="s">
        <v>207</v>
      </c>
      <c r="F101" s="249">
        <f t="shared" si="2"/>
        <v>160302.35999999999</v>
      </c>
      <c r="G101" s="255">
        <f t="shared" si="3"/>
        <v>160302.35999999999</v>
      </c>
      <c r="H101" s="129"/>
      <c r="I101" s="129"/>
      <c r="J101" s="129"/>
      <c r="K101" s="129"/>
      <c r="L101" s="129"/>
      <c r="M101" s="129"/>
      <c r="N101" s="129"/>
      <c r="O101" s="129"/>
      <c r="P101" s="129">
        <v>160302.35999999999</v>
      </c>
      <c r="Q101" s="129"/>
      <c r="R101" s="129"/>
      <c r="S101" s="129"/>
    </row>
    <row r="102" spans="1:19" s="48" customFormat="1">
      <c r="A102" s="42">
        <v>1</v>
      </c>
      <c r="B102" s="42" t="s">
        <v>70</v>
      </c>
      <c r="C102" s="42" t="s">
        <v>56</v>
      </c>
      <c r="D102" s="42" t="s">
        <v>211</v>
      </c>
      <c r="E102" s="60" t="s">
        <v>204</v>
      </c>
      <c r="F102" s="249">
        <f t="shared" si="2"/>
        <v>41733.58</v>
      </c>
      <c r="G102" s="255">
        <f t="shared" si="3"/>
        <v>41733.58</v>
      </c>
      <c r="H102" s="129"/>
      <c r="I102" s="129"/>
      <c r="J102" s="129"/>
      <c r="K102" s="129"/>
      <c r="L102" s="129"/>
      <c r="M102" s="129"/>
      <c r="N102" s="129"/>
      <c r="O102" s="129"/>
      <c r="P102" s="129">
        <v>41733.58</v>
      </c>
      <c r="Q102" s="129"/>
      <c r="R102" s="129"/>
      <c r="S102" s="129"/>
    </row>
    <row r="103" spans="1:19" s="48" customFormat="1">
      <c r="A103" s="42">
        <v>1</v>
      </c>
      <c r="B103" s="42" t="s">
        <v>70</v>
      </c>
      <c r="C103" s="42" t="s">
        <v>49</v>
      </c>
      <c r="D103" s="42" t="s">
        <v>71</v>
      </c>
      <c r="E103" s="60" t="s">
        <v>203</v>
      </c>
      <c r="F103" s="249">
        <f t="shared" si="2"/>
        <v>91469.489999999991</v>
      </c>
      <c r="G103" s="255">
        <f t="shared" si="3"/>
        <v>91469.489999999991</v>
      </c>
      <c r="H103" s="129"/>
      <c r="I103" s="129"/>
      <c r="J103" s="129">
        <v>91469.489999999991</v>
      </c>
      <c r="K103" s="129"/>
      <c r="L103" s="129"/>
      <c r="M103" s="129"/>
      <c r="N103" s="129"/>
      <c r="O103" s="129"/>
      <c r="P103" s="129"/>
      <c r="Q103" s="129"/>
      <c r="R103" s="129"/>
      <c r="S103" s="129"/>
    </row>
    <row r="104" spans="1:19" s="48" customFormat="1">
      <c r="A104" s="42">
        <v>1</v>
      </c>
      <c r="B104" s="42" t="s">
        <v>70</v>
      </c>
      <c r="C104" s="42" t="s">
        <v>49</v>
      </c>
      <c r="D104" s="42" t="s">
        <v>71</v>
      </c>
      <c r="E104" s="60" t="s">
        <v>204</v>
      </c>
      <c r="F104" s="249">
        <f t="shared" si="2"/>
        <v>7344.5</v>
      </c>
      <c r="G104" s="255">
        <f t="shared" si="3"/>
        <v>7344.5</v>
      </c>
      <c r="H104" s="129"/>
      <c r="I104" s="129"/>
      <c r="J104" s="129">
        <v>7344.5</v>
      </c>
      <c r="K104" s="129"/>
      <c r="L104" s="129"/>
      <c r="M104" s="129"/>
      <c r="N104" s="129"/>
      <c r="O104" s="129"/>
      <c r="P104" s="129"/>
      <c r="Q104" s="129"/>
      <c r="R104" s="129"/>
      <c r="S104" s="129"/>
    </row>
    <row r="105" spans="1:19" s="48" customFormat="1">
      <c r="A105" s="42">
        <v>1</v>
      </c>
      <c r="B105" s="42" t="s">
        <v>70</v>
      </c>
      <c r="C105" s="42" t="s">
        <v>49</v>
      </c>
      <c r="D105" s="42" t="s">
        <v>72</v>
      </c>
      <c r="E105" s="60" t="s">
        <v>208</v>
      </c>
      <c r="F105" s="249">
        <f t="shared" si="2"/>
        <v>176000</v>
      </c>
      <c r="G105" s="255">
        <f t="shared" si="3"/>
        <v>176000</v>
      </c>
      <c r="H105" s="129"/>
      <c r="I105" s="129"/>
      <c r="J105" s="129"/>
      <c r="K105" s="129"/>
      <c r="L105" s="129">
        <v>176000</v>
      </c>
      <c r="M105" s="129"/>
      <c r="N105" s="129"/>
      <c r="O105" s="129"/>
      <c r="P105" s="129"/>
      <c r="Q105" s="129"/>
      <c r="R105" s="129"/>
      <c r="S105" s="129"/>
    </row>
    <row r="106" spans="1:19" s="48" customFormat="1">
      <c r="A106" s="42">
        <v>1</v>
      </c>
      <c r="B106" s="42" t="s">
        <v>70</v>
      </c>
      <c r="C106" s="42" t="s">
        <v>49</v>
      </c>
      <c r="D106" s="42" t="s">
        <v>209</v>
      </c>
      <c r="E106" s="60" t="s">
        <v>210</v>
      </c>
      <c r="F106" s="249">
        <f t="shared" si="2"/>
        <v>517634</v>
      </c>
      <c r="G106" s="255">
        <f t="shared" si="3"/>
        <v>517634</v>
      </c>
      <c r="H106" s="129"/>
      <c r="I106" s="129">
        <v>517634</v>
      </c>
      <c r="J106" s="129"/>
      <c r="K106" s="129"/>
      <c r="L106" s="129"/>
      <c r="M106" s="129"/>
      <c r="N106" s="129"/>
      <c r="O106" s="129"/>
      <c r="P106" s="129"/>
      <c r="Q106" s="129"/>
      <c r="R106" s="129"/>
      <c r="S106" s="129"/>
    </row>
    <row r="107" spans="1:19" s="59" customFormat="1">
      <c r="A107" s="42">
        <v>0.14000000000000001</v>
      </c>
      <c r="B107" s="42" t="s">
        <v>73</v>
      </c>
      <c r="C107" s="42" t="s">
        <v>53</v>
      </c>
      <c r="D107" s="43" t="s">
        <v>74</v>
      </c>
      <c r="E107" s="44" t="s">
        <v>12</v>
      </c>
      <c r="F107" s="249">
        <f t="shared" ref="F107:F190" si="4">G107*A107</f>
        <v>59409.000000000007</v>
      </c>
      <c r="G107" s="45">
        <f t="shared" ref="G107:G139" si="5">SUM(H107:S107)</f>
        <v>424350</v>
      </c>
      <c r="H107" s="46"/>
      <c r="I107" s="46"/>
      <c r="J107" s="46">
        <v>424350</v>
      </c>
      <c r="K107" s="46"/>
      <c r="L107" s="46"/>
      <c r="M107" s="46"/>
      <c r="N107" s="46"/>
      <c r="O107" s="46"/>
      <c r="P107" s="46"/>
      <c r="Q107" s="46"/>
      <c r="R107" s="47"/>
      <c r="S107" s="47"/>
    </row>
    <row r="108" spans="1:19" s="59" customFormat="1">
      <c r="A108" s="42">
        <v>0.14000000000000001</v>
      </c>
      <c r="B108" s="42" t="s">
        <v>73</v>
      </c>
      <c r="C108" s="42" t="s">
        <v>53</v>
      </c>
      <c r="D108" s="43" t="s">
        <v>74</v>
      </c>
      <c r="E108" s="49" t="s">
        <v>13</v>
      </c>
      <c r="F108" s="249">
        <f t="shared" si="4"/>
        <v>197420.41620000004</v>
      </c>
      <c r="G108" s="45">
        <f t="shared" si="5"/>
        <v>1410145.83</v>
      </c>
      <c r="H108" s="46"/>
      <c r="I108" s="46"/>
      <c r="J108" s="46">
        <v>384066</v>
      </c>
      <c r="K108" s="46">
        <v>105200.34</v>
      </c>
      <c r="L108" s="46">
        <v>117489</v>
      </c>
      <c r="M108" s="46">
        <v>352847.67</v>
      </c>
      <c r="N108" s="46"/>
      <c r="O108" s="46">
        <v>313723.06</v>
      </c>
      <c r="P108" s="46">
        <v>136819.76</v>
      </c>
      <c r="Q108" s="46"/>
      <c r="R108" s="47"/>
      <c r="S108" s="47"/>
    </row>
    <row r="109" spans="1:19" s="59" customFormat="1">
      <c r="A109" s="42">
        <v>0.14000000000000001</v>
      </c>
      <c r="B109" s="42" t="s">
        <v>73</v>
      </c>
      <c r="C109" s="42" t="s">
        <v>53</v>
      </c>
      <c r="D109" s="43" t="s">
        <v>74</v>
      </c>
      <c r="E109" s="49" t="s">
        <v>17</v>
      </c>
      <c r="F109" s="249">
        <f t="shared" si="4"/>
        <v>126000.00000000001</v>
      </c>
      <c r="G109" s="45">
        <f t="shared" si="5"/>
        <v>900000</v>
      </c>
      <c r="H109" s="46"/>
      <c r="I109" s="46"/>
      <c r="J109" s="46">
        <v>900000</v>
      </c>
      <c r="K109" s="46"/>
      <c r="L109" s="46"/>
      <c r="M109" s="46"/>
      <c r="N109" s="46"/>
      <c r="O109" s="46"/>
      <c r="P109" s="46"/>
      <c r="Q109" s="46"/>
      <c r="R109" s="47"/>
      <c r="S109" s="47"/>
    </row>
    <row r="110" spans="1:19" s="59" customFormat="1">
      <c r="A110" s="42">
        <v>0.14000000000000001</v>
      </c>
      <c r="B110" s="42" t="s">
        <v>73</v>
      </c>
      <c r="C110" s="42" t="s">
        <v>53</v>
      </c>
      <c r="D110" s="43" t="s">
        <v>74</v>
      </c>
      <c r="E110" s="49" t="s">
        <v>14</v>
      </c>
      <c r="F110" s="249">
        <f t="shared" si="4"/>
        <v>534431.24000000011</v>
      </c>
      <c r="G110" s="45">
        <f t="shared" si="5"/>
        <v>3817366</v>
      </c>
      <c r="H110" s="46"/>
      <c r="I110" s="46">
        <v>1100000</v>
      </c>
      <c r="J110" s="46">
        <v>2717366</v>
      </c>
      <c r="K110" s="46"/>
      <c r="L110" s="46"/>
      <c r="M110" s="46"/>
      <c r="N110" s="46"/>
      <c r="O110" s="46"/>
      <c r="P110" s="46"/>
      <c r="Q110" s="46"/>
      <c r="R110" s="47"/>
      <c r="S110" s="47"/>
    </row>
    <row r="111" spans="1:19" s="59" customFormat="1">
      <c r="A111" s="42">
        <v>0.14000000000000001</v>
      </c>
      <c r="B111" s="42" t="s">
        <v>73</v>
      </c>
      <c r="C111" s="42" t="s">
        <v>53</v>
      </c>
      <c r="D111" s="43" t="s">
        <v>74</v>
      </c>
      <c r="E111" s="49" t="s">
        <v>16</v>
      </c>
      <c r="F111" s="249">
        <f t="shared" si="4"/>
        <v>590800</v>
      </c>
      <c r="G111" s="45">
        <f t="shared" si="5"/>
        <v>4220000</v>
      </c>
      <c r="H111" s="46"/>
      <c r="I111" s="46"/>
      <c r="J111" s="46">
        <v>1450000</v>
      </c>
      <c r="K111" s="46">
        <v>1450000</v>
      </c>
      <c r="L111" s="46">
        <v>1210000</v>
      </c>
      <c r="M111" s="46">
        <v>110000</v>
      </c>
      <c r="N111" s="46"/>
      <c r="O111" s="46"/>
      <c r="P111" s="46"/>
      <c r="Q111" s="46"/>
      <c r="R111" s="47"/>
      <c r="S111" s="47"/>
    </row>
    <row r="112" spans="1:19" s="59" customFormat="1">
      <c r="A112" s="42">
        <v>0.14000000000000001</v>
      </c>
      <c r="B112" s="42" t="s">
        <v>73</v>
      </c>
      <c r="C112" s="42" t="s">
        <v>56</v>
      </c>
      <c r="D112" s="43" t="s">
        <v>57</v>
      </c>
      <c r="E112" s="44" t="s">
        <v>12</v>
      </c>
      <c r="F112" s="249">
        <f t="shared" si="4"/>
        <v>178227.00000000003</v>
      </c>
      <c r="G112" s="45">
        <f t="shared" si="5"/>
        <v>1273050</v>
      </c>
      <c r="H112" s="46"/>
      <c r="I112" s="46">
        <v>1273050</v>
      </c>
      <c r="J112" s="46"/>
      <c r="K112" s="46"/>
      <c r="L112" s="46"/>
      <c r="M112" s="46"/>
      <c r="N112" s="46"/>
      <c r="O112" s="46"/>
      <c r="P112" s="46"/>
      <c r="Q112" s="46"/>
      <c r="R112" s="47"/>
      <c r="S112" s="47"/>
    </row>
    <row r="113" spans="1:19" s="59" customFormat="1">
      <c r="A113" s="42">
        <v>0.14000000000000001</v>
      </c>
      <c r="B113" s="42" t="s">
        <v>73</v>
      </c>
      <c r="C113" s="42" t="s">
        <v>53</v>
      </c>
      <c r="D113" s="43" t="s">
        <v>75</v>
      </c>
      <c r="E113" s="49" t="s">
        <v>13</v>
      </c>
      <c r="F113" s="249">
        <f t="shared" si="4"/>
        <v>37776.620000000003</v>
      </c>
      <c r="G113" s="45">
        <f t="shared" si="5"/>
        <v>269833</v>
      </c>
      <c r="H113" s="46"/>
      <c r="I113" s="46"/>
      <c r="J113" s="46">
        <v>269833</v>
      </c>
      <c r="K113" s="46"/>
      <c r="L113" s="46"/>
      <c r="M113" s="46"/>
      <c r="N113" s="46"/>
      <c r="O113" s="46"/>
      <c r="P113" s="46"/>
      <c r="Q113" s="46"/>
      <c r="R113" s="47"/>
      <c r="S113" s="47"/>
    </row>
    <row r="114" spans="1:19" s="59" customFormat="1">
      <c r="A114" s="42">
        <v>0.14000000000000001</v>
      </c>
      <c r="B114" s="42" t="s">
        <v>73</v>
      </c>
      <c r="C114" s="42" t="s">
        <v>53</v>
      </c>
      <c r="D114" s="43" t="s">
        <v>76</v>
      </c>
      <c r="E114" s="49" t="s">
        <v>13</v>
      </c>
      <c r="F114" s="249">
        <f t="shared" si="4"/>
        <v>1131534.1982000002</v>
      </c>
      <c r="G114" s="45">
        <f t="shared" si="5"/>
        <v>8082387.1300000008</v>
      </c>
      <c r="H114" s="46">
        <v>1366132</v>
      </c>
      <c r="I114" s="46">
        <v>662096.69999999995</v>
      </c>
      <c r="J114" s="46"/>
      <c r="K114" s="46">
        <v>469505.96</v>
      </c>
      <c r="L114" s="46">
        <v>593749</v>
      </c>
      <c r="M114" s="46">
        <v>595045.99</v>
      </c>
      <c r="N114" s="46">
        <v>1855262.22</v>
      </c>
      <c r="O114" s="46">
        <v>1098352.57</v>
      </c>
      <c r="P114" s="46">
        <v>1442242.69</v>
      </c>
      <c r="Q114" s="46"/>
      <c r="R114" s="47"/>
      <c r="S114" s="47"/>
    </row>
    <row r="115" spans="1:19" s="59" customFormat="1">
      <c r="A115" s="42">
        <v>0.14000000000000001</v>
      </c>
      <c r="B115" s="42" t="s">
        <v>73</v>
      </c>
      <c r="C115" s="42" t="s">
        <v>53</v>
      </c>
      <c r="D115" s="43" t="s">
        <v>76</v>
      </c>
      <c r="E115" s="49" t="s">
        <v>14</v>
      </c>
      <c r="F115" s="249">
        <f t="shared" si="4"/>
        <v>80360.000000000015</v>
      </c>
      <c r="G115" s="45">
        <f t="shared" si="5"/>
        <v>574000</v>
      </c>
      <c r="H115" s="46">
        <v>574000</v>
      </c>
      <c r="I115" s="46"/>
      <c r="J115" s="46"/>
      <c r="K115" s="46"/>
      <c r="L115" s="46"/>
      <c r="M115" s="46"/>
      <c r="N115" s="46"/>
      <c r="O115" s="46"/>
      <c r="P115" s="46"/>
      <c r="Q115" s="46"/>
      <c r="R115" s="47"/>
      <c r="S115" s="47"/>
    </row>
    <row r="116" spans="1:19" s="59" customFormat="1">
      <c r="A116" s="42">
        <v>0.14000000000000001</v>
      </c>
      <c r="B116" s="42" t="s">
        <v>73</v>
      </c>
      <c r="C116" s="42" t="s">
        <v>53</v>
      </c>
      <c r="D116" s="43" t="s">
        <v>77</v>
      </c>
      <c r="E116" s="44" t="s">
        <v>12</v>
      </c>
      <c r="F116" s="249">
        <f t="shared" si="4"/>
        <v>144648</v>
      </c>
      <c r="G116" s="45">
        <f t="shared" si="5"/>
        <v>1033200</v>
      </c>
      <c r="H116" s="46">
        <v>1033200</v>
      </c>
      <c r="I116" s="46"/>
      <c r="J116" s="46"/>
      <c r="K116" s="46"/>
      <c r="L116" s="46"/>
      <c r="M116" s="46"/>
      <c r="N116" s="46"/>
      <c r="O116" s="46"/>
      <c r="P116" s="46"/>
      <c r="Q116" s="46"/>
      <c r="R116" s="47"/>
      <c r="S116" s="47"/>
    </row>
    <row r="117" spans="1:19" s="59" customFormat="1">
      <c r="A117" s="42">
        <v>0.14000000000000001</v>
      </c>
      <c r="B117" s="42" t="s">
        <v>73</v>
      </c>
      <c r="C117" s="42" t="s">
        <v>53</v>
      </c>
      <c r="D117" s="43" t="s">
        <v>77</v>
      </c>
      <c r="E117" s="49" t="s">
        <v>13</v>
      </c>
      <c r="F117" s="249">
        <f t="shared" si="4"/>
        <v>28350.000000000004</v>
      </c>
      <c r="G117" s="45">
        <f t="shared" si="5"/>
        <v>202500</v>
      </c>
      <c r="H117" s="46">
        <v>202500</v>
      </c>
      <c r="I117" s="46"/>
      <c r="J117" s="46"/>
      <c r="K117" s="46"/>
      <c r="L117" s="46"/>
      <c r="M117" s="46"/>
      <c r="N117" s="46"/>
      <c r="O117" s="46"/>
      <c r="P117" s="46"/>
      <c r="Q117" s="46"/>
      <c r="R117" s="47"/>
      <c r="S117" s="47"/>
    </row>
    <row r="118" spans="1:19" s="59" customFormat="1">
      <c r="A118" s="42">
        <v>0.14000000000000001</v>
      </c>
      <c r="B118" s="42" t="s">
        <v>73</v>
      </c>
      <c r="C118" s="42" t="s">
        <v>49</v>
      </c>
      <c r="D118" s="43" t="s">
        <v>49</v>
      </c>
      <c r="E118" s="49" t="s">
        <v>13</v>
      </c>
      <c r="F118" s="249">
        <f t="shared" si="4"/>
        <v>462261.8672000001</v>
      </c>
      <c r="G118" s="45">
        <f t="shared" si="5"/>
        <v>3301870.4800000004</v>
      </c>
      <c r="H118" s="46">
        <v>393869</v>
      </c>
      <c r="I118" s="46">
        <v>338172.3</v>
      </c>
      <c r="J118" s="46">
        <v>1109246</v>
      </c>
      <c r="K118" s="46">
        <v>527277.17000000004</v>
      </c>
      <c r="L118" s="46">
        <v>303156</v>
      </c>
      <c r="M118" s="46"/>
      <c r="N118" s="46">
        <v>58887.08</v>
      </c>
      <c r="O118" s="46">
        <v>223813.73</v>
      </c>
      <c r="P118" s="46">
        <v>347449.2</v>
      </c>
      <c r="Q118" s="46"/>
      <c r="R118" s="47"/>
      <c r="S118" s="47"/>
    </row>
    <row r="119" spans="1:19" s="59" customFormat="1">
      <c r="A119" s="42">
        <v>0.14000000000000001</v>
      </c>
      <c r="B119" s="42" t="s">
        <v>73</v>
      </c>
      <c r="C119" s="42" t="s">
        <v>49</v>
      </c>
      <c r="D119" s="43" t="s">
        <v>49</v>
      </c>
      <c r="E119" s="49" t="s">
        <v>15</v>
      </c>
      <c r="F119" s="249">
        <f t="shared" si="4"/>
        <v>21000.000000000004</v>
      </c>
      <c r="G119" s="45">
        <f t="shared" si="5"/>
        <v>150000</v>
      </c>
      <c r="H119" s="46"/>
      <c r="I119" s="46">
        <v>150000</v>
      </c>
      <c r="J119" s="46"/>
      <c r="K119" s="46"/>
      <c r="L119" s="46"/>
      <c r="M119" s="46"/>
      <c r="N119" s="46"/>
      <c r="O119" s="46"/>
      <c r="P119" s="46"/>
      <c r="Q119" s="46"/>
      <c r="R119" s="47"/>
      <c r="S119" s="47"/>
    </row>
    <row r="120" spans="1:19" s="59" customFormat="1">
      <c r="A120" s="42">
        <v>0.14000000000000001</v>
      </c>
      <c r="B120" s="42" t="s">
        <v>73</v>
      </c>
      <c r="C120" s="42" t="s">
        <v>49</v>
      </c>
      <c r="D120" s="43" t="s">
        <v>49</v>
      </c>
      <c r="E120" s="44" t="s">
        <v>12</v>
      </c>
      <c r="F120" s="249">
        <f t="shared" si="4"/>
        <v>109200.00000000001</v>
      </c>
      <c r="G120" s="45">
        <f t="shared" si="5"/>
        <v>780000</v>
      </c>
      <c r="H120" s="46"/>
      <c r="I120" s="46"/>
      <c r="J120" s="46"/>
      <c r="K120" s="46"/>
      <c r="L120" s="46"/>
      <c r="M120" s="46"/>
      <c r="N120" s="46"/>
      <c r="O120" s="46"/>
      <c r="P120" s="46">
        <v>780000</v>
      </c>
      <c r="Q120" s="46"/>
      <c r="R120" s="47"/>
      <c r="S120" s="47"/>
    </row>
    <row r="121" spans="1:19" s="59" customFormat="1">
      <c r="A121" s="42">
        <v>0.14000000000000001</v>
      </c>
      <c r="B121" s="42" t="s">
        <v>73</v>
      </c>
      <c r="C121" s="42" t="s">
        <v>56</v>
      </c>
      <c r="D121" s="43" t="s">
        <v>78</v>
      </c>
      <c r="E121" s="49" t="s">
        <v>13</v>
      </c>
      <c r="F121" s="249">
        <f t="shared" si="4"/>
        <v>124542.1296</v>
      </c>
      <c r="G121" s="45">
        <f t="shared" si="5"/>
        <v>889586.6399999999</v>
      </c>
      <c r="H121" s="46">
        <v>389789</v>
      </c>
      <c r="I121" s="46">
        <v>61379.1</v>
      </c>
      <c r="J121" s="46"/>
      <c r="K121" s="46"/>
      <c r="L121" s="46"/>
      <c r="M121" s="46"/>
      <c r="N121" s="46">
        <v>66500</v>
      </c>
      <c r="O121" s="46">
        <v>371918.54</v>
      </c>
      <c r="P121" s="46"/>
      <c r="Q121" s="46"/>
      <c r="R121" s="47"/>
      <c r="S121" s="47"/>
    </row>
    <row r="122" spans="1:19" s="59" customFormat="1">
      <c r="A122" s="42">
        <v>0.14000000000000001</v>
      </c>
      <c r="B122" s="42" t="s">
        <v>73</v>
      </c>
      <c r="C122" s="42" t="s">
        <v>56</v>
      </c>
      <c r="D122" s="43" t="s">
        <v>79</v>
      </c>
      <c r="E122" s="49" t="s">
        <v>15</v>
      </c>
      <c r="F122" s="249">
        <f t="shared" si="4"/>
        <v>104473.74</v>
      </c>
      <c r="G122" s="45">
        <f t="shared" si="5"/>
        <v>746241</v>
      </c>
      <c r="H122" s="46"/>
      <c r="I122" s="46">
        <v>248747</v>
      </c>
      <c r="J122" s="46"/>
      <c r="K122" s="46">
        <v>248747</v>
      </c>
      <c r="L122" s="46"/>
      <c r="M122" s="46"/>
      <c r="N122" s="46">
        <v>248747</v>
      </c>
      <c r="O122" s="46"/>
      <c r="P122" s="46"/>
      <c r="Q122" s="46"/>
      <c r="R122" s="47"/>
      <c r="S122" s="47"/>
    </row>
    <row r="123" spans="1:19" s="59" customFormat="1">
      <c r="A123" s="42">
        <v>0.14000000000000001</v>
      </c>
      <c r="B123" s="42" t="s">
        <v>73</v>
      </c>
      <c r="C123" s="42" t="s">
        <v>56</v>
      </c>
      <c r="D123" s="43" t="s">
        <v>80</v>
      </c>
      <c r="E123" s="49" t="s">
        <v>13</v>
      </c>
      <c r="F123" s="249">
        <f t="shared" si="4"/>
        <v>190260.00000000003</v>
      </c>
      <c r="G123" s="45">
        <f t="shared" si="5"/>
        <v>1359000</v>
      </c>
      <c r="H123" s="46"/>
      <c r="I123" s="46">
        <v>1359000</v>
      </c>
      <c r="J123" s="46"/>
      <c r="K123" s="46"/>
      <c r="L123" s="46"/>
      <c r="M123" s="46"/>
      <c r="N123" s="46"/>
      <c r="O123" s="46"/>
      <c r="P123" s="46"/>
      <c r="Q123" s="46"/>
      <c r="R123" s="47"/>
      <c r="S123" s="47"/>
    </row>
    <row r="124" spans="1:19" s="59" customFormat="1">
      <c r="A124" s="42">
        <v>0.14000000000000001</v>
      </c>
      <c r="B124" s="42" t="s">
        <v>73</v>
      </c>
      <c r="C124" s="42" t="s">
        <v>56</v>
      </c>
      <c r="D124" s="43" t="s">
        <v>182</v>
      </c>
      <c r="E124" s="49" t="s">
        <v>13</v>
      </c>
      <c r="F124" s="249">
        <f t="shared" si="4"/>
        <v>25556.58</v>
      </c>
      <c r="G124" s="45">
        <f t="shared" si="5"/>
        <v>182547</v>
      </c>
      <c r="H124" s="46"/>
      <c r="I124" s="46"/>
      <c r="J124" s="46"/>
      <c r="K124" s="46"/>
      <c r="L124" s="46"/>
      <c r="M124" s="46"/>
      <c r="N124" s="46"/>
      <c r="O124" s="46"/>
      <c r="P124" s="46">
        <v>182547</v>
      </c>
      <c r="Q124" s="46"/>
      <c r="R124" s="47"/>
      <c r="S124" s="47"/>
    </row>
    <row r="125" spans="1:19" s="59" customFormat="1">
      <c r="A125" s="42">
        <v>0.14000000000000001</v>
      </c>
      <c r="B125" s="42" t="s">
        <v>73</v>
      </c>
      <c r="C125" s="42" t="s">
        <v>56</v>
      </c>
      <c r="D125" s="43" t="s">
        <v>81</v>
      </c>
      <c r="E125" s="49" t="s">
        <v>13</v>
      </c>
      <c r="F125" s="249">
        <f t="shared" si="4"/>
        <v>221448.78000000003</v>
      </c>
      <c r="G125" s="45">
        <f t="shared" si="5"/>
        <v>1581777</v>
      </c>
      <c r="H125" s="46"/>
      <c r="I125" s="46">
        <v>1581777</v>
      </c>
      <c r="J125" s="46"/>
      <c r="K125" s="46"/>
      <c r="L125" s="46"/>
      <c r="M125" s="46"/>
      <c r="N125" s="46"/>
      <c r="O125" s="46"/>
      <c r="P125" s="46"/>
      <c r="Q125" s="46"/>
      <c r="R125" s="47"/>
      <c r="S125" s="47"/>
    </row>
    <row r="126" spans="1:19" s="59" customFormat="1">
      <c r="A126" s="42">
        <v>0.14000000000000001</v>
      </c>
      <c r="B126" s="42" t="s">
        <v>73</v>
      </c>
      <c r="C126" s="42" t="s">
        <v>53</v>
      </c>
      <c r="D126" s="43" t="s">
        <v>82</v>
      </c>
      <c r="E126" s="49" t="s">
        <v>15</v>
      </c>
      <c r="F126" s="249">
        <f t="shared" si="4"/>
        <v>999828.76000000013</v>
      </c>
      <c r="G126" s="45">
        <f t="shared" si="5"/>
        <v>7141634</v>
      </c>
      <c r="H126" s="46"/>
      <c r="I126" s="46"/>
      <c r="J126" s="46">
        <v>2253622</v>
      </c>
      <c r="K126" s="46">
        <v>2253622</v>
      </c>
      <c r="L126" s="46"/>
      <c r="M126" s="46"/>
      <c r="N126" s="46"/>
      <c r="O126" s="46">
        <v>2634390</v>
      </c>
      <c r="P126" s="46"/>
      <c r="Q126" s="46"/>
      <c r="R126" s="47"/>
      <c r="S126" s="47"/>
    </row>
    <row r="127" spans="1:19" s="59" customFormat="1">
      <c r="A127" s="42">
        <v>0.14000000000000001</v>
      </c>
      <c r="B127" s="42" t="s">
        <v>73</v>
      </c>
      <c r="C127" s="42" t="s">
        <v>53</v>
      </c>
      <c r="D127" s="43" t="s">
        <v>135</v>
      </c>
      <c r="E127" s="49" t="s">
        <v>13</v>
      </c>
      <c r="F127" s="249">
        <f t="shared" si="4"/>
        <v>608870.20740000007</v>
      </c>
      <c r="G127" s="45">
        <f t="shared" si="5"/>
        <v>4349072.91</v>
      </c>
      <c r="H127" s="46"/>
      <c r="I127" s="46"/>
      <c r="J127" s="46"/>
      <c r="K127" s="46"/>
      <c r="L127" s="46"/>
      <c r="M127" s="46"/>
      <c r="N127" s="46">
        <v>1122880.43</v>
      </c>
      <c r="O127" s="46">
        <v>1008081.48</v>
      </c>
      <c r="P127" s="46">
        <v>2218111</v>
      </c>
      <c r="Q127" s="46"/>
      <c r="R127" s="47"/>
      <c r="S127" s="47"/>
    </row>
    <row r="128" spans="1:19" s="59" customFormat="1">
      <c r="A128" s="42">
        <v>0.14000000000000001</v>
      </c>
      <c r="B128" s="42" t="s">
        <v>73</v>
      </c>
      <c r="C128" s="42" t="s">
        <v>53</v>
      </c>
      <c r="D128" s="43" t="s">
        <v>135</v>
      </c>
      <c r="E128" s="44" t="s">
        <v>14</v>
      </c>
      <c r="F128" s="249">
        <f t="shared" si="4"/>
        <v>390320.00000000006</v>
      </c>
      <c r="G128" s="45">
        <f t="shared" si="5"/>
        <v>2788000</v>
      </c>
      <c r="H128" s="46"/>
      <c r="I128" s="46"/>
      <c r="J128" s="46"/>
      <c r="K128" s="46"/>
      <c r="L128" s="46"/>
      <c r="M128" s="46"/>
      <c r="N128" s="46"/>
      <c r="O128" s="46"/>
      <c r="P128" s="46">
        <v>2788000</v>
      </c>
      <c r="Q128" s="46"/>
      <c r="R128" s="47"/>
      <c r="S128" s="47"/>
    </row>
    <row r="129" spans="1:19" s="59" customFormat="1">
      <c r="A129" s="42">
        <v>0.14000000000000001</v>
      </c>
      <c r="B129" s="42" t="s">
        <v>73</v>
      </c>
      <c r="C129" s="42" t="s">
        <v>53</v>
      </c>
      <c r="D129" s="43" t="s">
        <v>135</v>
      </c>
      <c r="E129" s="44" t="s">
        <v>12</v>
      </c>
      <c r="F129" s="249">
        <f t="shared" si="4"/>
        <v>282867.20000000001</v>
      </c>
      <c r="G129" s="45">
        <f t="shared" si="5"/>
        <v>2020480</v>
      </c>
      <c r="H129" s="46"/>
      <c r="I129" s="46"/>
      <c r="J129" s="46"/>
      <c r="K129" s="46"/>
      <c r="L129" s="46"/>
      <c r="M129" s="46"/>
      <c r="N129" s="46"/>
      <c r="O129" s="46"/>
      <c r="P129" s="46">
        <v>2020480</v>
      </c>
      <c r="Q129" s="46"/>
      <c r="R129" s="47"/>
      <c r="S129" s="47"/>
    </row>
    <row r="130" spans="1:19" s="59" customFormat="1">
      <c r="A130" s="42">
        <v>0.14000000000000001</v>
      </c>
      <c r="B130" s="42" t="s">
        <v>73</v>
      </c>
      <c r="C130" s="42" t="s">
        <v>53</v>
      </c>
      <c r="D130" s="43" t="s">
        <v>135</v>
      </c>
      <c r="E130" s="49" t="s">
        <v>16</v>
      </c>
      <c r="F130" s="249">
        <f t="shared" si="4"/>
        <v>343000.00000000006</v>
      </c>
      <c r="G130" s="45">
        <f t="shared" si="5"/>
        <v>2450000</v>
      </c>
      <c r="H130" s="46"/>
      <c r="I130" s="46"/>
      <c r="J130" s="46"/>
      <c r="K130" s="46"/>
      <c r="L130" s="46"/>
      <c r="M130" s="46"/>
      <c r="N130" s="46"/>
      <c r="O130" s="46"/>
      <c r="P130" s="46">
        <v>2450000</v>
      </c>
      <c r="Q130" s="46"/>
      <c r="R130" s="47"/>
      <c r="S130" s="47"/>
    </row>
    <row r="131" spans="1:19" s="59" customFormat="1">
      <c r="A131" s="42">
        <v>0.14000000000000001</v>
      </c>
      <c r="B131" s="42" t="s">
        <v>73</v>
      </c>
      <c r="C131" s="42" t="s">
        <v>53</v>
      </c>
      <c r="D131" s="43" t="s">
        <v>136</v>
      </c>
      <c r="E131" s="49" t="s">
        <v>13</v>
      </c>
      <c r="F131" s="249">
        <f t="shared" si="4"/>
        <v>76112.043000000005</v>
      </c>
      <c r="G131" s="45">
        <f t="shared" si="5"/>
        <v>543657.44999999995</v>
      </c>
      <c r="H131" s="46"/>
      <c r="I131" s="46"/>
      <c r="J131" s="46"/>
      <c r="K131" s="46"/>
      <c r="L131" s="46"/>
      <c r="M131" s="46"/>
      <c r="N131" s="46">
        <v>33135.620000000003</v>
      </c>
      <c r="O131" s="46">
        <v>159794.18</v>
      </c>
      <c r="P131" s="46">
        <v>350727.65</v>
      </c>
      <c r="Q131" s="46"/>
      <c r="R131" s="47"/>
      <c r="S131" s="47"/>
    </row>
    <row r="132" spans="1:19" s="59" customFormat="1">
      <c r="A132" s="42">
        <v>0.14000000000000001</v>
      </c>
      <c r="B132" s="42" t="s">
        <v>73</v>
      </c>
      <c r="C132" s="42" t="s">
        <v>53</v>
      </c>
      <c r="D132" s="43" t="s">
        <v>137</v>
      </c>
      <c r="E132" s="49" t="s">
        <v>13</v>
      </c>
      <c r="F132" s="249">
        <f t="shared" si="4"/>
        <v>77227.381000000008</v>
      </c>
      <c r="G132" s="45">
        <f t="shared" si="5"/>
        <v>551624.15</v>
      </c>
      <c r="H132" s="46"/>
      <c r="I132" s="46"/>
      <c r="J132" s="46"/>
      <c r="K132" s="46"/>
      <c r="L132" s="46"/>
      <c r="M132" s="46"/>
      <c r="N132" s="46">
        <v>66500</v>
      </c>
      <c r="O132" s="46">
        <v>238844.06</v>
      </c>
      <c r="P132" s="46">
        <v>246280.09</v>
      </c>
      <c r="Q132" s="46"/>
      <c r="R132" s="47"/>
      <c r="S132" s="47"/>
    </row>
    <row r="133" spans="1:19" s="59" customFormat="1">
      <c r="A133" s="42">
        <v>0.14000000000000001</v>
      </c>
      <c r="B133" s="42" t="s">
        <v>73</v>
      </c>
      <c r="C133" s="42" t="s">
        <v>53</v>
      </c>
      <c r="D133" s="43" t="s">
        <v>137</v>
      </c>
      <c r="E133" s="49" t="s">
        <v>14</v>
      </c>
      <c r="F133" s="249">
        <f t="shared" si="4"/>
        <v>149240</v>
      </c>
      <c r="G133" s="45">
        <f>SUM(H133:S133)</f>
        <v>1066000</v>
      </c>
      <c r="H133" s="46"/>
      <c r="I133" s="46"/>
      <c r="J133" s="46"/>
      <c r="K133" s="46"/>
      <c r="L133" s="46"/>
      <c r="M133" s="46"/>
      <c r="N133" s="46">
        <v>574000</v>
      </c>
      <c r="O133" s="46">
        <v>492000</v>
      </c>
      <c r="P133" s="46"/>
      <c r="Q133" s="46"/>
      <c r="R133" s="47"/>
      <c r="S133" s="47"/>
    </row>
    <row r="134" spans="1:19" s="59" customFormat="1">
      <c r="A134" s="42">
        <v>0.14000000000000001</v>
      </c>
      <c r="B134" s="42" t="s">
        <v>73</v>
      </c>
      <c r="C134" s="42" t="s">
        <v>53</v>
      </c>
      <c r="D134" s="43" t="s">
        <v>138</v>
      </c>
      <c r="E134" s="49" t="s">
        <v>16</v>
      </c>
      <c r="F134" s="249">
        <f t="shared" si="4"/>
        <v>30800.000000000004</v>
      </c>
      <c r="G134" s="45">
        <f t="shared" ref="G134:G135" si="6">SUM(H134:S134)</f>
        <v>220000</v>
      </c>
      <c r="H134" s="46"/>
      <c r="I134" s="46"/>
      <c r="J134" s="46"/>
      <c r="K134" s="46"/>
      <c r="L134" s="46"/>
      <c r="M134" s="46"/>
      <c r="N134" s="46">
        <v>110000</v>
      </c>
      <c r="O134" s="46">
        <v>110000</v>
      </c>
      <c r="P134" s="46"/>
      <c r="Q134" s="46"/>
      <c r="R134" s="47"/>
      <c r="S134" s="47"/>
    </row>
    <row r="135" spans="1:19" s="59" customFormat="1">
      <c r="A135" s="42">
        <v>0.14000000000000001</v>
      </c>
      <c r="B135" s="42" t="s">
        <v>73</v>
      </c>
      <c r="C135" s="42" t="s">
        <v>139</v>
      </c>
      <c r="D135" s="43" t="s">
        <v>140</v>
      </c>
      <c r="E135" s="49" t="s">
        <v>13</v>
      </c>
      <c r="F135" s="249">
        <f t="shared" si="4"/>
        <v>123750.56820000001</v>
      </c>
      <c r="G135" s="45">
        <f t="shared" si="6"/>
        <v>883932.63</v>
      </c>
      <c r="H135" s="46"/>
      <c r="I135" s="46"/>
      <c r="J135" s="46"/>
      <c r="K135" s="46"/>
      <c r="L135" s="46"/>
      <c r="M135" s="46"/>
      <c r="N135" s="46">
        <v>242916.52</v>
      </c>
      <c r="O135" s="46">
        <v>308974.96000000002</v>
      </c>
      <c r="P135" s="46">
        <v>332041.15000000002</v>
      </c>
      <c r="Q135" s="46"/>
      <c r="R135" s="47"/>
      <c r="S135" s="47"/>
    </row>
    <row r="136" spans="1:19" s="59" customFormat="1">
      <c r="A136" s="42">
        <v>0.14000000000000001</v>
      </c>
      <c r="B136" s="42" t="s">
        <v>73</v>
      </c>
      <c r="C136" s="42" t="s">
        <v>53</v>
      </c>
      <c r="D136" s="43" t="s">
        <v>141</v>
      </c>
      <c r="E136" s="49" t="s">
        <v>13</v>
      </c>
      <c r="F136" s="249">
        <f t="shared" si="4"/>
        <v>171083.91160000002</v>
      </c>
      <c r="G136" s="45">
        <f t="shared" si="5"/>
        <v>1222027.94</v>
      </c>
      <c r="H136" s="46"/>
      <c r="I136" s="46"/>
      <c r="J136" s="46"/>
      <c r="K136" s="46"/>
      <c r="L136" s="46"/>
      <c r="M136" s="46"/>
      <c r="N136" s="46"/>
      <c r="O136" s="46">
        <v>679885.36</v>
      </c>
      <c r="P136" s="46">
        <v>542142.57999999996</v>
      </c>
      <c r="Q136" s="46"/>
      <c r="R136" s="47"/>
      <c r="S136" s="47"/>
    </row>
    <row r="137" spans="1:19" s="59" customFormat="1">
      <c r="A137" s="42">
        <v>0.14000000000000001</v>
      </c>
      <c r="B137" s="42" t="s">
        <v>73</v>
      </c>
      <c r="C137" s="42" t="s">
        <v>53</v>
      </c>
      <c r="D137" s="43" t="s">
        <v>141</v>
      </c>
      <c r="E137" s="49" t="s">
        <v>142</v>
      </c>
      <c r="F137" s="249">
        <f t="shared" si="4"/>
        <v>190960.00000000003</v>
      </c>
      <c r="G137" s="45">
        <f>SUM(H137:S137)</f>
        <v>1364000</v>
      </c>
      <c r="H137" s="46"/>
      <c r="I137" s="46"/>
      <c r="J137" s="46"/>
      <c r="K137" s="46"/>
      <c r="L137" s="46"/>
      <c r="M137" s="46"/>
      <c r="N137" s="46">
        <v>682000</v>
      </c>
      <c r="O137" s="46">
        <v>682000</v>
      </c>
      <c r="P137" s="46"/>
      <c r="Q137" s="46"/>
      <c r="R137" s="47"/>
      <c r="S137" s="47"/>
    </row>
    <row r="138" spans="1:19" s="59" customFormat="1">
      <c r="A138" s="42">
        <v>0.39</v>
      </c>
      <c r="B138" s="42" t="s">
        <v>83</v>
      </c>
      <c r="C138" s="42" t="s">
        <v>53</v>
      </c>
      <c r="D138" s="42" t="s">
        <v>157</v>
      </c>
      <c r="E138" s="60" t="s">
        <v>14</v>
      </c>
      <c r="F138" s="249">
        <f t="shared" si="4"/>
        <v>702000</v>
      </c>
      <c r="G138" s="250">
        <f t="shared" si="5"/>
        <v>1800000</v>
      </c>
      <c r="H138" s="145">
        <v>200000</v>
      </c>
      <c r="I138" s="145">
        <v>200000</v>
      </c>
      <c r="J138" s="145">
        <v>200000</v>
      </c>
      <c r="K138" s="145">
        <v>200000</v>
      </c>
      <c r="L138" s="145">
        <v>200000</v>
      </c>
      <c r="M138" s="145">
        <v>200000</v>
      </c>
      <c r="N138" s="145">
        <v>200000</v>
      </c>
      <c r="O138" s="145">
        <v>200000</v>
      </c>
      <c r="P138" s="145">
        <v>200000</v>
      </c>
      <c r="Q138" s="145"/>
      <c r="R138" s="145"/>
      <c r="S138" s="145"/>
    </row>
    <row r="139" spans="1:19" s="59" customFormat="1">
      <c r="A139" s="42">
        <v>0.39</v>
      </c>
      <c r="B139" s="42" t="s">
        <v>83</v>
      </c>
      <c r="C139" s="42" t="s">
        <v>49</v>
      </c>
      <c r="D139" s="42" t="s">
        <v>84</v>
      </c>
      <c r="E139" s="60" t="s">
        <v>13</v>
      </c>
      <c r="F139" s="249">
        <f t="shared" si="4"/>
        <v>142916.67000000001</v>
      </c>
      <c r="G139" s="250">
        <f t="shared" si="5"/>
        <v>366453</v>
      </c>
      <c r="H139" s="145"/>
      <c r="I139" s="145">
        <v>9710</v>
      </c>
      <c r="J139" s="145">
        <v>29130</v>
      </c>
      <c r="K139" s="145"/>
      <c r="L139" s="145"/>
      <c r="M139" s="145">
        <v>327613</v>
      </c>
      <c r="N139" s="145"/>
      <c r="O139" s="145"/>
      <c r="P139" s="145"/>
      <c r="Q139" s="145"/>
      <c r="R139" s="145"/>
      <c r="S139" s="145"/>
    </row>
    <row r="140" spans="1:19" s="59" customFormat="1">
      <c r="A140" s="42">
        <v>0.39</v>
      </c>
      <c r="B140" s="42" t="s">
        <v>83</v>
      </c>
      <c r="C140" s="42" t="s">
        <v>49</v>
      </c>
      <c r="D140" s="42" t="s">
        <v>84</v>
      </c>
      <c r="E140" s="60" t="s">
        <v>16</v>
      </c>
      <c r="F140" s="249">
        <f t="shared" si="4"/>
        <v>421851.94999999995</v>
      </c>
      <c r="G140" s="250">
        <f t="shared" ref="G140:G174" si="7">SUM(H140:S140)</f>
        <v>1081671.6666666665</v>
      </c>
      <c r="H140" s="145">
        <v>208000</v>
      </c>
      <c r="I140" s="145">
        <v>210917</v>
      </c>
      <c r="J140" s="145">
        <v>206666.66666666666</v>
      </c>
      <c r="K140" s="145">
        <v>147000</v>
      </c>
      <c r="L140" s="145">
        <v>66000</v>
      </c>
      <c r="M140" s="145">
        <v>66000</v>
      </c>
      <c r="N140" s="145">
        <v>177088</v>
      </c>
      <c r="O140" s="145"/>
      <c r="P140" s="145"/>
      <c r="Q140" s="145"/>
      <c r="R140" s="145"/>
      <c r="S140" s="145"/>
    </row>
    <row r="141" spans="1:19" s="59" customFormat="1">
      <c r="A141" s="42">
        <v>0.39</v>
      </c>
      <c r="B141" s="42" t="s">
        <v>83</v>
      </c>
      <c r="C141" s="42" t="s">
        <v>49</v>
      </c>
      <c r="D141" s="42" t="s">
        <v>84</v>
      </c>
      <c r="E141" s="60" t="s">
        <v>15</v>
      </c>
      <c r="F141" s="249">
        <f t="shared" si="4"/>
        <v>90045.598500000007</v>
      </c>
      <c r="G141" s="250">
        <f t="shared" si="7"/>
        <v>230886.15</v>
      </c>
      <c r="H141" s="145"/>
      <c r="I141" s="145">
        <v>51376.15</v>
      </c>
      <c r="J141" s="145">
        <v>45000</v>
      </c>
      <c r="K141" s="145"/>
      <c r="L141" s="145"/>
      <c r="M141" s="145">
        <v>134510</v>
      </c>
      <c r="N141" s="145"/>
      <c r="O141" s="145"/>
      <c r="P141" s="145"/>
      <c r="Q141" s="145"/>
      <c r="R141" s="145"/>
      <c r="S141" s="145"/>
    </row>
    <row r="142" spans="1:19" s="59" customFormat="1">
      <c r="A142" s="42">
        <v>0.39</v>
      </c>
      <c r="B142" s="42" t="s">
        <v>83</v>
      </c>
      <c r="C142" s="42" t="s">
        <v>53</v>
      </c>
      <c r="D142" s="42" t="s">
        <v>158</v>
      </c>
      <c r="E142" s="60" t="s">
        <v>13</v>
      </c>
      <c r="F142" s="249">
        <f t="shared" si="4"/>
        <v>84835.269870000004</v>
      </c>
      <c r="G142" s="250">
        <f t="shared" si="7"/>
        <v>217526.33299999998</v>
      </c>
      <c r="H142" s="145"/>
      <c r="I142" s="145"/>
      <c r="J142" s="145">
        <v>217526.33299999998</v>
      </c>
      <c r="K142" s="145"/>
      <c r="L142" s="145"/>
      <c r="M142" s="145"/>
      <c r="N142" s="145"/>
      <c r="O142" s="145"/>
      <c r="P142" s="145"/>
      <c r="Q142" s="145"/>
      <c r="R142" s="145"/>
      <c r="S142" s="145"/>
    </row>
    <row r="143" spans="1:19" s="59" customFormat="1">
      <c r="A143" s="42">
        <v>0.39</v>
      </c>
      <c r="B143" s="42" t="s">
        <v>83</v>
      </c>
      <c r="C143" s="42" t="s">
        <v>53</v>
      </c>
      <c r="D143" s="42" t="s">
        <v>158</v>
      </c>
      <c r="E143" s="60" t="s">
        <v>14</v>
      </c>
      <c r="F143" s="249">
        <f t="shared" si="4"/>
        <v>10415.301000000001</v>
      </c>
      <c r="G143" s="250">
        <f t="shared" si="7"/>
        <v>26705.9</v>
      </c>
      <c r="H143" s="145">
        <v>26705.9</v>
      </c>
      <c r="I143" s="145"/>
      <c r="J143" s="145"/>
      <c r="K143" s="145"/>
      <c r="L143" s="145"/>
      <c r="M143" s="145"/>
      <c r="N143" s="145"/>
      <c r="O143" s="145"/>
      <c r="P143" s="145"/>
      <c r="Q143" s="145"/>
      <c r="R143" s="145"/>
      <c r="S143" s="145"/>
    </row>
    <row r="144" spans="1:19" s="59" customFormat="1">
      <c r="A144" s="42">
        <v>0.39</v>
      </c>
      <c r="B144" s="42" t="s">
        <v>83</v>
      </c>
      <c r="C144" s="42" t="s">
        <v>53</v>
      </c>
      <c r="D144" s="42" t="s">
        <v>158</v>
      </c>
      <c r="E144" s="60" t="s">
        <v>15</v>
      </c>
      <c r="F144" s="249">
        <f t="shared" si="4"/>
        <v>37978.200000000004</v>
      </c>
      <c r="G144" s="250">
        <f t="shared" si="7"/>
        <v>97380</v>
      </c>
      <c r="H144" s="145">
        <v>51120</v>
      </c>
      <c r="I144" s="145">
        <v>22320</v>
      </c>
      <c r="J144" s="145">
        <v>23940</v>
      </c>
      <c r="K144" s="145"/>
      <c r="L144" s="145"/>
      <c r="M144" s="145"/>
      <c r="N144" s="145"/>
      <c r="O144" s="145"/>
      <c r="P144" s="145"/>
      <c r="Q144" s="145"/>
      <c r="R144" s="145"/>
      <c r="S144" s="145"/>
    </row>
    <row r="145" spans="1:19" s="59" customFormat="1">
      <c r="A145" s="42">
        <v>0.39</v>
      </c>
      <c r="B145" s="42" t="s">
        <v>83</v>
      </c>
      <c r="C145" s="42" t="s">
        <v>53</v>
      </c>
      <c r="D145" s="42" t="s">
        <v>85</v>
      </c>
      <c r="E145" s="60" t="s">
        <v>12</v>
      </c>
      <c r="F145" s="249">
        <f t="shared" si="4"/>
        <v>271525.8</v>
      </c>
      <c r="G145" s="250">
        <f t="shared" si="7"/>
        <v>696220</v>
      </c>
      <c r="H145" s="145">
        <v>316120</v>
      </c>
      <c r="I145" s="145">
        <v>162960</v>
      </c>
      <c r="J145" s="145">
        <v>217140</v>
      </c>
      <c r="K145" s="145"/>
      <c r="L145" s="145"/>
      <c r="M145" s="145"/>
      <c r="N145" s="145"/>
      <c r="O145" s="145"/>
      <c r="P145" s="145"/>
      <c r="Q145" s="145"/>
      <c r="R145" s="145"/>
      <c r="S145" s="145"/>
    </row>
    <row r="146" spans="1:19" s="59" customFormat="1">
      <c r="A146" s="42">
        <v>0.39</v>
      </c>
      <c r="B146" s="42" t="s">
        <v>83</v>
      </c>
      <c r="C146" s="42" t="s">
        <v>53</v>
      </c>
      <c r="D146" s="42" t="s">
        <v>85</v>
      </c>
      <c r="E146" s="60" t="s">
        <v>13</v>
      </c>
      <c r="F146" s="249">
        <f t="shared" si="4"/>
        <v>307093.8</v>
      </c>
      <c r="G146" s="250">
        <f t="shared" si="7"/>
        <v>787420</v>
      </c>
      <c r="H146" s="145">
        <v>113050</v>
      </c>
      <c r="I146" s="145"/>
      <c r="J146" s="145">
        <v>36000</v>
      </c>
      <c r="K146" s="145"/>
      <c r="L146" s="145"/>
      <c r="M146" s="145">
        <v>350290</v>
      </c>
      <c r="N146" s="145">
        <v>176310</v>
      </c>
      <c r="O146" s="145">
        <v>111770</v>
      </c>
      <c r="P146" s="145"/>
      <c r="Q146" s="145"/>
      <c r="R146" s="145"/>
      <c r="S146" s="145"/>
    </row>
    <row r="147" spans="1:19" s="59" customFormat="1">
      <c r="A147" s="42">
        <v>0.39</v>
      </c>
      <c r="B147" s="42" t="s">
        <v>83</v>
      </c>
      <c r="C147" s="42" t="s">
        <v>53</v>
      </c>
      <c r="D147" s="42" t="s">
        <v>85</v>
      </c>
      <c r="E147" s="60" t="s">
        <v>14</v>
      </c>
      <c r="F147" s="249">
        <f t="shared" si="4"/>
        <v>64587.705000000002</v>
      </c>
      <c r="G147" s="250">
        <f t="shared" si="7"/>
        <v>165609.5</v>
      </c>
      <c r="H147" s="145">
        <v>42644</v>
      </c>
      <c r="I147" s="145">
        <v>30975</v>
      </c>
      <c r="J147" s="145">
        <v>91990.5</v>
      </c>
      <c r="K147" s="145"/>
      <c r="L147" s="145"/>
      <c r="M147" s="145"/>
      <c r="N147" s="145"/>
      <c r="O147" s="145"/>
      <c r="P147" s="145"/>
      <c r="Q147" s="145"/>
      <c r="R147" s="145"/>
      <c r="S147" s="145"/>
    </row>
    <row r="148" spans="1:19" s="59" customFormat="1">
      <c r="A148" s="42">
        <v>0.39</v>
      </c>
      <c r="B148" s="42" t="s">
        <v>83</v>
      </c>
      <c r="C148" s="42" t="s">
        <v>53</v>
      </c>
      <c r="D148" s="42" t="s">
        <v>85</v>
      </c>
      <c r="E148" s="60" t="s">
        <v>16</v>
      </c>
      <c r="F148" s="249">
        <f t="shared" si="4"/>
        <v>220947.48</v>
      </c>
      <c r="G148" s="250">
        <f t="shared" si="7"/>
        <v>566532</v>
      </c>
      <c r="H148" s="145">
        <v>566532</v>
      </c>
      <c r="I148" s="145"/>
      <c r="J148" s="145"/>
      <c r="K148" s="145"/>
      <c r="L148" s="145"/>
      <c r="M148" s="145"/>
      <c r="N148" s="145"/>
      <c r="O148" s="145"/>
      <c r="P148" s="145"/>
      <c r="Q148" s="145"/>
      <c r="R148" s="145"/>
      <c r="S148" s="145"/>
    </row>
    <row r="149" spans="1:19" s="59" customFormat="1">
      <c r="A149" s="42">
        <v>0.39</v>
      </c>
      <c r="B149" s="42" t="s">
        <v>83</v>
      </c>
      <c r="C149" s="42" t="s">
        <v>53</v>
      </c>
      <c r="D149" s="42" t="s">
        <v>85</v>
      </c>
      <c r="E149" s="60" t="s">
        <v>15</v>
      </c>
      <c r="F149" s="249">
        <f t="shared" si="4"/>
        <v>22120.3125</v>
      </c>
      <c r="G149" s="250">
        <f t="shared" si="7"/>
        <v>56718.75</v>
      </c>
      <c r="H149" s="145">
        <v>20718.75</v>
      </c>
      <c r="I149" s="145">
        <v>23760</v>
      </c>
      <c r="J149" s="145"/>
      <c r="K149" s="145"/>
      <c r="L149" s="145"/>
      <c r="M149" s="145"/>
      <c r="N149" s="145">
        <v>12240</v>
      </c>
      <c r="O149" s="145"/>
      <c r="P149" s="145"/>
      <c r="Q149" s="145"/>
      <c r="R149" s="145"/>
      <c r="S149" s="145"/>
    </row>
    <row r="150" spans="1:19" s="59" customFormat="1">
      <c r="A150" s="42">
        <v>0.39</v>
      </c>
      <c r="B150" s="42" t="s">
        <v>83</v>
      </c>
      <c r="C150" s="42" t="s">
        <v>53</v>
      </c>
      <c r="D150" s="42" t="s">
        <v>159</v>
      </c>
      <c r="E150" s="60" t="s">
        <v>13</v>
      </c>
      <c r="F150" s="249">
        <f t="shared" si="4"/>
        <v>135934.5</v>
      </c>
      <c r="G150" s="250">
        <f t="shared" si="7"/>
        <v>348550</v>
      </c>
      <c r="H150" s="145">
        <v>348550</v>
      </c>
      <c r="I150" s="145"/>
      <c r="J150" s="145"/>
      <c r="K150" s="145"/>
      <c r="L150" s="145"/>
      <c r="M150" s="145"/>
      <c r="N150" s="145"/>
      <c r="O150" s="145"/>
      <c r="P150" s="145"/>
      <c r="Q150" s="145"/>
      <c r="R150" s="145"/>
      <c r="S150" s="145"/>
    </row>
    <row r="151" spans="1:19" s="59" customFormat="1">
      <c r="A151" s="42">
        <v>0.39</v>
      </c>
      <c r="B151" s="42" t="s">
        <v>83</v>
      </c>
      <c r="C151" s="42" t="s">
        <v>53</v>
      </c>
      <c r="D151" s="42" t="s">
        <v>159</v>
      </c>
      <c r="E151" s="60" t="s">
        <v>14</v>
      </c>
      <c r="F151" s="249">
        <f t="shared" si="4"/>
        <v>131298.68700000001</v>
      </c>
      <c r="G151" s="250">
        <f t="shared" si="7"/>
        <v>336663.3</v>
      </c>
      <c r="H151" s="145">
        <v>140884.5</v>
      </c>
      <c r="I151" s="145">
        <v>90146</v>
      </c>
      <c r="J151" s="145">
        <v>105632.8</v>
      </c>
      <c r="K151" s="145"/>
      <c r="L151" s="145"/>
      <c r="M151" s="145"/>
      <c r="N151" s="145"/>
      <c r="O151" s="145"/>
      <c r="P151" s="145"/>
      <c r="Q151" s="145"/>
      <c r="R151" s="145"/>
      <c r="S151" s="145"/>
    </row>
    <row r="152" spans="1:19" s="59" customFormat="1">
      <c r="A152" s="42">
        <v>0.39</v>
      </c>
      <c r="B152" s="42" t="s">
        <v>83</v>
      </c>
      <c r="C152" s="42" t="s">
        <v>53</v>
      </c>
      <c r="D152" s="42" t="s">
        <v>159</v>
      </c>
      <c r="E152" s="60" t="s">
        <v>15</v>
      </c>
      <c r="F152" s="249">
        <f t="shared" si="4"/>
        <v>34693.425000000003</v>
      </c>
      <c r="G152" s="250">
        <f t="shared" si="7"/>
        <v>88957.5</v>
      </c>
      <c r="H152" s="145">
        <v>20718.75</v>
      </c>
      <c r="I152" s="145">
        <v>44478.75</v>
      </c>
      <c r="J152" s="145">
        <v>23760</v>
      </c>
      <c r="K152" s="145"/>
      <c r="L152" s="145"/>
      <c r="M152" s="145"/>
      <c r="N152" s="145"/>
      <c r="O152" s="145"/>
      <c r="P152" s="145"/>
      <c r="Q152" s="145"/>
      <c r="R152" s="145"/>
      <c r="S152" s="145"/>
    </row>
    <row r="153" spans="1:19" s="48" customFormat="1">
      <c r="A153" s="42">
        <v>0.39</v>
      </c>
      <c r="B153" s="42" t="s">
        <v>83</v>
      </c>
      <c r="C153" s="42" t="s">
        <v>53</v>
      </c>
      <c r="D153" s="42" t="s">
        <v>159</v>
      </c>
      <c r="E153" s="60" t="s">
        <v>17</v>
      </c>
      <c r="F153" s="249">
        <f t="shared" si="4"/>
        <v>73710</v>
      </c>
      <c r="G153" s="250">
        <f t="shared" si="7"/>
        <v>189000</v>
      </c>
      <c r="H153" s="145">
        <v>189000</v>
      </c>
      <c r="I153" s="145"/>
      <c r="J153" s="145"/>
      <c r="K153" s="145"/>
      <c r="L153" s="145"/>
      <c r="M153" s="145"/>
      <c r="N153" s="145"/>
      <c r="O153" s="145"/>
      <c r="P153" s="145"/>
      <c r="Q153" s="145"/>
      <c r="R153" s="145"/>
      <c r="S153" s="145"/>
    </row>
    <row r="154" spans="1:19" s="48" customFormat="1">
      <c r="A154" s="42">
        <v>0.39</v>
      </c>
      <c r="B154" s="42" t="s">
        <v>83</v>
      </c>
      <c r="C154" s="42" t="s">
        <v>53</v>
      </c>
      <c r="D154" s="42" t="s">
        <v>160</v>
      </c>
      <c r="E154" s="60" t="s">
        <v>13</v>
      </c>
      <c r="F154" s="249">
        <f t="shared" si="4"/>
        <v>30899.018864999998</v>
      </c>
      <c r="G154" s="250">
        <f t="shared" si="7"/>
        <v>79228.253499999992</v>
      </c>
      <c r="H154" s="145">
        <v>24275</v>
      </c>
      <c r="I154" s="145">
        <v>15000.01</v>
      </c>
      <c r="J154" s="145">
        <v>9999.843499999999</v>
      </c>
      <c r="K154" s="145"/>
      <c r="L154" s="145">
        <v>14953.4</v>
      </c>
      <c r="M154" s="145"/>
      <c r="N154" s="145">
        <v>15000</v>
      </c>
      <c r="O154" s="145"/>
      <c r="P154" s="145"/>
      <c r="Q154" s="145"/>
      <c r="R154" s="145"/>
      <c r="S154" s="145"/>
    </row>
    <row r="155" spans="1:19" s="48" customFormat="1">
      <c r="A155" s="42">
        <v>0.39</v>
      </c>
      <c r="B155" s="42" t="s">
        <v>83</v>
      </c>
      <c r="C155" s="42" t="s">
        <v>56</v>
      </c>
      <c r="D155" s="42" t="s">
        <v>161</v>
      </c>
      <c r="E155" s="60" t="s">
        <v>13</v>
      </c>
      <c r="F155" s="249">
        <f t="shared" si="4"/>
        <v>39384.93</v>
      </c>
      <c r="G155" s="250">
        <f t="shared" si="7"/>
        <v>100987</v>
      </c>
      <c r="H155" s="145">
        <v>12137.5</v>
      </c>
      <c r="I155" s="145"/>
      <c r="J155" s="145">
        <v>2427.5</v>
      </c>
      <c r="K155" s="145"/>
      <c r="L155" s="145"/>
      <c r="M155" s="145">
        <v>18522</v>
      </c>
      <c r="N155" s="145">
        <v>50977.5</v>
      </c>
      <c r="O155" s="145"/>
      <c r="P155" s="145">
        <v>16922.5</v>
      </c>
      <c r="Q155" s="145"/>
      <c r="R155" s="145"/>
      <c r="S155" s="145"/>
    </row>
    <row r="156" spans="1:19" s="48" customFormat="1">
      <c r="A156" s="42">
        <v>0.39</v>
      </c>
      <c r="B156" s="42" t="s">
        <v>83</v>
      </c>
      <c r="C156" s="42" t="s">
        <v>53</v>
      </c>
      <c r="D156" s="42" t="s">
        <v>162</v>
      </c>
      <c r="E156" s="60" t="s">
        <v>13</v>
      </c>
      <c r="F156" s="249">
        <f t="shared" si="4"/>
        <v>38434.476015</v>
      </c>
      <c r="G156" s="250">
        <f t="shared" si="7"/>
        <v>98549.938499999989</v>
      </c>
      <c r="H156" s="145">
        <v>68691.938499999989</v>
      </c>
      <c r="I156" s="145"/>
      <c r="J156" s="145"/>
      <c r="K156" s="145"/>
      <c r="L156" s="145"/>
      <c r="M156" s="145"/>
      <c r="N156" s="145">
        <v>20148</v>
      </c>
      <c r="O156" s="145"/>
      <c r="P156" s="145">
        <v>9710</v>
      </c>
      <c r="Q156" s="145"/>
      <c r="R156" s="145"/>
      <c r="S156" s="145"/>
    </row>
    <row r="157" spans="1:19" s="48" customFormat="1">
      <c r="A157" s="42">
        <v>0.39</v>
      </c>
      <c r="B157" s="42" t="s">
        <v>83</v>
      </c>
      <c r="C157" s="42" t="s">
        <v>53</v>
      </c>
      <c r="D157" s="42" t="s">
        <v>162</v>
      </c>
      <c r="E157" s="60" t="s">
        <v>14</v>
      </c>
      <c r="F157" s="249">
        <f t="shared" si="4"/>
        <v>75850.671000000002</v>
      </c>
      <c r="G157" s="250">
        <f t="shared" si="7"/>
        <v>194488.9</v>
      </c>
      <c r="H157" s="145">
        <v>75332.899999999994</v>
      </c>
      <c r="I157" s="145"/>
      <c r="J157" s="145">
        <v>49071</v>
      </c>
      <c r="K157" s="145"/>
      <c r="L157" s="145"/>
      <c r="M157" s="145"/>
      <c r="N157" s="145">
        <v>70085</v>
      </c>
      <c r="O157" s="145"/>
      <c r="P157" s="145"/>
      <c r="Q157" s="145"/>
      <c r="R157" s="145"/>
      <c r="S157" s="145"/>
    </row>
    <row r="158" spans="1:19" s="48" customFormat="1">
      <c r="A158" s="42">
        <v>0.39</v>
      </c>
      <c r="B158" s="42" t="s">
        <v>83</v>
      </c>
      <c r="C158" s="42" t="s">
        <v>56</v>
      </c>
      <c r="D158" s="42" t="s">
        <v>163</v>
      </c>
      <c r="E158" s="60" t="s">
        <v>13</v>
      </c>
      <c r="F158" s="249">
        <f t="shared" si="4"/>
        <v>446851.54800000001</v>
      </c>
      <c r="G158" s="250">
        <f t="shared" si="7"/>
        <v>1145773.2</v>
      </c>
      <c r="H158" s="145"/>
      <c r="I158" s="145">
        <v>58260</v>
      </c>
      <c r="J158" s="145">
        <v>116520</v>
      </c>
      <c r="K158" s="145">
        <v>109382</v>
      </c>
      <c r="L158" s="145">
        <v>264791.7</v>
      </c>
      <c r="M158" s="145">
        <v>271687</v>
      </c>
      <c r="N158" s="145">
        <v>114092.5</v>
      </c>
      <c r="O158" s="145">
        <v>177055</v>
      </c>
      <c r="P158" s="145">
        <v>33985</v>
      </c>
      <c r="Q158" s="145"/>
      <c r="R158" s="145"/>
      <c r="S158" s="145"/>
    </row>
    <row r="159" spans="1:19" s="48" customFormat="1">
      <c r="A159" s="42">
        <v>0.39</v>
      </c>
      <c r="B159" s="42" t="s">
        <v>83</v>
      </c>
      <c r="C159" s="42" t="s">
        <v>56</v>
      </c>
      <c r="D159" s="42" t="s">
        <v>164</v>
      </c>
      <c r="E159" s="60" t="s">
        <v>15</v>
      </c>
      <c r="F159" s="249">
        <f t="shared" si="4"/>
        <v>3480.75</v>
      </c>
      <c r="G159" s="250">
        <f t="shared" si="7"/>
        <v>8925</v>
      </c>
      <c r="H159" s="145"/>
      <c r="I159" s="145">
        <v>8925</v>
      </c>
      <c r="J159" s="145"/>
      <c r="K159" s="145"/>
      <c r="L159" s="145"/>
      <c r="M159" s="145"/>
      <c r="N159" s="145"/>
      <c r="O159" s="145"/>
      <c r="P159" s="145"/>
      <c r="Q159" s="145"/>
      <c r="R159" s="145"/>
      <c r="S159" s="145"/>
    </row>
    <row r="160" spans="1:19" s="48" customFormat="1">
      <c r="A160" s="42">
        <v>0.39</v>
      </c>
      <c r="B160" s="42" t="s">
        <v>83</v>
      </c>
      <c r="C160" s="42" t="s">
        <v>56</v>
      </c>
      <c r="D160" s="42" t="s">
        <v>165</v>
      </c>
      <c r="E160" s="60" t="s">
        <v>13</v>
      </c>
      <c r="F160" s="249">
        <f t="shared" si="4"/>
        <v>9694.23</v>
      </c>
      <c r="G160" s="250">
        <f t="shared" si="7"/>
        <v>24857</v>
      </c>
      <c r="H160" s="145"/>
      <c r="I160" s="145"/>
      <c r="J160" s="145"/>
      <c r="K160" s="145">
        <v>24857</v>
      </c>
      <c r="L160" s="145"/>
      <c r="M160" s="145"/>
      <c r="N160" s="145"/>
      <c r="O160" s="145"/>
      <c r="P160" s="145"/>
      <c r="Q160" s="145"/>
      <c r="R160" s="145"/>
      <c r="S160" s="145"/>
    </row>
    <row r="161" spans="1:19" s="48" customFormat="1">
      <c r="A161" s="42">
        <v>0.39</v>
      </c>
      <c r="B161" s="42" t="s">
        <v>83</v>
      </c>
      <c r="C161" s="42" t="s">
        <v>56</v>
      </c>
      <c r="D161" s="42" t="s">
        <v>165</v>
      </c>
      <c r="E161" s="60" t="s">
        <v>15</v>
      </c>
      <c r="F161" s="249">
        <f t="shared" si="4"/>
        <v>66183</v>
      </c>
      <c r="G161" s="250">
        <f t="shared" si="7"/>
        <v>169700</v>
      </c>
      <c r="H161" s="145"/>
      <c r="I161" s="145"/>
      <c r="J161" s="145"/>
      <c r="K161" s="145">
        <v>169700</v>
      </c>
      <c r="L161" s="145"/>
      <c r="M161" s="145"/>
      <c r="N161" s="145"/>
      <c r="O161" s="145"/>
      <c r="P161" s="145"/>
      <c r="Q161" s="145"/>
      <c r="R161" s="145"/>
      <c r="S161" s="145"/>
    </row>
    <row r="162" spans="1:19" s="48" customFormat="1">
      <c r="A162" s="42">
        <v>0.39</v>
      </c>
      <c r="B162" s="42" t="s">
        <v>83</v>
      </c>
      <c r="C162" s="42" t="s">
        <v>56</v>
      </c>
      <c r="D162" s="42" t="s">
        <v>166</v>
      </c>
      <c r="E162" s="60" t="s">
        <v>16</v>
      </c>
      <c r="F162" s="249">
        <f t="shared" si="4"/>
        <v>132600</v>
      </c>
      <c r="G162" s="250">
        <f t="shared" si="7"/>
        <v>340000</v>
      </c>
      <c r="H162" s="145"/>
      <c r="I162" s="145"/>
      <c r="J162" s="145"/>
      <c r="K162" s="145"/>
      <c r="L162" s="145"/>
      <c r="M162" s="145"/>
      <c r="N162" s="145">
        <v>340000</v>
      </c>
      <c r="O162" s="145"/>
      <c r="P162" s="145"/>
      <c r="Q162" s="145"/>
      <c r="R162" s="145"/>
      <c r="S162" s="145"/>
    </row>
    <row r="163" spans="1:19" s="48" customFormat="1">
      <c r="A163" s="42">
        <v>0.39</v>
      </c>
      <c r="B163" s="42" t="s">
        <v>83</v>
      </c>
      <c r="C163" s="42" t="s">
        <v>53</v>
      </c>
      <c r="D163" s="42" t="s">
        <v>166</v>
      </c>
      <c r="E163" s="60" t="s">
        <v>15</v>
      </c>
      <c r="F163" s="249">
        <f t="shared" si="4"/>
        <v>499200</v>
      </c>
      <c r="G163" s="250">
        <f t="shared" si="7"/>
        <v>1280000</v>
      </c>
      <c r="H163" s="145"/>
      <c r="I163" s="145">
        <v>640000</v>
      </c>
      <c r="J163" s="145">
        <v>640000</v>
      </c>
      <c r="K163" s="145">
        <v>0</v>
      </c>
      <c r="L163" s="145">
        <v>0</v>
      </c>
      <c r="M163" s="145"/>
      <c r="N163" s="145"/>
      <c r="O163" s="145"/>
      <c r="P163" s="145"/>
      <c r="Q163" s="145"/>
      <c r="R163" s="145"/>
      <c r="S163" s="145"/>
    </row>
    <row r="164" spans="1:19" s="48" customFormat="1">
      <c r="A164" s="42">
        <v>0.39</v>
      </c>
      <c r="B164" s="42" t="s">
        <v>83</v>
      </c>
      <c r="C164" s="42" t="s">
        <v>53</v>
      </c>
      <c r="D164" s="42" t="s">
        <v>167</v>
      </c>
      <c r="E164" s="60" t="s">
        <v>13</v>
      </c>
      <c r="F164" s="249">
        <f t="shared" si="4"/>
        <v>403997.59530000004</v>
      </c>
      <c r="G164" s="250">
        <f t="shared" si="7"/>
        <v>1035891.27</v>
      </c>
      <c r="H164" s="145"/>
      <c r="I164" s="145"/>
      <c r="J164" s="145">
        <v>195553.37</v>
      </c>
      <c r="K164" s="145">
        <v>272600.45</v>
      </c>
      <c r="L164" s="145">
        <v>272600.45</v>
      </c>
      <c r="M164" s="145">
        <v>98379</v>
      </c>
      <c r="N164" s="145">
        <v>98379</v>
      </c>
      <c r="O164" s="145">
        <v>98379</v>
      </c>
      <c r="P164" s="145"/>
      <c r="Q164" s="145"/>
      <c r="R164" s="145"/>
      <c r="S164" s="145"/>
    </row>
    <row r="165" spans="1:19" s="48" customFormat="1">
      <c r="A165" s="42">
        <v>0.39</v>
      </c>
      <c r="B165" s="42" t="s">
        <v>83</v>
      </c>
      <c r="C165" s="42" t="s">
        <v>53</v>
      </c>
      <c r="D165" s="42" t="s">
        <v>167</v>
      </c>
      <c r="E165" s="60" t="s">
        <v>14</v>
      </c>
      <c r="F165" s="249">
        <f t="shared" si="4"/>
        <v>88441.353000000003</v>
      </c>
      <c r="G165" s="250">
        <f t="shared" si="7"/>
        <v>226772.7</v>
      </c>
      <c r="H165" s="145"/>
      <c r="I165" s="145"/>
      <c r="J165" s="145"/>
      <c r="K165" s="145">
        <v>68360</v>
      </c>
      <c r="L165" s="145">
        <v>77157</v>
      </c>
      <c r="M165" s="145">
        <v>33355.699999999997</v>
      </c>
      <c r="N165" s="145">
        <v>30571</v>
      </c>
      <c r="O165" s="145">
        <v>17329</v>
      </c>
      <c r="P165" s="145"/>
      <c r="Q165" s="145"/>
      <c r="R165" s="145"/>
      <c r="S165" s="145"/>
    </row>
    <row r="166" spans="1:19" s="48" customFormat="1">
      <c r="A166" s="42">
        <v>0.39</v>
      </c>
      <c r="B166" s="42" t="s">
        <v>83</v>
      </c>
      <c r="C166" s="42" t="s">
        <v>53</v>
      </c>
      <c r="D166" s="42" t="s">
        <v>167</v>
      </c>
      <c r="E166" s="60" t="s">
        <v>15</v>
      </c>
      <c r="F166" s="249">
        <f t="shared" si="4"/>
        <v>40840.020000000004</v>
      </c>
      <c r="G166" s="250">
        <f t="shared" si="7"/>
        <v>104718</v>
      </c>
      <c r="H166" s="145"/>
      <c r="I166" s="145"/>
      <c r="J166" s="145">
        <v>60000</v>
      </c>
      <c r="K166" s="145">
        <v>44718</v>
      </c>
      <c r="L166" s="145"/>
      <c r="M166" s="145"/>
      <c r="N166" s="145"/>
      <c r="O166" s="145"/>
      <c r="P166" s="145"/>
      <c r="Q166" s="145"/>
      <c r="R166" s="145"/>
      <c r="S166" s="145"/>
    </row>
    <row r="167" spans="1:19" s="48" customFormat="1">
      <c r="A167" s="42">
        <v>0.39</v>
      </c>
      <c r="B167" s="42" t="s">
        <v>83</v>
      </c>
      <c r="C167" s="42" t="s">
        <v>56</v>
      </c>
      <c r="D167" s="42" t="s">
        <v>167</v>
      </c>
      <c r="E167" s="60" t="s">
        <v>17</v>
      </c>
      <c r="F167" s="249">
        <f t="shared" si="4"/>
        <v>142545</v>
      </c>
      <c r="G167" s="250">
        <f t="shared" si="7"/>
        <v>365500</v>
      </c>
      <c r="H167" s="145"/>
      <c r="I167" s="145"/>
      <c r="J167" s="145"/>
      <c r="K167" s="145">
        <v>365500</v>
      </c>
      <c r="L167" s="145"/>
      <c r="M167" s="145"/>
      <c r="N167" s="145"/>
      <c r="O167" s="145"/>
      <c r="P167" s="145"/>
      <c r="Q167" s="145"/>
      <c r="R167" s="145"/>
      <c r="S167" s="145"/>
    </row>
    <row r="168" spans="1:19" s="48" customFormat="1">
      <c r="A168" s="42">
        <v>0.39</v>
      </c>
      <c r="B168" s="42" t="s">
        <v>83</v>
      </c>
      <c r="C168" s="42" t="s">
        <v>56</v>
      </c>
      <c r="D168" s="42" t="s">
        <v>168</v>
      </c>
      <c r="E168" s="60" t="s">
        <v>17</v>
      </c>
      <c r="F168" s="249">
        <f t="shared" si="4"/>
        <v>778050</v>
      </c>
      <c r="G168" s="250">
        <f t="shared" si="7"/>
        <v>1995000</v>
      </c>
      <c r="H168" s="145"/>
      <c r="I168" s="145"/>
      <c r="J168" s="145">
        <v>285000</v>
      </c>
      <c r="K168" s="145">
        <v>285000</v>
      </c>
      <c r="L168" s="145">
        <v>285000</v>
      </c>
      <c r="M168" s="145">
        <v>285000</v>
      </c>
      <c r="N168" s="145">
        <v>285000</v>
      </c>
      <c r="O168" s="145">
        <v>285000</v>
      </c>
      <c r="P168" s="145">
        <v>285000</v>
      </c>
      <c r="Q168" s="145"/>
      <c r="R168" s="145"/>
      <c r="S168" s="145"/>
    </row>
    <row r="169" spans="1:19" s="48" customFormat="1">
      <c r="A169" s="42">
        <v>0.39</v>
      </c>
      <c r="B169" s="42" t="s">
        <v>83</v>
      </c>
      <c r="C169" s="42" t="s">
        <v>56</v>
      </c>
      <c r="D169" s="42" t="s">
        <v>169</v>
      </c>
      <c r="E169" s="60" t="s">
        <v>13</v>
      </c>
      <c r="F169" s="249">
        <f t="shared" si="4"/>
        <v>6627.0749999999998</v>
      </c>
      <c r="G169" s="250">
        <f t="shared" si="7"/>
        <v>16992.5</v>
      </c>
      <c r="H169" s="145"/>
      <c r="I169" s="145"/>
      <c r="J169" s="145">
        <v>16992.5</v>
      </c>
      <c r="K169" s="145"/>
      <c r="L169" s="145"/>
      <c r="M169" s="145"/>
      <c r="N169" s="145"/>
      <c r="O169" s="145"/>
      <c r="P169" s="145"/>
      <c r="Q169" s="145"/>
      <c r="R169" s="145"/>
      <c r="S169" s="145"/>
    </row>
    <row r="170" spans="1:19" s="48" customFormat="1">
      <c r="A170" s="42">
        <v>0.39</v>
      </c>
      <c r="B170" s="42" t="s">
        <v>83</v>
      </c>
      <c r="C170" s="42" t="s">
        <v>53</v>
      </c>
      <c r="D170" s="42" t="s">
        <v>169</v>
      </c>
      <c r="E170" s="60" t="s">
        <v>15</v>
      </c>
      <c r="F170" s="249">
        <f t="shared" si="4"/>
        <v>35392.5</v>
      </c>
      <c r="G170" s="250">
        <f t="shared" si="7"/>
        <v>90750</v>
      </c>
      <c r="H170" s="145"/>
      <c r="I170" s="145"/>
      <c r="J170" s="145">
        <v>90750</v>
      </c>
      <c r="K170" s="145"/>
      <c r="L170" s="145"/>
      <c r="M170" s="145"/>
      <c r="N170" s="145"/>
      <c r="O170" s="145"/>
      <c r="P170" s="145"/>
      <c r="Q170" s="145"/>
      <c r="R170" s="145"/>
      <c r="S170" s="145"/>
    </row>
    <row r="171" spans="1:19" s="48" customFormat="1">
      <c r="A171" s="42">
        <v>0.39</v>
      </c>
      <c r="B171" s="42" t="s">
        <v>83</v>
      </c>
      <c r="C171" s="42" t="s">
        <v>53</v>
      </c>
      <c r="D171" s="42" t="s">
        <v>170</v>
      </c>
      <c r="E171" s="60" t="s">
        <v>13</v>
      </c>
      <c r="F171" s="249">
        <f t="shared" si="4"/>
        <v>118382.69547000001</v>
      </c>
      <c r="G171" s="250">
        <f t="shared" si="7"/>
        <v>303545.37300000002</v>
      </c>
      <c r="H171" s="145"/>
      <c r="I171" s="145"/>
      <c r="J171" s="145">
        <v>303545.37300000002</v>
      </c>
      <c r="K171" s="145"/>
      <c r="L171" s="145"/>
      <c r="M171" s="145"/>
      <c r="N171" s="145"/>
      <c r="O171" s="145"/>
      <c r="P171" s="145"/>
      <c r="Q171" s="145"/>
      <c r="R171" s="145"/>
      <c r="S171" s="145"/>
    </row>
    <row r="172" spans="1:19" s="48" customFormat="1">
      <c r="A172" s="42">
        <v>0.39</v>
      </c>
      <c r="B172" s="42" t="s">
        <v>83</v>
      </c>
      <c r="C172" s="42" t="s">
        <v>53</v>
      </c>
      <c r="D172" s="42" t="s">
        <v>170</v>
      </c>
      <c r="E172" s="60" t="s">
        <v>16</v>
      </c>
      <c r="F172" s="249">
        <f t="shared" si="4"/>
        <v>232910.66630000001</v>
      </c>
      <c r="G172" s="250">
        <f t="shared" si="7"/>
        <v>597206.83666666667</v>
      </c>
      <c r="H172" s="145"/>
      <c r="I172" s="145"/>
      <c r="J172" s="145">
        <v>174610.83666666667</v>
      </c>
      <c r="K172" s="145">
        <v>111996</v>
      </c>
      <c r="L172" s="145">
        <v>310600</v>
      </c>
      <c r="M172" s="145"/>
      <c r="N172" s="145"/>
      <c r="O172" s="145"/>
      <c r="P172" s="145"/>
      <c r="Q172" s="145"/>
      <c r="R172" s="145"/>
      <c r="S172" s="145"/>
    </row>
    <row r="173" spans="1:19" s="48" customFormat="1">
      <c r="A173" s="42">
        <v>0.39</v>
      </c>
      <c r="B173" s="42" t="s">
        <v>83</v>
      </c>
      <c r="C173" s="42" t="s">
        <v>53</v>
      </c>
      <c r="D173" s="42" t="s">
        <v>170</v>
      </c>
      <c r="E173" s="60" t="s">
        <v>15</v>
      </c>
      <c r="F173" s="249">
        <f t="shared" si="4"/>
        <v>155122.5</v>
      </c>
      <c r="G173" s="250">
        <f t="shared" si="7"/>
        <v>397750</v>
      </c>
      <c r="H173" s="145"/>
      <c r="I173" s="145"/>
      <c r="J173" s="145"/>
      <c r="K173" s="145"/>
      <c r="L173" s="145">
        <v>262500</v>
      </c>
      <c r="M173" s="145">
        <v>100000</v>
      </c>
      <c r="N173" s="145">
        <v>35250</v>
      </c>
      <c r="O173" s="145"/>
      <c r="P173" s="145"/>
      <c r="Q173" s="145"/>
      <c r="R173" s="145"/>
      <c r="S173" s="145"/>
    </row>
    <row r="174" spans="1:19" s="48" customFormat="1">
      <c r="A174" s="42">
        <v>0.39</v>
      </c>
      <c r="B174" s="42" t="s">
        <v>83</v>
      </c>
      <c r="C174" s="42" t="s">
        <v>53</v>
      </c>
      <c r="D174" s="42" t="s">
        <v>170</v>
      </c>
      <c r="E174" s="60" t="s">
        <v>17</v>
      </c>
      <c r="F174" s="249">
        <f t="shared" si="4"/>
        <v>444600</v>
      </c>
      <c r="G174" s="250">
        <f t="shared" si="7"/>
        <v>1140000</v>
      </c>
      <c r="H174" s="145"/>
      <c r="I174" s="145"/>
      <c r="J174" s="145"/>
      <c r="K174" s="145"/>
      <c r="L174" s="145"/>
      <c r="M174" s="145"/>
      <c r="N174" s="145">
        <v>400000</v>
      </c>
      <c r="O174" s="145">
        <v>370000</v>
      </c>
      <c r="P174" s="145">
        <v>370000</v>
      </c>
      <c r="Q174" s="145"/>
      <c r="R174" s="145"/>
      <c r="S174" s="145"/>
    </row>
    <row r="175" spans="1:19" s="48" customFormat="1">
      <c r="A175" s="42">
        <v>0.39</v>
      </c>
      <c r="B175" s="42" t="s">
        <v>83</v>
      </c>
      <c r="C175" s="42" t="s">
        <v>53</v>
      </c>
      <c r="D175" s="42" t="s">
        <v>171</v>
      </c>
      <c r="E175" s="60" t="s">
        <v>13</v>
      </c>
      <c r="F175" s="249">
        <f t="shared" ref="F175:F187" si="8">G175*A175</f>
        <v>5680.35</v>
      </c>
      <c r="G175" s="250">
        <f t="shared" ref="G175:G187" si="9">SUM(H175:S175)</f>
        <v>14565</v>
      </c>
      <c r="H175" s="145"/>
      <c r="I175" s="145"/>
      <c r="J175" s="145"/>
      <c r="K175" s="145"/>
      <c r="L175" s="145">
        <v>14565</v>
      </c>
      <c r="M175" s="145"/>
      <c r="N175" s="145"/>
      <c r="O175" s="145"/>
      <c r="P175" s="145"/>
      <c r="Q175" s="145"/>
      <c r="R175" s="145"/>
      <c r="S175" s="145"/>
    </row>
    <row r="176" spans="1:19" s="48" customFormat="1">
      <c r="A176" s="42">
        <v>0.39</v>
      </c>
      <c r="B176" s="42" t="s">
        <v>83</v>
      </c>
      <c r="C176" s="42" t="s">
        <v>53</v>
      </c>
      <c r="D176" s="42" t="s">
        <v>171</v>
      </c>
      <c r="E176" s="60" t="s">
        <v>15</v>
      </c>
      <c r="F176" s="249">
        <f t="shared" si="8"/>
        <v>8704.8000000000011</v>
      </c>
      <c r="G176" s="250">
        <f t="shared" si="9"/>
        <v>22320</v>
      </c>
      <c r="H176" s="145"/>
      <c r="I176" s="145"/>
      <c r="J176" s="145"/>
      <c r="K176" s="145"/>
      <c r="L176" s="145">
        <v>22320</v>
      </c>
      <c r="M176" s="145"/>
      <c r="N176" s="145"/>
      <c r="O176" s="145"/>
      <c r="P176" s="145"/>
      <c r="Q176" s="145"/>
      <c r="R176" s="145"/>
      <c r="S176" s="145"/>
    </row>
    <row r="177" spans="1:19" s="48" customFormat="1">
      <c r="A177" s="42">
        <v>0.39</v>
      </c>
      <c r="B177" s="42" t="s">
        <v>83</v>
      </c>
      <c r="C177" s="42" t="s">
        <v>53</v>
      </c>
      <c r="D177" s="42" t="s">
        <v>172</v>
      </c>
      <c r="E177" s="60" t="s">
        <v>13</v>
      </c>
      <c r="F177" s="249">
        <f t="shared" si="8"/>
        <v>122860.53</v>
      </c>
      <c r="G177" s="250">
        <f t="shared" si="9"/>
        <v>315027</v>
      </c>
      <c r="H177" s="145"/>
      <c r="I177" s="145"/>
      <c r="J177" s="145"/>
      <c r="K177" s="145"/>
      <c r="L177" s="145"/>
      <c r="M177" s="145"/>
      <c r="N177" s="145"/>
      <c r="O177" s="145">
        <v>51793</v>
      </c>
      <c r="P177" s="145">
        <v>263234</v>
      </c>
      <c r="Q177" s="145"/>
      <c r="R177" s="145"/>
      <c r="S177" s="145"/>
    </row>
    <row r="178" spans="1:19" s="48" customFormat="1">
      <c r="A178" s="42">
        <v>0.39</v>
      </c>
      <c r="B178" s="42" t="s">
        <v>83</v>
      </c>
      <c r="C178" s="42" t="s">
        <v>53</v>
      </c>
      <c r="D178" s="42" t="s">
        <v>172</v>
      </c>
      <c r="E178" s="60" t="s">
        <v>16</v>
      </c>
      <c r="F178" s="249">
        <f t="shared" si="8"/>
        <v>52461.630000000005</v>
      </c>
      <c r="G178" s="250">
        <f t="shared" si="9"/>
        <v>134517</v>
      </c>
      <c r="H178" s="145"/>
      <c r="I178" s="145"/>
      <c r="J178" s="145"/>
      <c r="K178" s="145"/>
      <c r="L178" s="145"/>
      <c r="M178" s="145"/>
      <c r="N178" s="145"/>
      <c r="O178" s="145">
        <v>62050</v>
      </c>
      <c r="P178" s="145">
        <v>72467</v>
      </c>
      <c r="Q178" s="145"/>
      <c r="R178" s="145"/>
      <c r="S178" s="145"/>
    </row>
    <row r="179" spans="1:19" s="48" customFormat="1">
      <c r="A179" s="42">
        <v>0.39</v>
      </c>
      <c r="B179" s="42" t="s">
        <v>83</v>
      </c>
      <c r="C179" s="42" t="s">
        <v>53</v>
      </c>
      <c r="D179" s="42" t="s">
        <v>172</v>
      </c>
      <c r="E179" s="60" t="s">
        <v>15</v>
      </c>
      <c r="F179" s="249">
        <f t="shared" si="8"/>
        <v>27641.25</v>
      </c>
      <c r="G179" s="250">
        <f t="shared" si="9"/>
        <v>70875</v>
      </c>
      <c r="H179" s="145"/>
      <c r="I179" s="145"/>
      <c r="J179" s="145"/>
      <c r="K179" s="145"/>
      <c r="L179" s="145"/>
      <c r="M179" s="145"/>
      <c r="N179" s="145"/>
      <c r="O179" s="145">
        <v>23625</v>
      </c>
      <c r="P179" s="145">
        <v>47250</v>
      </c>
      <c r="Q179" s="145"/>
      <c r="R179" s="145"/>
      <c r="S179" s="145"/>
    </row>
    <row r="180" spans="1:19" s="48" customFormat="1">
      <c r="A180" s="42">
        <v>0.39</v>
      </c>
      <c r="B180" s="42" t="s">
        <v>83</v>
      </c>
      <c r="C180" s="42" t="s">
        <v>53</v>
      </c>
      <c r="D180" s="42" t="s">
        <v>172</v>
      </c>
      <c r="E180" s="60" t="s">
        <v>17</v>
      </c>
      <c r="F180" s="249">
        <f t="shared" si="8"/>
        <v>87027.72</v>
      </c>
      <c r="G180" s="250">
        <f t="shared" si="9"/>
        <v>223148</v>
      </c>
      <c r="H180" s="145"/>
      <c r="I180" s="145"/>
      <c r="J180" s="145"/>
      <c r="K180" s="145"/>
      <c r="L180" s="145"/>
      <c r="M180" s="145"/>
      <c r="N180" s="145"/>
      <c r="O180" s="145">
        <v>111574</v>
      </c>
      <c r="P180" s="145">
        <v>111574</v>
      </c>
      <c r="Q180" s="145"/>
      <c r="R180" s="145"/>
      <c r="S180" s="145"/>
    </row>
    <row r="181" spans="1:19" s="48" customFormat="1">
      <c r="A181" s="42">
        <v>0.39</v>
      </c>
      <c r="B181" s="42" t="s">
        <v>83</v>
      </c>
      <c r="C181" s="42" t="s">
        <v>53</v>
      </c>
      <c r="D181" s="42" t="s">
        <v>190</v>
      </c>
      <c r="E181" s="60" t="s">
        <v>13</v>
      </c>
      <c r="F181" s="249">
        <f t="shared" si="8"/>
        <v>7573.8</v>
      </c>
      <c r="G181" s="250">
        <f t="shared" si="9"/>
        <v>19420</v>
      </c>
      <c r="H181" s="145"/>
      <c r="I181" s="145"/>
      <c r="J181" s="145"/>
      <c r="K181" s="145"/>
      <c r="L181" s="145"/>
      <c r="M181" s="145"/>
      <c r="N181" s="145"/>
      <c r="O181" s="145"/>
      <c r="P181" s="145">
        <v>19420</v>
      </c>
      <c r="Q181" s="145"/>
      <c r="R181" s="145"/>
      <c r="S181" s="145"/>
    </row>
    <row r="182" spans="1:19" s="48" customFormat="1">
      <c r="A182" s="42">
        <v>0.39</v>
      </c>
      <c r="B182" s="42" t="s">
        <v>83</v>
      </c>
      <c r="C182" s="42" t="s">
        <v>53</v>
      </c>
      <c r="D182" s="42" t="s">
        <v>190</v>
      </c>
      <c r="E182" s="60" t="s">
        <v>15</v>
      </c>
      <c r="F182" s="249">
        <f t="shared" si="8"/>
        <v>39341.25</v>
      </c>
      <c r="G182" s="250">
        <f t="shared" si="9"/>
        <v>100875</v>
      </c>
      <c r="H182" s="145"/>
      <c r="I182" s="145"/>
      <c r="J182" s="145"/>
      <c r="K182" s="145"/>
      <c r="L182" s="145"/>
      <c r="M182" s="145"/>
      <c r="N182" s="145"/>
      <c r="O182" s="145"/>
      <c r="P182" s="145">
        <v>100875</v>
      </c>
      <c r="Q182" s="145"/>
      <c r="R182" s="145"/>
      <c r="S182" s="145"/>
    </row>
    <row r="183" spans="1:19" s="48" customFormat="1">
      <c r="A183" s="42">
        <v>0.39</v>
      </c>
      <c r="B183" s="42" t="s">
        <v>83</v>
      </c>
      <c r="C183" s="42" t="s">
        <v>49</v>
      </c>
      <c r="D183" s="368" t="s">
        <v>191</v>
      </c>
      <c r="E183" s="60" t="s">
        <v>17</v>
      </c>
      <c r="F183" s="249">
        <f t="shared" si="8"/>
        <v>134550</v>
      </c>
      <c r="G183" s="250">
        <f t="shared" si="9"/>
        <v>345000</v>
      </c>
      <c r="H183" s="145"/>
      <c r="I183" s="145"/>
      <c r="J183" s="145"/>
      <c r="K183" s="145"/>
      <c r="L183" s="145"/>
      <c r="M183" s="145"/>
      <c r="N183" s="145"/>
      <c r="O183" s="145"/>
      <c r="P183" s="145">
        <v>345000</v>
      </c>
      <c r="Q183" s="145"/>
      <c r="R183" s="145"/>
      <c r="S183" s="145"/>
    </row>
    <row r="184" spans="1:19" s="48" customFormat="1">
      <c r="A184" s="42">
        <v>0.39</v>
      </c>
      <c r="B184" s="42" t="s">
        <v>83</v>
      </c>
      <c r="C184" s="42" t="s">
        <v>53</v>
      </c>
      <c r="D184" s="368" t="s">
        <v>192</v>
      </c>
      <c r="E184" s="60" t="s">
        <v>13</v>
      </c>
      <c r="F184" s="249">
        <f t="shared" si="8"/>
        <v>70220.67</v>
      </c>
      <c r="G184" s="250">
        <f t="shared" si="9"/>
        <v>180053</v>
      </c>
      <c r="H184" s="145"/>
      <c r="I184" s="145"/>
      <c r="J184" s="145"/>
      <c r="K184" s="145"/>
      <c r="L184" s="145"/>
      <c r="M184" s="145"/>
      <c r="N184" s="145"/>
      <c r="O184" s="145"/>
      <c r="P184" s="145">
        <v>180053</v>
      </c>
      <c r="Q184" s="145"/>
      <c r="R184" s="145"/>
      <c r="S184" s="145"/>
    </row>
    <row r="185" spans="1:19" s="48" customFormat="1">
      <c r="A185" s="42">
        <v>0.39</v>
      </c>
      <c r="B185" s="42" t="s">
        <v>83</v>
      </c>
      <c r="C185" s="42" t="s">
        <v>53</v>
      </c>
      <c r="D185" s="368" t="s">
        <v>192</v>
      </c>
      <c r="E185" s="60" t="s">
        <v>14</v>
      </c>
      <c r="F185" s="249">
        <f t="shared" si="8"/>
        <v>4188.6000000000004</v>
      </c>
      <c r="G185" s="250">
        <f t="shared" si="9"/>
        <v>10740</v>
      </c>
      <c r="H185" s="145"/>
      <c r="I185" s="145"/>
      <c r="J185" s="145"/>
      <c r="K185" s="145"/>
      <c r="L185" s="145"/>
      <c r="M185" s="145"/>
      <c r="N185" s="145"/>
      <c r="O185" s="145"/>
      <c r="P185" s="145">
        <v>10740</v>
      </c>
      <c r="Q185" s="145"/>
      <c r="R185" s="145"/>
      <c r="S185" s="145"/>
    </row>
    <row r="186" spans="1:19" s="48" customFormat="1">
      <c r="A186" s="42">
        <v>0.39</v>
      </c>
      <c r="B186" s="42" t="s">
        <v>83</v>
      </c>
      <c r="C186" s="42" t="s">
        <v>53</v>
      </c>
      <c r="D186" s="368" t="s">
        <v>192</v>
      </c>
      <c r="E186" s="60" t="s">
        <v>16</v>
      </c>
      <c r="F186" s="249">
        <f t="shared" si="8"/>
        <v>77307.75</v>
      </c>
      <c r="G186" s="250">
        <f t="shared" si="9"/>
        <v>198225</v>
      </c>
      <c r="H186" s="145"/>
      <c r="I186" s="145"/>
      <c r="J186" s="145"/>
      <c r="K186" s="145"/>
      <c r="L186" s="145"/>
      <c r="M186" s="145"/>
      <c r="N186" s="145"/>
      <c r="O186" s="145"/>
      <c r="P186" s="145">
        <v>198225</v>
      </c>
      <c r="Q186" s="145"/>
      <c r="R186" s="145"/>
      <c r="S186" s="145"/>
    </row>
    <row r="187" spans="1:19" s="48" customFormat="1">
      <c r="A187" s="42">
        <v>0.39</v>
      </c>
      <c r="B187" s="42" t="s">
        <v>83</v>
      </c>
      <c r="C187" s="42" t="s">
        <v>53</v>
      </c>
      <c r="D187" s="368" t="s">
        <v>192</v>
      </c>
      <c r="E187" s="60" t="s">
        <v>15</v>
      </c>
      <c r="F187" s="249">
        <f t="shared" si="8"/>
        <v>27699.75</v>
      </c>
      <c r="G187" s="250">
        <f t="shared" si="9"/>
        <v>71025</v>
      </c>
      <c r="H187" s="145"/>
      <c r="I187" s="145"/>
      <c r="J187" s="145"/>
      <c r="K187" s="145"/>
      <c r="L187" s="145"/>
      <c r="M187" s="145"/>
      <c r="N187" s="145"/>
      <c r="O187" s="145"/>
      <c r="P187" s="145">
        <v>71025</v>
      </c>
      <c r="Q187" s="145"/>
      <c r="R187" s="145"/>
      <c r="S187" s="145"/>
    </row>
    <row r="188" spans="1:19" s="48" customFormat="1">
      <c r="A188" s="42">
        <v>7.0000000000000001E-3</v>
      </c>
      <c r="B188" s="42" t="s">
        <v>86</v>
      </c>
      <c r="C188" s="55" t="s">
        <v>53</v>
      </c>
      <c r="D188" s="42" t="s">
        <v>87</v>
      </c>
      <c r="E188" s="60" t="s">
        <v>13</v>
      </c>
      <c r="F188" s="249">
        <f t="shared" si="4"/>
        <v>45107.643000000004</v>
      </c>
      <c r="G188" s="251">
        <f t="shared" ref="G188" si="10">SUM(H188:S188)</f>
        <v>6443949</v>
      </c>
      <c r="H188" s="61"/>
      <c r="I188" s="61">
        <v>2147983</v>
      </c>
      <c r="J188" s="61">
        <v>2147983</v>
      </c>
      <c r="K188" s="61">
        <v>2147983</v>
      </c>
      <c r="L188" s="61"/>
      <c r="M188" s="61"/>
      <c r="N188" s="61"/>
      <c r="O188" s="61"/>
      <c r="P188" s="61"/>
      <c r="Q188" s="61"/>
      <c r="R188" s="61"/>
      <c r="S188" s="61"/>
    </row>
    <row r="189" spans="1:19" s="48" customFormat="1">
      <c r="A189" s="42">
        <v>7.0000000000000001E-3</v>
      </c>
      <c r="B189" s="42" t="s">
        <v>86</v>
      </c>
      <c r="C189" s="55" t="s">
        <v>53</v>
      </c>
      <c r="D189" s="42" t="s">
        <v>87</v>
      </c>
      <c r="E189" s="60" t="s">
        <v>17</v>
      </c>
      <c r="F189" s="249">
        <f t="shared" si="4"/>
        <v>76072.5</v>
      </c>
      <c r="G189" s="251">
        <f t="shared" ref="G189:G259" si="11">SUM(H189:S189)</f>
        <v>10867500</v>
      </c>
      <c r="H189" s="61"/>
      <c r="I189" s="61">
        <v>4657500</v>
      </c>
      <c r="J189" s="61">
        <v>6210000</v>
      </c>
      <c r="K189" s="61"/>
      <c r="L189" s="61"/>
      <c r="M189" s="61"/>
      <c r="N189" s="61"/>
      <c r="O189" s="61"/>
      <c r="P189" s="61"/>
      <c r="Q189" s="61"/>
      <c r="R189" s="61"/>
      <c r="S189" s="61"/>
    </row>
    <row r="190" spans="1:19" s="48" customFormat="1">
      <c r="A190" s="42">
        <v>7.0000000000000001E-3</v>
      </c>
      <c r="B190" s="42" t="s">
        <v>86</v>
      </c>
      <c r="C190" s="55" t="s">
        <v>53</v>
      </c>
      <c r="D190" s="42" t="s">
        <v>87</v>
      </c>
      <c r="E190" s="60" t="s">
        <v>14</v>
      </c>
      <c r="F190" s="249">
        <f t="shared" si="4"/>
        <v>343000</v>
      </c>
      <c r="G190" s="251">
        <f t="shared" si="11"/>
        <v>49000000</v>
      </c>
      <c r="H190" s="61"/>
      <c r="I190" s="61">
        <v>24500000</v>
      </c>
      <c r="J190" s="61">
        <v>24500000</v>
      </c>
      <c r="K190" s="61"/>
      <c r="L190" s="61"/>
      <c r="M190" s="61"/>
      <c r="N190" s="61"/>
      <c r="O190" s="61"/>
      <c r="P190" s="61"/>
      <c r="Q190" s="61"/>
      <c r="R190" s="61"/>
      <c r="S190" s="61"/>
    </row>
    <row r="191" spans="1:19" s="48" customFormat="1">
      <c r="A191" s="42">
        <v>7.0000000000000001E-3</v>
      </c>
      <c r="B191" s="42" t="s">
        <v>86</v>
      </c>
      <c r="C191" s="42" t="s">
        <v>49</v>
      </c>
      <c r="D191" s="42" t="s">
        <v>52</v>
      </c>
      <c r="E191" s="60" t="s">
        <v>13</v>
      </c>
      <c r="F191" s="249">
        <f t="shared" ref="F191:F271" si="12">G191*A191</f>
        <v>107375.072</v>
      </c>
      <c r="G191" s="251">
        <f t="shared" si="11"/>
        <v>15339296</v>
      </c>
      <c r="H191" s="61"/>
      <c r="I191" s="61"/>
      <c r="J191" s="61">
        <v>7669648</v>
      </c>
      <c r="K191" s="61">
        <v>7669648</v>
      </c>
      <c r="L191" s="61"/>
      <c r="M191" s="61"/>
      <c r="N191" s="61"/>
      <c r="O191" s="61"/>
      <c r="P191" s="61"/>
      <c r="Q191" s="61"/>
      <c r="R191" s="61"/>
      <c r="S191" s="61"/>
    </row>
    <row r="192" spans="1:19" s="48" customFormat="1">
      <c r="A192" s="42">
        <v>7.0000000000000001E-3</v>
      </c>
      <c r="B192" s="42" t="s">
        <v>86</v>
      </c>
      <c r="C192" s="42" t="s">
        <v>49</v>
      </c>
      <c r="D192" s="42" t="s">
        <v>52</v>
      </c>
      <c r="E192" s="60" t="s">
        <v>17</v>
      </c>
      <c r="F192" s="249">
        <f t="shared" si="12"/>
        <v>234622.5</v>
      </c>
      <c r="G192" s="251">
        <f t="shared" si="11"/>
        <v>33517500</v>
      </c>
      <c r="H192" s="61"/>
      <c r="I192" s="61"/>
      <c r="J192" s="61">
        <v>21860000</v>
      </c>
      <c r="K192" s="61">
        <v>11657500</v>
      </c>
      <c r="L192" s="61"/>
      <c r="M192" s="61"/>
      <c r="N192" s="61"/>
      <c r="O192" s="61"/>
      <c r="P192" s="61"/>
      <c r="Q192" s="61"/>
      <c r="R192" s="61"/>
      <c r="S192" s="61"/>
    </row>
    <row r="193" spans="1:19" s="48" customFormat="1">
      <c r="A193" s="42">
        <v>7.0000000000000001E-3</v>
      </c>
      <c r="B193" s="42" t="s">
        <v>86</v>
      </c>
      <c r="C193" s="55" t="s">
        <v>53</v>
      </c>
      <c r="D193" s="42" t="s">
        <v>88</v>
      </c>
      <c r="E193" s="60" t="s">
        <v>17</v>
      </c>
      <c r="F193" s="249">
        <f t="shared" si="12"/>
        <v>129710</v>
      </c>
      <c r="G193" s="251">
        <f t="shared" si="11"/>
        <v>18530000</v>
      </c>
      <c r="H193" s="61"/>
      <c r="I193" s="61"/>
      <c r="J193" s="61"/>
      <c r="K193" s="61">
        <v>8820000</v>
      </c>
      <c r="L193" s="61">
        <v>6210000</v>
      </c>
      <c r="M193" s="61">
        <v>3500000</v>
      </c>
      <c r="N193" s="61"/>
      <c r="O193" s="61"/>
      <c r="P193" s="61"/>
      <c r="Q193" s="61"/>
      <c r="R193" s="61"/>
      <c r="S193" s="61"/>
    </row>
    <row r="194" spans="1:19" s="48" customFormat="1">
      <c r="A194" s="42">
        <v>7.0000000000000001E-3</v>
      </c>
      <c r="B194" s="42" t="s">
        <v>86</v>
      </c>
      <c r="C194" s="55" t="s">
        <v>53</v>
      </c>
      <c r="D194" s="42" t="s">
        <v>88</v>
      </c>
      <c r="E194" s="60" t="s">
        <v>14</v>
      </c>
      <c r="F194" s="249">
        <f t="shared" si="12"/>
        <v>389200</v>
      </c>
      <c r="G194" s="251">
        <f t="shared" si="11"/>
        <v>55600000</v>
      </c>
      <c r="H194" s="61"/>
      <c r="I194" s="61"/>
      <c r="J194" s="61"/>
      <c r="K194" s="61">
        <v>27800000</v>
      </c>
      <c r="L194" s="61">
        <v>16000000</v>
      </c>
      <c r="M194" s="61">
        <v>11800000</v>
      </c>
      <c r="N194" s="61"/>
      <c r="O194" s="61"/>
      <c r="P194" s="61"/>
      <c r="Q194" s="61"/>
      <c r="R194" s="61"/>
      <c r="S194" s="61"/>
    </row>
    <row r="195" spans="1:19" s="48" customFormat="1">
      <c r="A195" s="42">
        <v>7.0000000000000001E-3</v>
      </c>
      <c r="B195" s="42" t="s">
        <v>86</v>
      </c>
      <c r="C195" s="55" t="s">
        <v>53</v>
      </c>
      <c r="D195" s="42" t="s">
        <v>88</v>
      </c>
      <c r="E195" s="60" t="s">
        <v>15</v>
      </c>
      <c r="F195" s="249">
        <f t="shared" si="12"/>
        <v>92725.5</v>
      </c>
      <c r="G195" s="251">
        <f t="shared" si="11"/>
        <v>13246500</v>
      </c>
      <c r="H195" s="61"/>
      <c r="I195" s="61"/>
      <c r="J195" s="61"/>
      <c r="K195" s="61">
        <v>11606500</v>
      </c>
      <c r="L195" s="61">
        <v>820000</v>
      </c>
      <c r="M195" s="61">
        <v>820000</v>
      </c>
      <c r="N195" s="61"/>
      <c r="O195" s="61"/>
      <c r="P195" s="61"/>
      <c r="Q195" s="61"/>
      <c r="R195" s="61"/>
      <c r="S195" s="61"/>
    </row>
    <row r="196" spans="1:19" s="48" customFormat="1">
      <c r="A196" s="42">
        <v>7.0000000000000001E-3</v>
      </c>
      <c r="B196" s="42" t="s">
        <v>86</v>
      </c>
      <c r="C196" s="55" t="s">
        <v>56</v>
      </c>
      <c r="D196" s="42" t="s">
        <v>193</v>
      </c>
      <c r="E196" s="60" t="s">
        <v>13</v>
      </c>
      <c r="F196" s="249">
        <f t="shared" si="12"/>
        <v>0</v>
      </c>
      <c r="G196" s="251">
        <f t="shared" si="11"/>
        <v>0</v>
      </c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</row>
    <row r="197" spans="1:19" s="48" customFormat="1">
      <c r="A197" s="42">
        <v>7.0000000000000001E-3</v>
      </c>
      <c r="B197" s="42" t="s">
        <v>86</v>
      </c>
      <c r="C197" s="55" t="s">
        <v>56</v>
      </c>
      <c r="D197" s="42" t="s">
        <v>193</v>
      </c>
      <c r="E197" s="60" t="s">
        <v>17</v>
      </c>
      <c r="F197" s="249">
        <f t="shared" si="12"/>
        <v>123970</v>
      </c>
      <c r="G197" s="251">
        <f t="shared" si="11"/>
        <v>17710000</v>
      </c>
      <c r="H197" s="61"/>
      <c r="I197" s="61"/>
      <c r="J197" s="61"/>
      <c r="K197" s="61"/>
      <c r="L197" s="61"/>
      <c r="M197" s="61"/>
      <c r="N197" s="61"/>
      <c r="O197" s="61"/>
      <c r="P197" s="61">
        <v>17710000</v>
      </c>
      <c r="Q197" s="61"/>
      <c r="R197" s="61"/>
      <c r="S197" s="61"/>
    </row>
    <row r="198" spans="1:19" s="48" customFormat="1">
      <c r="A198" s="42">
        <v>7.0000000000000001E-3</v>
      </c>
      <c r="B198" s="42" t="s">
        <v>86</v>
      </c>
      <c r="C198" s="55" t="s">
        <v>56</v>
      </c>
      <c r="D198" s="42" t="s">
        <v>193</v>
      </c>
      <c r="E198" s="60" t="s">
        <v>14</v>
      </c>
      <c r="F198" s="249">
        <f t="shared" si="12"/>
        <v>154000</v>
      </c>
      <c r="G198" s="251">
        <f t="shared" si="11"/>
        <v>22000000</v>
      </c>
      <c r="H198" s="61"/>
      <c r="I198" s="61"/>
      <c r="J198" s="61"/>
      <c r="K198" s="61"/>
      <c r="L198" s="61"/>
      <c r="M198" s="61"/>
      <c r="N198" s="61"/>
      <c r="O198" s="61"/>
      <c r="P198" s="61">
        <v>22000000</v>
      </c>
      <c r="Q198" s="61"/>
      <c r="R198" s="61"/>
      <c r="S198" s="61"/>
    </row>
    <row r="199" spans="1:19" s="48" customFormat="1">
      <c r="A199" s="42">
        <v>7.0000000000000001E-3</v>
      </c>
      <c r="B199" s="42" t="s">
        <v>86</v>
      </c>
      <c r="C199" s="55" t="s">
        <v>56</v>
      </c>
      <c r="D199" s="42" t="s">
        <v>193</v>
      </c>
      <c r="E199" s="60" t="s">
        <v>15</v>
      </c>
      <c r="F199" s="249">
        <f t="shared" si="12"/>
        <v>70700</v>
      </c>
      <c r="G199" s="251">
        <f t="shared" si="11"/>
        <v>10100000</v>
      </c>
      <c r="H199" s="61"/>
      <c r="I199" s="61"/>
      <c r="J199" s="61"/>
      <c r="K199" s="61"/>
      <c r="L199" s="61"/>
      <c r="M199" s="61"/>
      <c r="N199" s="61"/>
      <c r="O199" s="61"/>
      <c r="P199" s="61">
        <v>10100000</v>
      </c>
      <c r="Q199" s="61"/>
      <c r="R199" s="61"/>
      <c r="S199" s="61"/>
    </row>
    <row r="200" spans="1:19" s="48" customFormat="1">
      <c r="A200" s="42">
        <v>7.0000000000000001E-3</v>
      </c>
      <c r="B200" s="42" t="s">
        <v>86</v>
      </c>
      <c r="C200" s="55" t="s">
        <v>56</v>
      </c>
      <c r="D200" s="42" t="s">
        <v>193</v>
      </c>
      <c r="E200" s="44" t="s">
        <v>12</v>
      </c>
      <c r="F200" s="249">
        <f t="shared" si="12"/>
        <v>33600</v>
      </c>
      <c r="G200" s="251">
        <f t="shared" si="11"/>
        <v>4800000</v>
      </c>
      <c r="H200" s="61"/>
      <c r="I200" s="61"/>
      <c r="J200" s="61"/>
      <c r="K200" s="61"/>
      <c r="L200" s="61"/>
      <c r="M200" s="61"/>
      <c r="N200" s="61"/>
      <c r="O200" s="61"/>
      <c r="P200" s="61">
        <v>4800000</v>
      </c>
      <c r="Q200" s="61"/>
      <c r="R200" s="61"/>
      <c r="S200" s="61"/>
    </row>
    <row r="201" spans="1:19" s="48" customFormat="1">
      <c r="A201" s="42">
        <v>7.0000000000000001E-3</v>
      </c>
      <c r="B201" s="42" t="s">
        <v>86</v>
      </c>
      <c r="C201" s="55" t="s">
        <v>56</v>
      </c>
      <c r="D201" s="42" t="s">
        <v>193</v>
      </c>
      <c r="E201" s="60" t="s">
        <v>196</v>
      </c>
      <c r="F201" s="249">
        <f t="shared" si="12"/>
        <v>0</v>
      </c>
      <c r="G201" s="251">
        <f t="shared" si="11"/>
        <v>0</v>
      </c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</row>
    <row r="202" spans="1:19" s="48" customFormat="1">
      <c r="A202" s="42">
        <v>7.0000000000000001E-3</v>
      </c>
      <c r="B202" s="42" t="s">
        <v>86</v>
      </c>
      <c r="C202" s="55" t="s">
        <v>53</v>
      </c>
      <c r="D202" s="42" t="s">
        <v>146</v>
      </c>
      <c r="E202" s="60" t="s">
        <v>13</v>
      </c>
      <c r="F202" s="249">
        <f t="shared" si="12"/>
        <v>0</v>
      </c>
      <c r="G202" s="251">
        <f t="shared" si="11"/>
        <v>0</v>
      </c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</row>
    <row r="203" spans="1:19" s="48" customFormat="1">
      <c r="A203" s="42">
        <v>7.0000000000000001E-3</v>
      </c>
      <c r="B203" s="42" t="s">
        <v>86</v>
      </c>
      <c r="C203" s="55" t="s">
        <v>53</v>
      </c>
      <c r="D203" s="42" t="s">
        <v>146</v>
      </c>
      <c r="E203" s="60" t="s">
        <v>17</v>
      </c>
      <c r="F203" s="249">
        <f t="shared" si="12"/>
        <v>81970</v>
      </c>
      <c r="G203" s="251">
        <f t="shared" si="11"/>
        <v>11710000</v>
      </c>
      <c r="H203" s="61"/>
      <c r="I203" s="61"/>
      <c r="J203" s="61"/>
      <c r="K203" s="61"/>
      <c r="L203" s="61"/>
      <c r="M203" s="61"/>
      <c r="N203" s="61"/>
      <c r="O203" s="61"/>
      <c r="P203" s="61">
        <v>11710000</v>
      </c>
      <c r="Q203" s="61"/>
      <c r="R203" s="61"/>
      <c r="S203" s="61"/>
    </row>
    <row r="204" spans="1:19" s="48" customFormat="1">
      <c r="A204" s="42">
        <v>7.0000000000000001E-3</v>
      </c>
      <c r="B204" s="42" t="s">
        <v>86</v>
      </c>
      <c r="C204" s="55" t="s">
        <v>53</v>
      </c>
      <c r="D204" s="42" t="s">
        <v>146</v>
      </c>
      <c r="E204" s="60" t="s">
        <v>14</v>
      </c>
      <c r="F204" s="249">
        <f t="shared" si="12"/>
        <v>304500</v>
      </c>
      <c r="G204" s="251">
        <f t="shared" si="11"/>
        <v>43500000</v>
      </c>
      <c r="H204" s="61"/>
      <c r="I204" s="61"/>
      <c r="J204" s="61"/>
      <c r="K204" s="61"/>
      <c r="L204" s="61"/>
      <c r="M204" s="61"/>
      <c r="N204" s="61"/>
      <c r="O204" s="61"/>
      <c r="P204" s="61">
        <v>43500000</v>
      </c>
      <c r="Q204" s="61"/>
      <c r="R204" s="61"/>
      <c r="S204" s="61"/>
    </row>
    <row r="205" spans="1:19" s="48" customFormat="1">
      <c r="A205" s="42">
        <v>7.0000000000000001E-3</v>
      </c>
      <c r="B205" s="42" t="s">
        <v>86</v>
      </c>
      <c r="C205" s="55" t="s">
        <v>53</v>
      </c>
      <c r="D205" s="42" t="s">
        <v>146</v>
      </c>
      <c r="E205" s="49" t="s">
        <v>142</v>
      </c>
      <c r="F205" s="249">
        <f t="shared" si="12"/>
        <v>24500</v>
      </c>
      <c r="G205" s="251">
        <f t="shared" si="11"/>
        <v>3500000</v>
      </c>
      <c r="H205" s="61"/>
      <c r="I205" s="61"/>
      <c r="J205" s="61"/>
      <c r="K205" s="61"/>
      <c r="L205" s="61"/>
      <c r="M205" s="61"/>
      <c r="N205" s="61"/>
      <c r="O205" s="61"/>
      <c r="P205" s="61">
        <v>3500000</v>
      </c>
      <c r="Q205" s="61"/>
      <c r="R205" s="61"/>
      <c r="S205" s="61"/>
    </row>
    <row r="206" spans="1:19" s="48" customFormat="1">
      <c r="A206" s="248">
        <v>0.76</v>
      </c>
      <c r="B206" s="55" t="s">
        <v>89</v>
      </c>
      <c r="C206" s="55" t="s">
        <v>53</v>
      </c>
      <c r="D206" s="56" t="s">
        <v>90</v>
      </c>
      <c r="E206" s="57" t="s">
        <v>13</v>
      </c>
      <c r="F206" s="249">
        <f t="shared" si="12"/>
        <v>17480</v>
      </c>
      <c r="G206" s="252">
        <f t="shared" si="11"/>
        <v>23000</v>
      </c>
      <c r="H206" s="58">
        <v>23000</v>
      </c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</row>
    <row r="207" spans="1:19" s="48" customFormat="1">
      <c r="A207" s="248">
        <v>0.76</v>
      </c>
      <c r="B207" s="55" t="s">
        <v>89</v>
      </c>
      <c r="C207" s="55" t="s">
        <v>53</v>
      </c>
      <c r="D207" s="56" t="s">
        <v>91</v>
      </c>
      <c r="E207" s="57" t="s">
        <v>12</v>
      </c>
      <c r="F207" s="249">
        <f t="shared" si="12"/>
        <v>1197000</v>
      </c>
      <c r="G207" s="252">
        <f t="shared" si="11"/>
        <v>1575000</v>
      </c>
      <c r="H207" s="58">
        <v>450000</v>
      </c>
      <c r="I207" s="58">
        <v>450000</v>
      </c>
      <c r="J207" s="58"/>
      <c r="K207" s="58"/>
      <c r="L207" s="58">
        <v>225000</v>
      </c>
      <c r="M207" s="58">
        <v>450000</v>
      </c>
      <c r="N207" s="58"/>
      <c r="O207" s="58"/>
      <c r="P207" s="58"/>
      <c r="Q207" s="58"/>
      <c r="R207" s="58"/>
      <c r="S207" s="58"/>
    </row>
    <row r="208" spans="1:19" s="48" customFormat="1">
      <c r="A208" s="248">
        <v>0.76</v>
      </c>
      <c r="B208" s="55" t="s">
        <v>89</v>
      </c>
      <c r="C208" s="55" t="s">
        <v>56</v>
      </c>
      <c r="D208" s="56" t="s">
        <v>92</v>
      </c>
      <c r="E208" s="57" t="s">
        <v>14</v>
      </c>
      <c r="F208" s="249">
        <f t="shared" si="12"/>
        <v>82080</v>
      </c>
      <c r="G208" s="252">
        <f t="shared" si="11"/>
        <v>108000</v>
      </c>
      <c r="H208" s="58">
        <v>108000</v>
      </c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</row>
    <row r="209" spans="1:19" s="48" customFormat="1">
      <c r="A209" s="248">
        <v>0.76</v>
      </c>
      <c r="B209" s="55" t="s">
        <v>89</v>
      </c>
      <c r="C209" s="55" t="s">
        <v>56</v>
      </c>
      <c r="D209" s="56" t="s">
        <v>92</v>
      </c>
      <c r="E209" s="57" t="s">
        <v>16</v>
      </c>
      <c r="F209" s="249">
        <f t="shared" si="12"/>
        <v>775481.2</v>
      </c>
      <c r="G209" s="252">
        <f t="shared" si="11"/>
        <v>1020370</v>
      </c>
      <c r="H209" s="58">
        <v>102037</v>
      </c>
      <c r="I209" s="58">
        <v>102037</v>
      </c>
      <c r="J209" s="58">
        <v>102037</v>
      </c>
      <c r="K209" s="58">
        <v>102037</v>
      </c>
      <c r="L209" s="58">
        <v>102037</v>
      </c>
      <c r="M209" s="58">
        <v>102037</v>
      </c>
      <c r="N209" s="58">
        <v>102037</v>
      </c>
      <c r="O209" s="58">
        <v>102037</v>
      </c>
      <c r="P209" s="58">
        <v>102037</v>
      </c>
      <c r="Q209" s="58">
        <v>102037</v>
      </c>
      <c r="R209" s="58"/>
      <c r="S209" s="58"/>
    </row>
    <row r="210" spans="1:19" s="48" customFormat="1">
      <c r="A210" s="248">
        <v>0.76</v>
      </c>
      <c r="B210" s="55" t="s">
        <v>89</v>
      </c>
      <c r="C210" s="55" t="s">
        <v>143</v>
      </c>
      <c r="D210" s="56" t="s">
        <v>93</v>
      </c>
      <c r="E210" s="57" t="s">
        <v>13</v>
      </c>
      <c r="F210" s="249">
        <f t="shared" si="12"/>
        <v>154618.96</v>
      </c>
      <c r="G210" s="252">
        <f t="shared" si="11"/>
        <v>203446</v>
      </c>
      <c r="H210" s="58"/>
      <c r="I210" s="58"/>
      <c r="J210" s="58">
        <v>143446</v>
      </c>
      <c r="K210" s="58"/>
      <c r="L210" s="58"/>
      <c r="M210" s="58"/>
      <c r="N210" s="58">
        <v>15000</v>
      </c>
      <c r="O210" s="58">
        <v>15000</v>
      </c>
      <c r="P210" s="58">
        <v>15000</v>
      </c>
      <c r="Q210" s="58">
        <v>15000</v>
      </c>
      <c r="R210" s="58"/>
      <c r="S210" s="58"/>
    </row>
    <row r="211" spans="1:19" s="48" customFormat="1">
      <c r="A211" s="248">
        <v>0.76</v>
      </c>
      <c r="B211" s="55" t="s">
        <v>89</v>
      </c>
      <c r="C211" s="55" t="s">
        <v>143</v>
      </c>
      <c r="D211" s="56" t="s">
        <v>93</v>
      </c>
      <c r="E211" s="57" t="s">
        <v>17</v>
      </c>
      <c r="F211" s="249">
        <f t="shared" si="12"/>
        <v>156042.44</v>
      </c>
      <c r="G211" s="252">
        <f t="shared" si="11"/>
        <v>205319</v>
      </c>
      <c r="H211" s="58"/>
      <c r="I211" s="58"/>
      <c r="J211" s="58"/>
      <c r="K211" s="58">
        <v>205319</v>
      </c>
      <c r="L211" s="58"/>
      <c r="M211" s="58"/>
      <c r="N211" s="58"/>
      <c r="O211" s="58"/>
      <c r="P211" s="58"/>
      <c r="Q211" s="58"/>
      <c r="R211" s="58"/>
      <c r="S211" s="58"/>
    </row>
    <row r="212" spans="1:19" s="48" customFormat="1">
      <c r="A212" s="248">
        <v>0.76</v>
      </c>
      <c r="B212" s="55" t="s">
        <v>89</v>
      </c>
      <c r="C212" s="55" t="s">
        <v>143</v>
      </c>
      <c r="D212" s="56" t="s">
        <v>93</v>
      </c>
      <c r="E212" s="57" t="s">
        <v>14</v>
      </c>
      <c r="F212" s="249">
        <f t="shared" si="12"/>
        <v>37415.56</v>
      </c>
      <c r="G212" s="252">
        <f t="shared" si="11"/>
        <v>49231</v>
      </c>
      <c r="H212" s="58"/>
      <c r="I212" s="58"/>
      <c r="J212" s="58">
        <v>49231</v>
      </c>
      <c r="K212" s="58"/>
      <c r="L212" s="58"/>
      <c r="M212" s="58"/>
      <c r="N212" s="58"/>
      <c r="O212" s="58"/>
      <c r="P212" s="58"/>
      <c r="Q212" s="58"/>
      <c r="R212" s="58"/>
      <c r="S212" s="58"/>
    </row>
    <row r="213" spans="1:19" s="48" customFormat="1">
      <c r="A213" s="248">
        <v>0.76</v>
      </c>
      <c r="B213" s="55" t="s">
        <v>89</v>
      </c>
      <c r="C213" s="55" t="s">
        <v>143</v>
      </c>
      <c r="D213" s="56" t="s">
        <v>93</v>
      </c>
      <c r="E213" s="57" t="s">
        <v>16</v>
      </c>
      <c r="F213" s="249">
        <f t="shared" si="12"/>
        <v>67640</v>
      </c>
      <c r="G213" s="252">
        <f t="shared" si="11"/>
        <v>89000</v>
      </c>
      <c r="H213" s="58"/>
      <c r="I213" s="58"/>
      <c r="J213" s="58">
        <v>89000</v>
      </c>
      <c r="K213" s="58"/>
      <c r="L213" s="58"/>
      <c r="M213" s="58"/>
      <c r="N213" s="58"/>
      <c r="O213" s="58"/>
      <c r="P213" s="58"/>
      <c r="Q213" s="58"/>
      <c r="R213" s="58"/>
      <c r="S213" s="58"/>
    </row>
    <row r="214" spans="1:19" s="48" customFormat="1">
      <c r="A214" s="248">
        <v>0.76</v>
      </c>
      <c r="B214" s="55" t="s">
        <v>89</v>
      </c>
      <c r="C214" s="55" t="s">
        <v>56</v>
      </c>
      <c r="D214" s="56" t="s">
        <v>94</v>
      </c>
      <c r="E214" s="57" t="s">
        <v>12</v>
      </c>
      <c r="F214" s="249">
        <f t="shared" si="12"/>
        <v>513000</v>
      </c>
      <c r="G214" s="252">
        <f t="shared" si="11"/>
        <v>675000</v>
      </c>
      <c r="H214" s="58"/>
      <c r="I214" s="58"/>
      <c r="J214" s="58"/>
      <c r="K214" s="58"/>
      <c r="L214" s="58"/>
      <c r="M214" s="58"/>
      <c r="N214" s="58">
        <v>225000</v>
      </c>
      <c r="O214" s="58">
        <v>225000</v>
      </c>
      <c r="P214" s="58">
        <v>225000</v>
      </c>
      <c r="Q214" s="58"/>
      <c r="R214" s="58"/>
      <c r="S214" s="58"/>
    </row>
    <row r="215" spans="1:19" s="48" customFormat="1">
      <c r="A215" s="248">
        <v>0.76</v>
      </c>
      <c r="B215" s="55" t="s">
        <v>89</v>
      </c>
      <c r="C215" s="55" t="s">
        <v>56</v>
      </c>
      <c r="D215" s="56" t="s">
        <v>94</v>
      </c>
      <c r="E215" s="57" t="s">
        <v>13</v>
      </c>
      <c r="F215" s="249">
        <f t="shared" si="12"/>
        <v>69391.8</v>
      </c>
      <c r="G215" s="252">
        <f t="shared" si="11"/>
        <v>91305</v>
      </c>
      <c r="H215" s="58">
        <v>1305</v>
      </c>
      <c r="I215" s="58"/>
      <c r="J215" s="58"/>
      <c r="K215" s="58"/>
      <c r="L215" s="58"/>
      <c r="M215" s="58"/>
      <c r="N215" s="58">
        <v>20000</v>
      </c>
      <c r="O215" s="58">
        <v>35000</v>
      </c>
      <c r="P215" s="58">
        <v>35000</v>
      </c>
      <c r="Q215" s="58"/>
      <c r="R215" s="58"/>
      <c r="S215" s="58"/>
    </row>
    <row r="216" spans="1:19" s="48" customFormat="1">
      <c r="A216" s="248">
        <v>0.76</v>
      </c>
      <c r="B216" s="55" t="s">
        <v>89</v>
      </c>
      <c r="C216" s="55" t="s">
        <v>56</v>
      </c>
      <c r="D216" s="56" t="s">
        <v>94</v>
      </c>
      <c r="E216" s="57" t="s">
        <v>14</v>
      </c>
      <c r="F216" s="249">
        <f t="shared" si="12"/>
        <v>259571.16</v>
      </c>
      <c r="G216" s="252">
        <f t="shared" si="11"/>
        <v>341541</v>
      </c>
      <c r="H216" s="58"/>
      <c r="I216" s="58"/>
      <c r="J216" s="58"/>
      <c r="K216" s="58"/>
      <c r="L216" s="58"/>
      <c r="M216" s="58"/>
      <c r="N216" s="58">
        <v>113847</v>
      </c>
      <c r="O216" s="58">
        <v>113847</v>
      </c>
      <c r="P216" s="58">
        <v>113847</v>
      </c>
      <c r="Q216" s="58"/>
      <c r="R216" s="58"/>
      <c r="S216" s="58"/>
    </row>
    <row r="217" spans="1:19" s="48" customFormat="1">
      <c r="A217" s="248">
        <v>0.76</v>
      </c>
      <c r="B217" s="55" t="s">
        <v>89</v>
      </c>
      <c r="C217" s="55" t="s">
        <v>56</v>
      </c>
      <c r="D217" s="56" t="s">
        <v>94</v>
      </c>
      <c r="E217" s="57" t="s">
        <v>15</v>
      </c>
      <c r="F217" s="249">
        <f t="shared" si="12"/>
        <v>26600</v>
      </c>
      <c r="G217" s="252">
        <f t="shared" si="11"/>
        <v>35000</v>
      </c>
      <c r="H217" s="58"/>
      <c r="I217" s="58"/>
      <c r="J217" s="58"/>
      <c r="K217" s="58"/>
      <c r="L217" s="58"/>
      <c r="M217" s="58"/>
      <c r="N217" s="58"/>
      <c r="O217" s="58"/>
      <c r="P217" s="58">
        <v>35000</v>
      </c>
      <c r="Q217" s="58"/>
      <c r="R217" s="58"/>
      <c r="S217" s="58"/>
    </row>
    <row r="218" spans="1:19" s="48" customFormat="1">
      <c r="A218" s="248">
        <v>0.76</v>
      </c>
      <c r="B218" s="55" t="s">
        <v>89</v>
      </c>
      <c r="C218" s="55" t="s">
        <v>143</v>
      </c>
      <c r="D218" s="56" t="s">
        <v>95</v>
      </c>
      <c r="E218" s="57" t="s">
        <v>12</v>
      </c>
      <c r="F218" s="249">
        <f t="shared" si="12"/>
        <v>255785.60000000001</v>
      </c>
      <c r="G218" s="252">
        <f t="shared" si="11"/>
        <v>336560</v>
      </c>
      <c r="H218" s="58"/>
      <c r="I218" s="58"/>
      <c r="J218" s="58"/>
      <c r="K218" s="58"/>
      <c r="L218" s="58"/>
      <c r="M218" s="58">
        <v>76560</v>
      </c>
      <c r="N218" s="58">
        <v>130000</v>
      </c>
      <c r="O218" s="58">
        <v>130000</v>
      </c>
      <c r="P218" s="58"/>
      <c r="Q218" s="58"/>
      <c r="R218" s="58"/>
      <c r="S218" s="58"/>
    </row>
    <row r="219" spans="1:19" s="48" customFormat="1">
      <c r="A219" s="248">
        <v>0.76</v>
      </c>
      <c r="B219" s="55" t="s">
        <v>89</v>
      </c>
      <c r="C219" s="55" t="s">
        <v>143</v>
      </c>
      <c r="D219" s="56" t="s">
        <v>95</v>
      </c>
      <c r="E219" s="57" t="s">
        <v>13</v>
      </c>
      <c r="F219" s="249">
        <f t="shared" si="12"/>
        <v>103360</v>
      </c>
      <c r="G219" s="252">
        <f t="shared" si="11"/>
        <v>136000</v>
      </c>
      <c r="H219" s="58"/>
      <c r="I219" s="58"/>
      <c r="J219" s="58"/>
      <c r="K219" s="58"/>
      <c r="L219" s="58"/>
      <c r="M219" s="58">
        <v>56000</v>
      </c>
      <c r="N219" s="58">
        <v>40000</v>
      </c>
      <c r="O219" s="58">
        <v>40000</v>
      </c>
      <c r="P219" s="58"/>
      <c r="Q219" s="58"/>
      <c r="R219" s="58"/>
      <c r="S219" s="58"/>
    </row>
    <row r="220" spans="1:19" s="48" customFormat="1">
      <c r="A220" s="248">
        <v>0.76</v>
      </c>
      <c r="B220" s="55" t="s">
        <v>89</v>
      </c>
      <c r="C220" s="55" t="s">
        <v>143</v>
      </c>
      <c r="D220" s="56" t="s">
        <v>95</v>
      </c>
      <c r="E220" s="57" t="s">
        <v>17</v>
      </c>
      <c r="F220" s="249">
        <f t="shared" si="12"/>
        <v>313362.44</v>
      </c>
      <c r="G220" s="252">
        <f t="shared" si="11"/>
        <v>412319</v>
      </c>
      <c r="H220" s="58"/>
      <c r="I220" s="58">
        <v>205319</v>
      </c>
      <c r="J220" s="58"/>
      <c r="K220" s="58"/>
      <c r="L220" s="58"/>
      <c r="M220" s="58">
        <v>69000</v>
      </c>
      <c r="N220" s="58">
        <v>69000</v>
      </c>
      <c r="O220" s="58">
        <v>69000</v>
      </c>
      <c r="P220" s="58"/>
      <c r="Q220" s="58"/>
      <c r="R220" s="58"/>
      <c r="S220" s="58"/>
    </row>
    <row r="221" spans="1:19" s="48" customFormat="1">
      <c r="A221" s="248">
        <v>0.76</v>
      </c>
      <c r="B221" s="55" t="s">
        <v>89</v>
      </c>
      <c r="C221" s="55" t="s">
        <v>143</v>
      </c>
      <c r="D221" s="56" t="s">
        <v>95</v>
      </c>
      <c r="E221" s="57" t="s">
        <v>14</v>
      </c>
      <c r="F221" s="249">
        <f t="shared" si="12"/>
        <v>650095.89839999995</v>
      </c>
      <c r="G221" s="252">
        <f t="shared" si="11"/>
        <v>855389.34</v>
      </c>
      <c r="H221" s="58"/>
      <c r="I221" s="58">
        <v>427694.67</v>
      </c>
      <c r="J221" s="58"/>
      <c r="K221" s="58"/>
      <c r="L221" s="58">
        <v>427694.67</v>
      </c>
      <c r="M221" s="58"/>
      <c r="N221" s="58"/>
      <c r="O221" s="58"/>
      <c r="P221" s="58"/>
      <c r="Q221" s="58"/>
      <c r="R221" s="58"/>
      <c r="S221" s="58"/>
    </row>
    <row r="222" spans="1:19" s="48" customFormat="1">
      <c r="A222" s="248">
        <v>0.76</v>
      </c>
      <c r="B222" s="55" t="s">
        <v>89</v>
      </c>
      <c r="C222" s="55" t="s">
        <v>143</v>
      </c>
      <c r="D222" s="56" t="s">
        <v>95</v>
      </c>
      <c r="E222" s="57" t="s">
        <v>16</v>
      </c>
      <c r="F222" s="249">
        <f t="shared" si="12"/>
        <v>358229.04</v>
      </c>
      <c r="G222" s="252">
        <f t="shared" si="11"/>
        <v>471354</v>
      </c>
      <c r="H222" s="58"/>
      <c r="I222" s="58">
        <v>191354</v>
      </c>
      <c r="J222" s="58"/>
      <c r="K222" s="58"/>
      <c r="L222" s="58"/>
      <c r="M222" s="58">
        <v>70000</v>
      </c>
      <c r="N222" s="58">
        <v>70000</v>
      </c>
      <c r="O222" s="58">
        <v>70000</v>
      </c>
      <c r="P222" s="58">
        <v>70000</v>
      </c>
      <c r="Q222" s="58"/>
      <c r="R222" s="58"/>
      <c r="S222" s="58"/>
    </row>
    <row r="223" spans="1:19" s="48" customFormat="1">
      <c r="A223" s="248">
        <v>0.76</v>
      </c>
      <c r="B223" s="55" t="s">
        <v>89</v>
      </c>
      <c r="C223" s="55" t="s">
        <v>143</v>
      </c>
      <c r="D223" s="56" t="s">
        <v>95</v>
      </c>
      <c r="E223" s="57" t="s">
        <v>15</v>
      </c>
      <c r="F223" s="249">
        <f t="shared" si="12"/>
        <v>60800</v>
      </c>
      <c r="G223" s="252">
        <f t="shared" si="11"/>
        <v>80000</v>
      </c>
      <c r="H223" s="58"/>
      <c r="I223" s="58">
        <v>80000</v>
      </c>
      <c r="J223" s="58"/>
      <c r="K223" s="58"/>
      <c r="L223" s="58"/>
      <c r="M223" s="58"/>
      <c r="N223" s="58"/>
      <c r="O223" s="58"/>
      <c r="P223" s="58"/>
      <c r="Q223" s="58"/>
      <c r="R223" s="58"/>
      <c r="S223" s="58"/>
    </row>
    <row r="224" spans="1:19" s="48" customFormat="1">
      <c r="A224" s="248">
        <v>0.76</v>
      </c>
      <c r="B224" s="55" t="s">
        <v>89</v>
      </c>
      <c r="C224" s="55" t="s">
        <v>53</v>
      </c>
      <c r="D224" s="56" t="s">
        <v>96</v>
      </c>
      <c r="E224" s="57" t="s">
        <v>15</v>
      </c>
      <c r="F224" s="249">
        <f t="shared" si="12"/>
        <v>293208</v>
      </c>
      <c r="G224" s="252">
        <f t="shared" si="11"/>
        <v>385800</v>
      </c>
      <c r="H224" s="58"/>
      <c r="I224" s="58">
        <v>60800</v>
      </c>
      <c r="J224" s="58">
        <v>67000</v>
      </c>
      <c r="K224" s="58">
        <v>134000</v>
      </c>
      <c r="L224" s="58">
        <v>124000</v>
      </c>
      <c r="M224" s="58"/>
      <c r="N224" s="58"/>
      <c r="O224" s="58"/>
      <c r="P224" s="58"/>
      <c r="Q224" s="58"/>
      <c r="R224" s="58"/>
      <c r="S224" s="58"/>
    </row>
    <row r="225" spans="1:19" s="48" customFormat="1">
      <c r="A225" s="248">
        <v>0.76</v>
      </c>
      <c r="B225" s="55" t="s">
        <v>89</v>
      </c>
      <c r="C225" s="55" t="s">
        <v>56</v>
      </c>
      <c r="D225" s="56" t="s">
        <v>97</v>
      </c>
      <c r="E225" s="57" t="s">
        <v>12</v>
      </c>
      <c r="F225" s="249">
        <f t="shared" si="12"/>
        <v>855000</v>
      </c>
      <c r="G225" s="252">
        <f t="shared" si="11"/>
        <v>1125000</v>
      </c>
      <c r="H225" s="58"/>
      <c r="I225" s="58"/>
      <c r="J225" s="58">
        <v>450000</v>
      </c>
      <c r="K225" s="58">
        <v>450000</v>
      </c>
      <c r="L225" s="58">
        <v>225000</v>
      </c>
      <c r="M225" s="58"/>
      <c r="N225" s="58"/>
      <c r="O225" s="58"/>
      <c r="P225" s="58"/>
      <c r="Q225" s="58"/>
      <c r="R225" s="58"/>
      <c r="S225" s="58"/>
    </row>
    <row r="226" spans="1:19" s="48" customFormat="1">
      <c r="A226" s="248">
        <v>0.76</v>
      </c>
      <c r="B226" s="55" t="s">
        <v>89</v>
      </c>
      <c r="C226" s="55" t="s">
        <v>56</v>
      </c>
      <c r="D226" s="56" t="s">
        <v>97</v>
      </c>
      <c r="E226" s="57" t="s">
        <v>13</v>
      </c>
      <c r="F226" s="249">
        <f t="shared" si="12"/>
        <v>166440</v>
      </c>
      <c r="G226" s="252">
        <f t="shared" si="11"/>
        <v>219000</v>
      </c>
      <c r="H226" s="58"/>
      <c r="I226" s="58"/>
      <c r="J226" s="58"/>
      <c r="K226" s="58">
        <v>210300</v>
      </c>
      <c r="L226" s="58">
        <v>8700</v>
      </c>
      <c r="M226" s="58"/>
      <c r="N226" s="58"/>
      <c r="O226" s="58"/>
      <c r="P226" s="58"/>
      <c r="Q226" s="58"/>
      <c r="R226" s="58"/>
      <c r="S226" s="58"/>
    </row>
    <row r="227" spans="1:19" s="48" customFormat="1">
      <c r="A227" s="248">
        <v>0.76</v>
      </c>
      <c r="B227" s="55" t="s">
        <v>89</v>
      </c>
      <c r="C227" s="55" t="s">
        <v>56</v>
      </c>
      <c r="D227" s="56" t="s">
        <v>97</v>
      </c>
      <c r="E227" s="57" t="s">
        <v>17</v>
      </c>
      <c r="F227" s="249">
        <f t="shared" si="12"/>
        <v>279162.44</v>
      </c>
      <c r="G227" s="252">
        <f t="shared" si="11"/>
        <v>367319</v>
      </c>
      <c r="H227" s="58"/>
      <c r="I227" s="58"/>
      <c r="J227" s="58">
        <v>205319</v>
      </c>
      <c r="K227" s="58"/>
      <c r="L227" s="58">
        <v>162000</v>
      </c>
      <c r="M227" s="58"/>
      <c r="N227" s="58"/>
      <c r="O227" s="58"/>
      <c r="P227" s="58"/>
      <c r="Q227" s="58"/>
      <c r="R227" s="58"/>
      <c r="S227" s="58"/>
    </row>
    <row r="228" spans="1:19" s="48" customFormat="1">
      <c r="A228" s="248">
        <v>0.76</v>
      </c>
      <c r="B228" s="55" t="s">
        <v>89</v>
      </c>
      <c r="C228" s="55" t="s">
        <v>56</v>
      </c>
      <c r="D228" s="56" t="s">
        <v>97</v>
      </c>
      <c r="E228" s="57" t="s">
        <v>14</v>
      </c>
      <c r="F228" s="249">
        <f t="shared" si="12"/>
        <v>650095.89839999995</v>
      </c>
      <c r="G228" s="252">
        <f t="shared" si="11"/>
        <v>855389.34</v>
      </c>
      <c r="H228" s="58"/>
      <c r="I228" s="58"/>
      <c r="J228" s="58">
        <v>427694.67</v>
      </c>
      <c r="K228" s="58">
        <v>427694.67</v>
      </c>
      <c r="L228" s="58"/>
      <c r="M228" s="58"/>
      <c r="N228" s="58"/>
      <c r="O228" s="58"/>
      <c r="P228" s="58"/>
      <c r="Q228" s="58"/>
      <c r="R228" s="58"/>
      <c r="S228" s="58"/>
    </row>
    <row r="229" spans="1:19" s="48" customFormat="1">
      <c r="A229" s="248">
        <v>0.76</v>
      </c>
      <c r="B229" s="55" t="s">
        <v>89</v>
      </c>
      <c r="C229" s="55" t="s">
        <v>56</v>
      </c>
      <c r="D229" s="56" t="s">
        <v>97</v>
      </c>
      <c r="E229" s="57" t="s">
        <v>16</v>
      </c>
      <c r="F229" s="249">
        <f t="shared" si="12"/>
        <v>142393.60000000001</v>
      </c>
      <c r="G229" s="252">
        <f t="shared" si="11"/>
        <v>187360</v>
      </c>
      <c r="H229" s="58"/>
      <c r="I229" s="58"/>
      <c r="J229" s="58">
        <v>93680</v>
      </c>
      <c r="K229" s="58">
        <v>46840</v>
      </c>
      <c r="L229" s="58">
        <v>46840</v>
      </c>
      <c r="M229" s="58"/>
      <c r="N229" s="58"/>
      <c r="O229" s="58"/>
      <c r="P229" s="58"/>
      <c r="Q229" s="58"/>
      <c r="R229" s="58"/>
      <c r="S229" s="58"/>
    </row>
    <row r="230" spans="1:19" s="48" customFormat="1">
      <c r="A230" s="248">
        <v>0.76</v>
      </c>
      <c r="B230" s="55" t="s">
        <v>89</v>
      </c>
      <c r="C230" s="55" t="s">
        <v>53</v>
      </c>
      <c r="D230" s="56" t="s">
        <v>98</v>
      </c>
      <c r="E230" s="57" t="s">
        <v>16</v>
      </c>
      <c r="F230" s="249">
        <f t="shared" si="12"/>
        <v>354540</v>
      </c>
      <c r="G230" s="252">
        <f t="shared" si="11"/>
        <v>466500</v>
      </c>
      <c r="H230" s="58"/>
      <c r="I230" s="58"/>
      <c r="J230" s="58">
        <v>94500</v>
      </c>
      <c r="K230" s="58">
        <v>62000</v>
      </c>
      <c r="L230" s="58">
        <v>62000</v>
      </c>
      <c r="M230" s="58">
        <v>62000</v>
      </c>
      <c r="N230" s="58">
        <v>62000</v>
      </c>
      <c r="O230" s="58">
        <v>62000</v>
      </c>
      <c r="P230" s="58">
        <v>62000</v>
      </c>
      <c r="Q230" s="58"/>
      <c r="R230" s="58"/>
      <c r="S230" s="58"/>
    </row>
    <row r="231" spans="1:19" s="48" customFormat="1">
      <c r="A231" s="248">
        <v>0.76</v>
      </c>
      <c r="B231" s="55" t="s">
        <v>89</v>
      </c>
      <c r="C231" s="55" t="s">
        <v>143</v>
      </c>
      <c r="D231" s="56" t="s">
        <v>99</v>
      </c>
      <c r="E231" s="57" t="s">
        <v>13</v>
      </c>
      <c r="F231" s="249">
        <f t="shared" si="12"/>
        <v>243200</v>
      </c>
      <c r="G231" s="252">
        <f t="shared" si="11"/>
        <v>320000</v>
      </c>
      <c r="H231" s="58"/>
      <c r="I231" s="58"/>
      <c r="J231" s="58"/>
      <c r="K231" s="58"/>
      <c r="L231" s="58"/>
      <c r="M231" s="58">
        <v>160000</v>
      </c>
      <c r="N231" s="58">
        <v>160000</v>
      </c>
      <c r="O231" s="58"/>
      <c r="P231" s="58"/>
      <c r="Q231" s="58"/>
      <c r="R231" s="58"/>
      <c r="S231" s="58"/>
    </row>
    <row r="232" spans="1:19" s="48" customFormat="1">
      <c r="A232" s="248">
        <v>0.76</v>
      </c>
      <c r="B232" s="55" t="s">
        <v>89</v>
      </c>
      <c r="C232" s="55" t="s">
        <v>143</v>
      </c>
      <c r="D232" s="56" t="s">
        <v>99</v>
      </c>
      <c r="E232" s="57" t="s">
        <v>17</v>
      </c>
      <c r="F232" s="249">
        <f t="shared" si="12"/>
        <v>47120</v>
      </c>
      <c r="G232" s="252">
        <f t="shared" si="11"/>
        <v>62000</v>
      </c>
      <c r="H232" s="58"/>
      <c r="I232" s="58"/>
      <c r="J232" s="58"/>
      <c r="K232" s="58"/>
      <c r="L232" s="58"/>
      <c r="M232" s="58">
        <v>62000</v>
      </c>
      <c r="N232" s="58"/>
      <c r="O232" s="58"/>
      <c r="P232" s="58"/>
      <c r="Q232" s="58"/>
      <c r="R232" s="58"/>
      <c r="S232" s="58"/>
    </row>
    <row r="233" spans="1:19" s="48" customFormat="1">
      <c r="A233" s="248">
        <v>0.76</v>
      </c>
      <c r="B233" s="55" t="s">
        <v>89</v>
      </c>
      <c r="C233" s="55" t="s">
        <v>143</v>
      </c>
      <c r="D233" s="56" t="s">
        <v>99</v>
      </c>
      <c r="E233" s="57" t="s">
        <v>14</v>
      </c>
      <c r="F233" s="249">
        <f t="shared" si="12"/>
        <v>0</v>
      </c>
      <c r="G233" s="252">
        <f t="shared" si="11"/>
        <v>0</v>
      </c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</row>
    <row r="234" spans="1:19" s="48" customFormat="1">
      <c r="A234" s="248">
        <v>0.76</v>
      </c>
      <c r="B234" s="55" t="s">
        <v>89</v>
      </c>
      <c r="C234" s="55" t="s">
        <v>143</v>
      </c>
      <c r="D234" s="56" t="s">
        <v>99</v>
      </c>
      <c r="E234" s="57" t="s">
        <v>16</v>
      </c>
      <c r="F234" s="249">
        <f t="shared" si="12"/>
        <v>62168</v>
      </c>
      <c r="G234" s="252">
        <f t="shared" si="11"/>
        <v>81800</v>
      </c>
      <c r="H234" s="58"/>
      <c r="I234" s="58"/>
      <c r="J234" s="58"/>
      <c r="K234" s="58"/>
      <c r="L234" s="58"/>
      <c r="M234" s="58">
        <v>40900</v>
      </c>
      <c r="N234" s="58">
        <v>40900</v>
      </c>
      <c r="O234" s="58"/>
      <c r="P234" s="58"/>
      <c r="Q234" s="58"/>
      <c r="R234" s="58"/>
      <c r="S234" s="58"/>
    </row>
    <row r="235" spans="1:19" s="48" customFormat="1">
      <c r="A235" s="248">
        <v>0.76</v>
      </c>
      <c r="B235" s="55" t="s">
        <v>89</v>
      </c>
      <c r="C235" s="55" t="s">
        <v>143</v>
      </c>
      <c r="D235" s="56" t="s">
        <v>99</v>
      </c>
      <c r="E235" s="57" t="s">
        <v>15</v>
      </c>
      <c r="F235" s="249">
        <f t="shared" si="12"/>
        <v>60800</v>
      </c>
      <c r="G235" s="252">
        <f t="shared" si="11"/>
        <v>80000</v>
      </c>
      <c r="H235" s="58"/>
      <c r="I235" s="58"/>
      <c r="J235" s="58"/>
      <c r="K235" s="58"/>
      <c r="L235" s="58"/>
      <c r="M235" s="58"/>
      <c r="N235" s="58">
        <v>80000</v>
      </c>
      <c r="O235" s="58"/>
      <c r="P235" s="58"/>
      <c r="Q235" s="58"/>
      <c r="R235" s="58"/>
      <c r="S235" s="58"/>
    </row>
    <row r="236" spans="1:19" s="48" customFormat="1">
      <c r="A236" s="248">
        <v>0.76</v>
      </c>
      <c r="B236" s="55" t="s">
        <v>89</v>
      </c>
      <c r="C236" s="55" t="s">
        <v>53</v>
      </c>
      <c r="D236" s="56" t="s">
        <v>100</v>
      </c>
      <c r="E236" s="57" t="s">
        <v>13</v>
      </c>
      <c r="F236" s="249">
        <f t="shared" si="12"/>
        <v>342912</v>
      </c>
      <c r="G236" s="252">
        <f t="shared" si="11"/>
        <v>451200</v>
      </c>
      <c r="H236" s="58"/>
      <c r="I236" s="58"/>
      <c r="J236" s="58"/>
      <c r="K236" s="58"/>
      <c r="L236" s="58"/>
      <c r="M236" s="58">
        <v>62600</v>
      </c>
      <c r="N236" s="58">
        <v>62600</v>
      </c>
      <c r="O236" s="58">
        <v>75600</v>
      </c>
      <c r="P236" s="58">
        <v>62600</v>
      </c>
      <c r="Q236" s="58">
        <v>62600</v>
      </c>
      <c r="R236" s="58">
        <v>62600</v>
      </c>
      <c r="S236" s="58">
        <v>62600</v>
      </c>
    </row>
    <row r="237" spans="1:19" s="48" customFormat="1">
      <c r="A237" s="248">
        <v>0.76</v>
      </c>
      <c r="B237" s="55" t="s">
        <v>89</v>
      </c>
      <c r="C237" s="55" t="s">
        <v>53</v>
      </c>
      <c r="D237" s="56" t="s">
        <v>100</v>
      </c>
      <c r="E237" s="57" t="s">
        <v>17</v>
      </c>
      <c r="F237" s="249">
        <f t="shared" si="12"/>
        <v>330296</v>
      </c>
      <c r="G237" s="252">
        <f t="shared" si="11"/>
        <v>434600</v>
      </c>
      <c r="H237" s="58"/>
      <c r="I237" s="58"/>
      <c r="J237" s="58"/>
      <c r="K237" s="58"/>
      <c r="L237" s="58"/>
      <c r="M237" s="58">
        <v>62000</v>
      </c>
      <c r="N237" s="58">
        <v>62000</v>
      </c>
      <c r="O237" s="58">
        <v>62000</v>
      </c>
      <c r="P237" s="58">
        <v>62600</v>
      </c>
      <c r="Q237" s="58">
        <v>62000</v>
      </c>
      <c r="R237" s="58">
        <v>62000</v>
      </c>
      <c r="S237" s="58">
        <v>62000</v>
      </c>
    </row>
    <row r="238" spans="1:19" s="48" customFormat="1">
      <c r="A238" s="248">
        <v>0.76</v>
      </c>
      <c r="B238" s="55" t="s">
        <v>89</v>
      </c>
      <c r="C238" s="55" t="s">
        <v>53</v>
      </c>
      <c r="D238" s="56" t="s">
        <v>100</v>
      </c>
      <c r="E238" s="57" t="s">
        <v>12</v>
      </c>
      <c r="F238" s="249">
        <f t="shared" si="12"/>
        <v>171000</v>
      </c>
      <c r="G238" s="252">
        <f t="shared" si="11"/>
        <v>225000</v>
      </c>
      <c r="H238" s="58"/>
      <c r="I238" s="58"/>
      <c r="J238" s="58"/>
      <c r="K238" s="58"/>
      <c r="L238" s="58"/>
      <c r="M238" s="58"/>
      <c r="N238" s="58"/>
      <c r="O238" s="58">
        <v>225000</v>
      </c>
      <c r="P238" s="58"/>
      <c r="Q238" s="58"/>
      <c r="R238" s="58"/>
      <c r="S238" s="58"/>
    </row>
    <row r="239" spans="1:19" s="48" customFormat="1">
      <c r="A239" s="248">
        <v>0.76</v>
      </c>
      <c r="B239" s="55" t="s">
        <v>89</v>
      </c>
      <c r="C239" s="55" t="s">
        <v>53</v>
      </c>
      <c r="D239" s="56" t="s">
        <v>100</v>
      </c>
      <c r="E239" s="57" t="s">
        <v>14</v>
      </c>
      <c r="F239" s="249">
        <f t="shared" si="12"/>
        <v>977422.32000000007</v>
      </c>
      <c r="G239" s="252">
        <f t="shared" si="11"/>
        <v>1286082</v>
      </c>
      <c r="H239" s="58"/>
      <c r="I239" s="58"/>
      <c r="J239" s="58"/>
      <c r="K239" s="58"/>
      <c r="L239" s="58"/>
      <c r="M239" s="58">
        <v>213847</v>
      </c>
      <c r="N239" s="58">
        <v>113847</v>
      </c>
      <c r="O239" s="58">
        <v>103000</v>
      </c>
      <c r="P239" s="58">
        <v>213847</v>
      </c>
      <c r="Q239" s="58">
        <v>213847</v>
      </c>
      <c r="R239" s="58">
        <v>213847</v>
      </c>
      <c r="S239" s="58">
        <v>213847</v>
      </c>
    </row>
    <row r="240" spans="1:19" s="48" customFormat="1">
      <c r="A240" s="248">
        <v>0.76</v>
      </c>
      <c r="B240" s="55" t="s">
        <v>89</v>
      </c>
      <c r="C240" s="55" t="s">
        <v>53</v>
      </c>
      <c r="D240" s="56" t="s">
        <v>100</v>
      </c>
      <c r="E240" s="57" t="s">
        <v>16</v>
      </c>
      <c r="F240" s="249">
        <f t="shared" si="12"/>
        <v>260528</v>
      </c>
      <c r="G240" s="252">
        <f t="shared" si="11"/>
        <v>342800</v>
      </c>
      <c r="H240" s="58"/>
      <c r="I240" s="58"/>
      <c r="J240" s="58"/>
      <c r="K240" s="58"/>
      <c r="L240" s="58"/>
      <c r="M240" s="58">
        <v>85700</v>
      </c>
      <c r="N240" s="58">
        <v>85700</v>
      </c>
      <c r="O240" s="58">
        <v>85700</v>
      </c>
      <c r="P240" s="58">
        <v>85700</v>
      </c>
      <c r="Q240" s="58"/>
      <c r="R240" s="58"/>
      <c r="S240" s="58"/>
    </row>
    <row r="241" spans="1:19" s="48" customFormat="1">
      <c r="A241" s="248">
        <v>0.76</v>
      </c>
      <c r="B241" s="55" t="s">
        <v>89</v>
      </c>
      <c r="C241" s="55" t="s">
        <v>53</v>
      </c>
      <c r="D241" s="56" t="s">
        <v>101</v>
      </c>
      <c r="E241" s="57" t="s">
        <v>14</v>
      </c>
      <c r="F241" s="249">
        <f t="shared" si="12"/>
        <v>243785.58000000002</v>
      </c>
      <c r="G241" s="252">
        <f t="shared" si="11"/>
        <v>320770.5</v>
      </c>
      <c r="H241" s="58"/>
      <c r="I241" s="58"/>
      <c r="J241" s="58"/>
      <c r="K241" s="58"/>
      <c r="L241" s="58"/>
      <c r="M241" s="58">
        <v>213847</v>
      </c>
      <c r="N241" s="58">
        <v>106923.5</v>
      </c>
      <c r="O241" s="58"/>
      <c r="P241" s="58"/>
      <c r="Q241" s="58"/>
      <c r="R241" s="58"/>
      <c r="S241" s="58"/>
    </row>
    <row r="242" spans="1:19" s="48" customFormat="1">
      <c r="A242" s="248">
        <v>0.76</v>
      </c>
      <c r="B242" s="55" t="s">
        <v>89</v>
      </c>
      <c r="C242" s="55" t="s">
        <v>53</v>
      </c>
      <c r="D242" s="56" t="s">
        <v>144</v>
      </c>
      <c r="E242" s="57" t="s">
        <v>14</v>
      </c>
      <c r="F242" s="249">
        <f t="shared" si="12"/>
        <v>514461.86</v>
      </c>
      <c r="G242" s="252">
        <f t="shared" si="11"/>
        <v>676923.5</v>
      </c>
      <c r="H242" s="58"/>
      <c r="I242" s="58"/>
      <c r="J242" s="58"/>
      <c r="K242" s="58"/>
      <c r="L242" s="58"/>
      <c r="M242" s="58"/>
      <c r="N242" s="58">
        <v>150000</v>
      </c>
      <c r="O242" s="58">
        <v>106923.5</v>
      </c>
      <c r="P242" s="58">
        <v>140000</v>
      </c>
      <c r="Q242" s="58">
        <v>140000</v>
      </c>
      <c r="R242" s="58">
        <v>140000</v>
      </c>
      <c r="S242" s="58"/>
    </row>
    <row r="243" spans="1:19" s="48" customFormat="1">
      <c r="A243" s="248">
        <v>0.76</v>
      </c>
      <c r="B243" s="55" t="s">
        <v>89</v>
      </c>
      <c r="C243" s="55" t="s">
        <v>53</v>
      </c>
      <c r="D243" s="56" t="s">
        <v>144</v>
      </c>
      <c r="E243" s="57" t="s">
        <v>12</v>
      </c>
      <c r="F243" s="249">
        <f t="shared" si="12"/>
        <v>513000</v>
      </c>
      <c r="G243" s="252">
        <f t="shared" si="11"/>
        <v>675000</v>
      </c>
      <c r="H243" s="58"/>
      <c r="I243" s="58"/>
      <c r="J243" s="58"/>
      <c r="K243" s="58"/>
      <c r="L243" s="58"/>
      <c r="M243" s="58"/>
      <c r="N243" s="58"/>
      <c r="O243" s="58"/>
      <c r="P243" s="58">
        <v>225000</v>
      </c>
      <c r="Q243" s="58">
        <v>450000</v>
      </c>
      <c r="R243" s="58"/>
      <c r="S243" s="58"/>
    </row>
    <row r="244" spans="1:19" s="48" customFormat="1">
      <c r="A244" s="248">
        <v>0.76</v>
      </c>
      <c r="B244" s="55" t="s">
        <v>89</v>
      </c>
      <c r="C244" s="55" t="s">
        <v>53</v>
      </c>
      <c r="D244" s="56" t="s">
        <v>144</v>
      </c>
      <c r="E244" s="57" t="s">
        <v>13</v>
      </c>
      <c r="F244" s="249">
        <f t="shared" si="12"/>
        <v>65360</v>
      </c>
      <c r="G244" s="252">
        <f t="shared" si="11"/>
        <v>86000</v>
      </c>
      <c r="H244" s="58"/>
      <c r="I244" s="58"/>
      <c r="J244" s="58"/>
      <c r="K244" s="58"/>
      <c r="L244" s="58"/>
      <c r="M244" s="58"/>
      <c r="N244" s="58"/>
      <c r="O244" s="58"/>
      <c r="P244" s="58">
        <v>43000</v>
      </c>
      <c r="Q244" s="58">
        <v>43000</v>
      </c>
      <c r="R244" s="58"/>
      <c r="S244" s="58"/>
    </row>
    <row r="245" spans="1:19" s="48" customFormat="1">
      <c r="A245" s="248">
        <v>0.76</v>
      </c>
      <c r="B245" s="55" t="s">
        <v>89</v>
      </c>
      <c r="C245" s="55" t="s">
        <v>143</v>
      </c>
      <c r="D245" s="56" t="s">
        <v>145</v>
      </c>
      <c r="E245" s="57" t="s">
        <v>12</v>
      </c>
      <c r="F245" s="249">
        <f t="shared" si="12"/>
        <v>34200</v>
      </c>
      <c r="G245" s="252">
        <f t="shared" si="11"/>
        <v>45000</v>
      </c>
      <c r="H245" s="58"/>
      <c r="I245" s="58"/>
      <c r="J245" s="58"/>
      <c r="K245" s="58"/>
      <c r="L245" s="58"/>
      <c r="M245" s="58"/>
      <c r="N245" s="58"/>
      <c r="O245" s="58"/>
      <c r="P245" s="58">
        <v>45000</v>
      </c>
      <c r="Q245" s="58"/>
      <c r="R245" s="58"/>
      <c r="S245" s="58"/>
    </row>
    <row r="246" spans="1:19" s="48" customFormat="1">
      <c r="A246" s="248">
        <v>0.76</v>
      </c>
      <c r="B246" s="55" t="s">
        <v>89</v>
      </c>
      <c r="C246" s="55" t="s">
        <v>143</v>
      </c>
      <c r="D246" s="56" t="s">
        <v>145</v>
      </c>
      <c r="E246" s="57" t="s">
        <v>14</v>
      </c>
      <c r="F246" s="249">
        <f t="shared" si="12"/>
        <v>319200</v>
      </c>
      <c r="G246" s="252">
        <f t="shared" si="11"/>
        <v>420000</v>
      </c>
      <c r="H246" s="58"/>
      <c r="I246" s="58"/>
      <c r="J246" s="58"/>
      <c r="K246" s="58"/>
      <c r="L246" s="58"/>
      <c r="M246" s="58"/>
      <c r="N246" s="58"/>
      <c r="O246" s="58"/>
      <c r="P246" s="58">
        <v>140000</v>
      </c>
      <c r="Q246" s="58">
        <v>140000</v>
      </c>
      <c r="R246" s="58">
        <v>140000</v>
      </c>
      <c r="S246" s="58"/>
    </row>
    <row r="247" spans="1:19" s="48" customFormat="1">
      <c r="A247" s="248">
        <v>0.76</v>
      </c>
      <c r="B247" s="55" t="s">
        <v>89</v>
      </c>
      <c r="C247" s="55" t="s">
        <v>143</v>
      </c>
      <c r="D247" s="56" t="s">
        <v>145</v>
      </c>
      <c r="E247" s="57" t="s">
        <v>17</v>
      </c>
      <c r="F247" s="249">
        <f t="shared" si="12"/>
        <v>47120</v>
      </c>
      <c r="G247" s="252">
        <f t="shared" si="11"/>
        <v>62000</v>
      </c>
      <c r="H247" s="58"/>
      <c r="I247" s="58"/>
      <c r="J247" s="58"/>
      <c r="K247" s="58"/>
      <c r="L247" s="58"/>
      <c r="M247" s="58"/>
      <c r="N247" s="58"/>
      <c r="O247" s="58"/>
      <c r="P247" s="58">
        <v>62000</v>
      </c>
      <c r="Q247" s="58"/>
      <c r="R247" s="58"/>
      <c r="S247" s="58"/>
    </row>
    <row r="248" spans="1:19" s="48" customFormat="1">
      <c r="A248" s="248">
        <v>0.76</v>
      </c>
      <c r="B248" s="55" t="s">
        <v>89</v>
      </c>
      <c r="C248" s="55" t="s">
        <v>143</v>
      </c>
      <c r="D248" s="56" t="s">
        <v>145</v>
      </c>
      <c r="E248" s="57" t="s">
        <v>13</v>
      </c>
      <c r="F248" s="249">
        <f t="shared" si="12"/>
        <v>39520</v>
      </c>
      <c r="G248" s="252">
        <f t="shared" si="11"/>
        <v>52000</v>
      </c>
      <c r="H248" s="58"/>
      <c r="I248" s="58"/>
      <c r="J248" s="58"/>
      <c r="K248" s="58"/>
      <c r="L248" s="58"/>
      <c r="M248" s="58"/>
      <c r="N248" s="58"/>
      <c r="O248" s="58"/>
      <c r="P248" s="58">
        <v>52000</v>
      </c>
      <c r="Q248" s="58"/>
      <c r="R248" s="58"/>
      <c r="S248" s="58"/>
    </row>
    <row r="249" spans="1:19" s="48" customFormat="1">
      <c r="A249" s="248">
        <v>5.0000000000000001E-3</v>
      </c>
      <c r="B249" s="55" t="s">
        <v>102</v>
      </c>
      <c r="C249" s="55" t="s">
        <v>53</v>
      </c>
      <c r="D249" s="56" t="s">
        <v>173</v>
      </c>
      <c r="E249" s="57" t="s">
        <v>12</v>
      </c>
      <c r="F249" s="249">
        <f t="shared" si="12"/>
        <v>1960000</v>
      </c>
      <c r="G249" s="267">
        <f>SUM(H249:S249)</f>
        <v>392000000</v>
      </c>
      <c r="H249" s="345">
        <v>28000000</v>
      </c>
      <c r="I249" s="345">
        <v>28000000</v>
      </c>
      <c r="J249" s="345">
        <v>28000000</v>
      </c>
      <c r="K249" s="345">
        <v>28000000</v>
      </c>
      <c r="L249" s="345">
        <v>56000000</v>
      </c>
      <c r="M249" s="345">
        <v>56000000</v>
      </c>
      <c r="N249" s="345">
        <v>56000000</v>
      </c>
      <c r="O249" s="345">
        <v>56000000</v>
      </c>
      <c r="P249" s="345">
        <v>56000000</v>
      </c>
      <c r="Q249" s="345"/>
      <c r="R249" s="345"/>
      <c r="S249" s="345"/>
    </row>
    <row r="250" spans="1:19" s="48" customFormat="1">
      <c r="A250" s="248">
        <v>5.0000000000000001E-3</v>
      </c>
      <c r="B250" s="55" t="s">
        <v>102</v>
      </c>
      <c r="C250" s="55" t="s">
        <v>53</v>
      </c>
      <c r="D250" s="56" t="s">
        <v>173</v>
      </c>
      <c r="E250" s="57" t="s">
        <v>13</v>
      </c>
      <c r="F250" s="249">
        <f t="shared" si="12"/>
        <v>742918.76777500007</v>
      </c>
      <c r="G250" s="267">
        <f t="shared" si="11"/>
        <v>148583753.55500001</v>
      </c>
      <c r="H250" s="345"/>
      <c r="I250" s="345"/>
      <c r="J250" s="345">
        <v>26872160</v>
      </c>
      <c r="K250" s="345">
        <v>84239909</v>
      </c>
      <c r="L250" s="345">
        <v>17321188</v>
      </c>
      <c r="M250" s="345">
        <v>20150496.555</v>
      </c>
      <c r="N250" s="345"/>
      <c r="O250" s="345">
        <v>0</v>
      </c>
      <c r="P250" s="345"/>
      <c r="Q250" s="345"/>
      <c r="R250" s="345"/>
      <c r="S250" s="345"/>
    </row>
    <row r="251" spans="1:19" s="48" customFormat="1">
      <c r="A251" s="248">
        <v>5.0000000000000001E-3</v>
      </c>
      <c r="B251" s="55" t="s">
        <v>102</v>
      </c>
      <c r="C251" s="55" t="s">
        <v>53</v>
      </c>
      <c r="D251" s="56" t="s">
        <v>173</v>
      </c>
      <c r="E251" s="57" t="s">
        <v>14</v>
      </c>
      <c r="F251" s="249">
        <f t="shared" si="12"/>
        <v>1563100</v>
      </c>
      <c r="G251" s="267">
        <f t="shared" si="11"/>
        <v>312620000</v>
      </c>
      <c r="H251" s="345">
        <v>60199999.999999993</v>
      </c>
      <c r="I251" s="345">
        <v>54720000</v>
      </c>
      <c r="J251" s="345">
        <v>36500000</v>
      </c>
      <c r="K251" s="345">
        <v>80950000</v>
      </c>
      <c r="L251" s="345">
        <v>80250000</v>
      </c>
      <c r="M251" s="345"/>
      <c r="N251" s="345">
        <v>0</v>
      </c>
      <c r="O251" s="345">
        <v>0</v>
      </c>
      <c r="P251" s="345"/>
      <c r="Q251" s="345"/>
      <c r="R251" s="345"/>
      <c r="S251" s="345"/>
    </row>
    <row r="252" spans="1:19" s="48" customFormat="1">
      <c r="A252" s="248">
        <v>5.0000000000000001E-3</v>
      </c>
      <c r="B252" s="55" t="s">
        <v>102</v>
      </c>
      <c r="C252" s="55" t="s">
        <v>53</v>
      </c>
      <c r="D252" s="56" t="s">
        <v>173</v>
      </c>
      <c r="E252" s="57" t="s">
        <v>16</v>
      </c>
      <c r="F252" s="249">
        <f t="shared" si="12"/>
        <v>163100</v>
      </c>
      <c r="G252" s="267">
        <f t="shared" si="11"/>
        <v>32620000</v>
      </c>
      <c r="H252" s="345">
        <v>7000000</v>
      </c>
      <c r="I252" s="345">
        <v>5600000</v>
      </c>
      <c r="J252" s="345">
        <v>6020000</v>
      </c>
      <c r="K252" s="345">
        <v>7000000</v>
      </c>
      <c r="L252" s="345">
        <v>7000000</v>
      </c>
      <c r="M252" s="345"/>
      <c r="N252" s="345"/>
      <c r="O252" s="345">
        <v>0</v>
      </c>
      <c r="P252" s="345"/>
      <c r="Q252" s="345"/>
      <c r="R252" s="345"/>
      <c r="S252" s="345"/>
    </row>
    <row r="253" spans="1:19" s="48" customFormat="1">
      <c r="A253" s="248">
        <v>5.0000000000000001E-3</v>
      </c>
      <c r="B253" s="55" t="s">
        <v>102</v>
      </c>
      <c r="C253" s="55" t="s">
        <v>53</v>
      </c>
      <c r="D253" s="56" t="s">
        <v>173</v>
      </c>
      <c r="E253" s="57" t="s">
        <v>15</v>
      </c>
      <c r="F253" s="249">
        <f t="shared" si="12"/>
        <v>135295.57</v>
      </c>
      <c r="G253" s="267">
        <f t="shared" si="11"/>
        <v>27059114</v>
      </c>
      <c r="H253" s="345">
        <v>6802490</v>
      </c>
      <c r="I253" s="345">
        <v>6752208</v>
      </c>
      <c r="J253" s="345">
        <v>6752208</v>
      </c>
      <c r="K253" s="345">
        <v>6752208</v>
      </c>
      <c r="L253" s="345"/>
      <c r="M253" s="345"/>
      <c r="N253" s="345"/>
      <c r="O253" s="345">
        <v>0</v>
      </c>
      <c r="P253" s="345"/>
      <c r="Q253" s="345"/>
      <c r="R253" s="345"/>
      <c r="S253" s="345"/>
    </row>
    <row r="254" spans="1:19" s="48" customFormat="1">
      <c r="A254" s="248">
        <v>5.0000000000000001E-3</v>
      </c>
      <c r="B254" s="55" t="s">
        <v>102</v>
      </c>
      <c r="C254" s="55" t="s">
        <v>53</v>
      </c>
      <c r="D254" s="56" t="s">
        <v>174</v>
      </c>
      <c r="E254" s="57" t="s">
        <v>12</v>
      </c>
      <c r="F254" s="249">
        <f t="shared" si="12"/>
        <v>120000</v>
      </c>
      <c r="G254" s="267">
        <f t="shared" si="11"/>
        <v>24000000</v>
      </c>
      <c r="H254" s="345"/>
      <c r="I254" s="345"/>
      <c r="J254" s="345">
        <v>24000000</v>
      </c>
      <c r="K254" s="345"/>
      <c r="L254" s="345"/>
      <c r="M254" s="345"/>
      <c r="N254" s="345"/>
      <c r="O254" s="345">
        <v>0</v>
      </c>
      <c r="P254" s="345"/>
      <c r="Q254" s="345"/>
      <c r="R254" s="345"/>
      <c r="S254" s="345"/>
    </row>
    <row r="255" spans="1:19" s="48" customFormat="1">
      <c r="A255" s="248">
        <v>5.0000000000000001E-3</v>
      </c>
      <c r="B255" s="55" t="s">
        <v>102</v>
      </c>
      <c r="C255" s="55" t="s">
        <v>53</v>
      </c>
      <c r="D255" s="56" t="s">
        <v>174</v>
      </c>
      <c r="E255" s="57" t="s">
        <v>13</v>
      </c>
      <c r="F255" s="249">
        <f t="shared" si="12"/>
        <v>828545.85499999998</v>
      </c>
      <c r="G255" s="267">
        <f t="shared" si="11"/>
        <v>165709171</v>
      </c>
      <c r="H255" s="345"/>
      <c r="I255" s="345">
        <v>65342554</v>
      </c>
      <c r="J255" s="345">
        <v>100366617</v>
      </c>
      <c r="K255" s="345"/>
      <c r="L255" s="345"/>
      <c r="M255" s="345"/>
      <c r="N255" s="345"/>
      <c r="O255" s="345">
        <v>0</v>
      </c>
      <c r="P255" s="345"/>
      <c r="Q255" s="345"/>
      <c r="R255" s="345"/>
      <c r="S255" s="345"/>
    </row>
    <row r="256" spans="1:19" s="48" customFormat="1">
      <c r="A256" s="248">
        <v>5.0000000000000001E-3</v>
      </c>
      <c r="B256" s="55" t="s">
        <v>102</v>
      </c>
      <c r="C256" s="55" t="s">
        <v>53</v>
      </c>
      <c r="D256" s="56" t="s">
        <v>174</v>
      </c>
      <c r="E256" s="57" t="s">
        <v>14</v>
      </c>
      <c r="F256" s="249">
        <f t="shared" si="12"/>
        <v>351160</v>
      </c>
      <c r="G256" s="267">
        <f t="shared" si="11"/>
        <v>70232000</v>
      </c>
      <c r="H256" s="345"/>
      <c r="I256" s="345">
        <v>27360000</v>
      </c>
      <c r="J256" s="345">
        <v>42872000</v>
      </c>
      <c r="K256" s="345">
        <v>0</v>
      </c>
      <c r="L256" s="345">
        <v>0</v>
      </c>
      <c r="M256" s="345"/>
      <c r="N256" s="345">
        <v>0</v>
      </c>
      <c r="O256" s="345">
        <v>0</v>
      </c>
      <c r="P256" s="345"/>
      <c r="Q256" s="345"/>
      <c r="R256" s="345"/>
      <c r="S256" s="345"/>
    </row>
    <row r="257" spans="1:19" s="48" customFormat="1">
      <c r="A257" s="248">
        <v>5.0000000000000001E-3</v>
      </c>
      <c r="B257" s="55" t="s">
        <v>102</v>
      </c>
      <c r="C257" s="55" t="s">
        <v>53</v>
      </c>
      <c r="D257" s="56" t="s">
        <v>174</v>
      </c>
      <c r="E257" s="57" t="s">
        <v>17</v>
      </c>
      <c r="F257" s="249">
        <f t="shared" si="12"/>
        <v>24500</v>
      </c>
      <c r="G257" s="267">
        <f t="shared" si="11"/>
        <v>4900000</v>
      </c>
      <c r="H257" s="345"/>
      <c r="I257" s="345">
        <v>2800000</v>
      </c>
      <c r="J257" s="345">
        <v>2100000</v>
      </c>
      <c r="K257" s="345"/>
      <c r="L257" s="345"/>
      <c r="M257" s="345"/>
      <c r="N257" s="345"/>
      <c r="O257" s="345">
        <v>0</v>
      </c>
      <c r="P257" s="345"/>
      <c r="Q257" s="345"/>
      <c r="R257" s="345"/>
      <c r="S257" s="345"/>
    </row>
    <row r="258" spans="1:19" s="48" customFormat="1">
      <c r="A258" s="248">
        <v>5.0000000000000001E-3</v>
      </c>
      <c r="B258" s="55" t="s">
        <v>102</v>
      </c>
      <c r="C258" s="55" t="s">
        <v>53</v>
      </c>
      <c r="D258" s="56" t="s">
        <v>146</v>
      </c>
      <c r="E258" s="57" t="s">
        <v>13</v>
      </c>
      <c r="F258" s="249">
        <f t="shared" si="12"/>
        <v>127578.22140000001</v>
      </c>
      <c r="G258" s="267">
        <f t="shared" si="11"/>
        <v>25515644.280000001</v>
      </c>
      <c r="H258" s="345"/>
      <c r="I258" s="345"/>
      <c r="J258" s="345"/>
      <c r="K258" s="345"/>
      <c r="L258" s="345"/>
      <c r="M258" s="345">
        <v>16043648.279999999</v>
      </c>
      <c r="N258" s="345">
        <v>9471996</v>
      </c>
      <c r="O258" s="345"/>
      <c r="P258" s="345"/>
      <c r="Q258" s="345"/>
      <c r="R258" s="345"/>
      <c r="S258" s="345"/>
    </row>
    <row r="259" spans="1:19" s="48" customFormat="1">
      <c r="A259" s="248">
        <v>5.0000000000000001E-3</v>
      </c>
      <c r="B259" s="55" t="s">
        <v>102</v>
      </c>
      <c r="C259" s="55" t="s">
        <v>53</v>
      </c>
      <c r="D259" s="56" t="s">
        <v>146</v>
      </c>
      <c r="E259" s="57" t="s">
        <v>14</v>
      </c>
      <c r="F259" s="249">
        <f t="shared" si="12"/>
        <v>572500</v>
      </c>
      <c r="G259" s="267">
        <f t="shared" si="11"/>
        <v>114500000</v>
      </c>
      <c r="H259" s="345"/>
      <c r="I259" s="345"/>
      <c r="J259" s="345"/>
      <c r="K259" s="345"/>
      <c r="L259" s="345"/>
      <c r="M259" s="345">
        <v>52200000</v>
      </c>
      <c r="N259" s="345">
        <v>31150000</v>
      </c>
      <c r="O259" s="345">
        <v>31150000</v>
      </c>
      <c r="P259" s="345"/>
      <c r="Q259" s="345"/>
      <c r="R259" s="345"/>
      <c r="S259" s="345"/>
    </row>
    <row r="260" spans="1:19" s="48" customFormat="1">
      <c r="A260" s="248">
        <v>5.0000000000000001E-3</v>
      </c>
      <c r="B260" s="55" t="s">
        <v>102</v>
      </c>
      <c r="C260" s="55" t="s">
        <v>53</v>
      </c>
      <c r="D260" s="56" t="s">
        <v>146</v>
      </c>
      <c r="E260" s="57" t="s">
        <v>17</v>
      </c>
      <c r="F260" s="249">
        <f t="shared" si="12"/>
        <v>105000</v>
      </c>
      <c r="G260" s="267">
        <f t="shared" ref="G260:G273" si="13">SUM(H260:S260)</f>
        <v>21000000</v>
      </c>
      <c r="H260" s="345"/>
      <c r="I260" s="345"/>
      <c r="J260" s="345"/>
      <c r="K260" s="345"/>
      <c r="L260" s="345"/>
      <c r="M260" s="345">
        <v>7000000</v>
      </c>
      <c r="N260" s="345">
        <v>7000000</v>
      </c>
      <c r="O260" s="345">
        <v>7000000</v>
      </c>
      <c r="P260" s="345"/>
      <c r="Q260" s="345"/>
      <c r="R260" s="345"/>
      <c r="S260" s="345"/>
    </row>
    <row r="261" spans="1:19" s="48" customFormat="1">
      <c r="A261" s="248">
        <v>5.0000000000000001E-3</v>
      </c>
      <c r="B261" s="55" t="s">
        <v>102</v>
      </c>
      <c r="C261" s="55" t="s">
        <v>53</v>
      </c>
      <c r="D261" s="56" t="s">
        <v>146</v>
      </c>
      <c r="E261" s="57" t="s">
        <v>15</v>
      </c>
      <c r="F261" s="249">
        <f t="shared" si="12"/>
        <v>57435.154999999999</v>
      </c>
      <c r="G261" s="267">
        <f t="shared" si="13"/>
        <v>11487031</v>
      </c>
      <c r="H261" s="345"/>
      <c r="I261" s="345"/>
      <c r="J261" s="345"/>
      <c r="K261" s="345"/>
      <c r="L261" s="345"/>
      <c r="M261" s="345">
        <v>11487031</v>
      </c>
      <c r="N261" s="345"/>
      <c r="O261" s="345">
        <v>0</v>
      </c>
      <c r="P261" s="345"/>
      <c r="Q261" s="345"/>
      <c r="R261" s="345"/>
      <c r="S261" s="345"/>
    </row>
    <row r="262" spans="1:19" s="48" customFormat="1">
      <c r="A262" s="248">
        <v>5.0000000000000001E-3</v>
      </c>
      <c r="B262" s="55" t="s">
        <v>102</v>
      </c>
      <c r="C262" s="55" t="s">
        <v>53</v>
      </c>
      <c r="D262" s="56" t="s">
        <v>147</v>
      </c>
      <c r="E262" s="44" t="s">
        <v>12</v>
      </c>
      <c r="F262" s="249">
        <f t="shared" si="12"/>
        <v>560000</v>
      </c>
      <c r="G262" s="267">
        <f t="shared" si="13"/>
        <v>112000000</v>
      </c>
      <c r="H262" s="345">
        <v>28000000</v>
      </c>
      <c r="I262" s="345">
        <v>28000000</v>
      </c>
      <c r="J262" s="345">
        <v>28000000</v>
      </c>
      <c r="K262" s="345">
        <v>28000000</v>
      </c>
      <c r="L262" s="345"/>
      <c r="M262" s="345"/>
      <c r="N262" s="345"/>
      <c r="O262" s="345"/>
      <c r="P262" s="345"/>
      <c r="Q262" s="345"/>
      <c r="R262" s="345"/>
      <c r="S262" s="345"/>
    </row>
    <row r="263" spans="1:19" s="48" customFormat="1">
      <c r="A263" s="248">
        <v>5.0000000000000001E-3</v>
      </c>
      <c r="B263" s="55" t="s">
        <v>102</v>
      </c>
      <c r="C263" s="55" t="s">
        <v>53</v>
      </c>
      <c r="D263" s="56" t="s">
        <v>147</v>
      </c>
      <c r="E263" s="57" t="s">
        <v>13</v>
      </c>
      <c r="F263" s="249">
        <f t="shared" si="12"/>
        <v>63175.755000000005</v>
      </c>
      <c r="G263" s="267">
        <f t="shared" si="13"/>
        <v>12635151</v>
      </c>
      <c r="H263" s="345"/>
      <c r="I263" s="345"/>
      <c r="J263" s="345">
        <v>12635151</v>
      </c>
      <c r="K263" s="345"/>
      <c r="L263" s="345"/>
      <c r="M263" s="345"/>
      <c r="N263" s="345"/>
      <c r="O263" s="345">
        <v>0</v>
      </c>
      <c r="P263" s="345"/>
      <c r="Q263" s="345"/>
      <c r="R263" s="345"/>
      <c r="S263" s="345"/>
    </row>
    <row r="264" spans="1:19" s="48" customFormat="1">
      <c r="A264" s="248">
        <v>5.0000000000000001E-3</v>
      </c>
      <c r="B264" s="55" t="s">
        <v>102</v>
      </c>
      <c r="C264" s="55" t="s">
        <v>53</v>
      </c>
      <c r="D264" s="56" t="s">
        <v>147</v>
      </c>
      <c r="E264" s="57" t="s">
        <v>14</v>
      </c>
      <c r="F264" s="249">
        <f t="shared" si="12"/>
        <v>312000</v>
      </c>
      <c r="G264" s="267">
        <f t="shared" si="13"/>
        <v>62400000</v>
      </c>
      <c r="H264" s="345">
        <v>25800000</v>
      </c>
      <c r="I264" s="345">
        <v>9120000</v>
      </c>
      <c r="J264" s="345">
        <v>13980000</v>
      </c>
      <c r="K264" s="345">
        <v>6750000</v>
      </c>
      <c r="L264" s="345">
        <v>6750000</v>
      </c>
      <c r="M264" s="345"/>
      <c r="N264" s="345">
        <v>0</v>
      </c>
      <c r="O264" s="345">
        <v>0</v>
      </c>
      <c r="P264" s="345"/>
      <c r="Q264" s="345"/>
      <c r="R264" s="345"/>
      <c r="S264" s="345"/>
    </row>
    <row r="265" spans="1:19" s="48" customFormat="1">
      <c r="A265" s="248">
        <v>5.0000000000000001E-3</v>
      </c>
      <c r="B265" s="55" t="s">
        <v>102</v>
      </c>
      <c r="C265" s="55" t="s">
        <v>53</v>
      </c>
      <c r="D265" s="56" t="s">
        <v>147</v>
      </c>
      <c r="E265" s="57" t="s">
        <v>17</v>
      </c>
      <c r="F265" s="249">
        <f t="shared" si="12"/>
        <v>162400</v>
      </c>
      <c r="G265" s="267">
        <f t="shared" si="13"/>
        <v>32480000</v>
      </c>
      <c r="H265" s="345">
        <v>7000000</v>
      </c>
      <c r="I265" s="345">
        <v>5600000</v>
      </c>
      <c r="J265" s="345">
        <v>5880000</v>
      </c>
      <c r="K265" s="345">
        <v>7000000</v>
      </c>
      <c r="L265" s="345">
        <v>7000000</v>
      </c>
      <c r="M265" s="345"/>
      <c r="N265" s="345"/>
      <c r="O265" s="345">
        <v>0</v>
      </c>
      <c r="P265" s="345"/>
      <c r="Q265" s="345"/>
      <c r="R265" s="345"/>
      <c r="S265" s="345"/>
    </row>
    <row r="266" spans="1:19" s="48" customFormat="1">
      <c r="A266" s="248">
        <v>5.0000000000000001E-3</v>
      </c>
      <c r="B266" s="55" t="s">
        <v>102</v>
      </c>
      <c r="C266" s="55" t="s">
        <v>53</v>
      </c>
      <c r="D266" s="56" t="s">
        <v>147</v>
      </c>
      <c r="E266" s="57" t="s">
        <v>15</v>
      </c>
      <c r="F266" s="249">
        <f t="shared" si="12"/>
        <v>535134.16500000004</v>
      </c>
      <c r="G266" s="267">
        <f t="shared" si="13"/>
        <v>107026833</v>
      </c>
      <c r="H266" s="345">
        <v>54163510</v>
      </c>
      <c r="I266" s="345">
        <v>40664095</v>
      </c>
      <c r="J266" s="345">
        <v>12199228</v>
      </c>
      <c r="K266" s="345"/>
      <c r="L266" s="345"/>
      <c r="M266" s="345"/>
      <c r="N266" s="345"/>
      <c r="O266" s="345">
        <v>0</v>
      </c>
      <c r="P266" s="345"/>
      <c r="Q266" s="345"/>
      <c r="R266" s="345"/>
      <c r="S266" s="345"/>
    </row>
    <row r="267" spans="1:19" s="48" customFormat="1">
      <c r="A267" s="248">
        <v>5.0000000000000001E-3</v>
      </c>
      <c r="B267" s="55" t="s">
        <v>102</v>
      </c>
      <c r="C267" s="55" t="s">
        <v>53</v>
      </c>
      <c r="D267" s="56" t="s">
        <v>148</v>
      </c>
      <c r="E267" s="57" t="s">
        <v>13</v>
      </c>
      <c r="F267" s="249">
        <f t="shared" si="12"/>
        <v>54703.577349999992</v>
      </c>
      <c r="G267" s="267">
        <f t="shared" si="13"/>
        <v>10940715.469999999</v>
      </c>
      <c r="H267" s="345"/>
      <c r="I267" s="345"/>
      <c r="J267" s="345"/>
      <c r="K267" s="345"/>
      <c r="L267" s="345"/>
      <c r="M267" s="345">
        <v>6973515.4699999997</v>
      </c>
      <c r="N267" s="345">
        <v>3967200</v>
      </c>
      <c r="O267" s="345"/>
      <c r="P267" s="345"/>
      <c r="Q267" s="345"/>
      <c r="R267" s="345"/>
      <c r="S267" s="345"/>
    </row>
    <row r="268" spans="1:19" s="48" customFormat="1">
      <c r="A268" s="248">
        <v>5.0000000000000001E-3</v>
      </c>
      <c r="B268" s="55" t="s">
        <v>102</v>
      </c>
      <c r="C268" s="55" t="s">
        <v>53</v>
      </c>
      <c r="D268" s="56" t="s">
        <v>148</v>
      </c>
      <c r="E268" s="57" t="s">
        <v>17</v>
      </c>
      <c r="F268" s="249">
        <f t="shared" si="12"/>
        <v>14000</v>
      </c>
      <c r="G268" s="267">
        <f t="shared" si="13"/>
        <v>2800000</v>
      </c>
      <c r="H268" s="345"/>
      <c r="I268" s="345"/>
      <c r="J268" s="345"/>
      <c r="K268" s="345"/>
      <c r="L268" s="345"/>
      <c r="M268" s="345"/>
      <c r="N268" s="345">
        <v>1400000</v>
      </c>
      <c r="O268" s="345">
        <v>1400000</v>
      </c>
      <c r="P268" s="345"/>
      <c r="Q268" s="345"/>
      <c r="R268" s="345"/>
      <c r="S268" s="345"/>
    </row>
    <row r="269" spans="1:19" s="48" customFormat="1">
      <c r="A269" s="248">
        <v>5.0000000000000001E-3</v>
      </c>
      <c r="B269" s="55" t="s">
        <v>102</v>
      </c>
      <c r="C269" s="55" t="s">
        <v>53</v>
      </c>
      <c r="D269" s="56" t="s">
        <v>149</v>
      </c>
      <c r="E269" s="57" t="s">
        <v>12</v>
      </c>
      <c r="F269" s="249">
        <f t="shared" si="12"/>
        <v>200000</v>
      </c>
      <c r="G269" s="267">
        <f t="shared" si="13"/>
        <v>40000000</v>
      </c>
      <c r="H269" s="345"/>
      <c r="I269" s="345"/>
      <c r="J269" s="345"/>
      <c r="K269" s="345"/>
      <c r="L269" s="345"/>
      <c r="M269" s="345">
        <v>40000000</v>
      </c>
      <c r="N269" s="345"/>
      <c r="O269" s="345">
        <v>0</v>
      </c>
      <c r="P269" s="345"/>
      <c r="Q269" s="345"/>
      <c r="R269" s="345"/>
      <c r="S269" s="345"/>
    </row>
    <row r="270" spans="1:19" s="48" customFormat="1">
      <c r="A270" s="248">
        <v>5.0000000000000001E-3</v>
      </c>
      <c r="B270" s="55" t="s">
        <v>102</v>
      </c>
      <c r="C270" s="55" t="s">
        <v>53</v>
      </c>
      <c r="D270" s="56" t="s">
        <v>150</v>
      </c>
      <c r="E270" s="57" t="s">
        <v>13</v>
      </c>
      <c r="F270" s="249">
        <f t="shared" si="12"/>
        <v>76411.525850000005</v>
      </c>
      <c r="G270" s="267">
        <f t="shared" si="13"/>
        <v>15282305.17</v>
      </c>
      <c r="H270" s="345"/>
      <c r="I270" s="345"/>
      <c r="J270" s="345"/>
      <c r="K270" s="345"/>
      <c r="L270" s="345"/>
      <c r="M270" s="345">
        <v>15282305.17</v>
      </c>
      <c r="N270" s="345"/>
      <c r="O270" s="345"/>
      <c r="P270" s="345"/>
      <c r="Q270" s="345"/>
      <c r="R270" s="345"/>
      <c r="S270" s="345"/>
    </row>
    <row r="271" spans="1:19" s="48" customFormat="1">
      <c r="A271" s="248">
        <v>5.0000000000000001E-3</v>
      </c>
      <c r="B271" s="55" t="s">
        <v>102</v>
      </c>
      <c r="C271" s="55" t="s">
        <v>53</v>
      </c>
      <c r="D271" s="56" t="s">
        <v>150</v>
      </c>
      <c r="E271" s="57" t="s">
        <v>14</v>
      </c>
      <c r="F271" s="249">
        <f t="shared" si="12"/>
        <v>517500</v>
      </c>
      <c r="G271" s="267">
        <f t="shared" si="13"/>
        <v>103500000</v>
      </c>
      <c r="H271" s="345"/>
      <c r="I271" s="345"/>
      <c r="J271" s="345"/>
      <c r="K271" s="345"/>
      <c r="L271" s="345"/>
      <c r="M271" s="345">
        <v>34800000</v>
      </c>
      <c r="N271" s="345">
        <v>13350000</v>
      </c>
      <c r="O271" s="345">
        <v>13350000</v>
      </c>
      <c r="P271" s="345">
        <v>42000000</v>
      </c>
      <c r="Q271" s="345"/>
      <c r="R271" s="345"/>
      <c r="S271" s="345"/>
    </row>
    <row r="272" spans="1:19" s="48" customFormat="1">
      <c r="A272" s="248">
        <v>5.0000000000000001E-3</v>
      </c>
      <c r="B272" s="55" t="s">
        <v>102</v>
      </c>
      <c r="C272" s="55" t="s">
        <v>53</v>
      </c>
      <c r="D272" s="56" t="s">
        <v>150</v>
      </c>
      <c r="E272" s="57" t="s">
        <v>17</v>
      </c>
      <c r="F272" s="249">
        <f t="shared" ref="F272:F273" si="14">G272*A272</f>
        <v>98500</v>
      </c>
      <c r="G272" s="267">
        <f t="shared" si="13"/>
        <v>19700000</v>
      </c>
      <c r="H272" s="345"/>
      <c r="I272" s="345"/>
      <c r="J272" s="345"/>
      <c r="K272" s="345"/>
      <c r="L272" s="345"/>
      <c r="M272" s="345">
        <v>7000000</v>
      </c>
      <c r="N272" s="345">
        <v>5600000</v>
      </c>
      <c r="O272" s="345">
        <v>5600000</v>
      </c>
      <c r="P272" s="345">
        <v>1500000</v>
      </c>
      <c r="Q272" s="345"/>
      <c r="R272" s="345"/>
      <c r="S272" s="345"/>
    </row>
    <row r="273" spans="1:19" s="48" customFormat="1">
      <c r="A273" s="248">
        <v>5.0000000000000001E-3</v>
      </c>
      <c r="B273" s="55" t="s">
        <v>102</v>
      </c>
      <c r="C273" s="55" t="s">
        <v>53</v>
      </c>
      <c r="D273" s="56" t="s">
        <v>151</v>
      </c>
      <c r="E273" s="57" t="s">
        <v>13</v>
      </c>
      <c r="F273" s="249">
        <f t="shared" si="14"/>
        <v>27833.940000000002</v>
      </c>
      <c r="G273" s="267">
        <f t="shared" si="13"/>
        <v>5566788</v>
      </c>
      <c r="H273" s="345"/>
      <c r="I273" s="345"/>
      <c r="J273" s="345"/>
      <c r="K273" s="345"/>
      <c r="L273" s="345"/>
      <c r="M273" s="345"/>
      <c r="N273" s="345"/>
      <c r="O273" s="345">
        <v>4846788</v>
      </c>
      <c r="P273" s="345">
        <v>720000</v>
      </c>
      <c r="Q273" s="345"/>
      <c r="R273" s="345"/>
      <c r="S273" s="345"/>
    </row>
    <row r="274" spans="1:19" s="48" customFormat="1">
      <c r="A274" s="248">
        <v>5.0000000000000001E-3</v>
      </c>
      <c r="B274" s="55" t="s">
        <v>102</v>
      </c>
      <c r="C274" s="55" t="s">
        <v>53</v>
      </c>
      <c r="D274" s="56" t="s">
        <v>194</v>
      </c>
      <c r="E274" s="57" t="s">
        <v>17</v>
      </c>
      <c r="F274" s="249">
        <f t="shared" ref="F274:F277" si="15">G274*A274</f>
        <v>42500</v>
      </c>
      <c r="G274" s="267">
        <f t="shared" ref="G274:G277" si="16">SUM(H274:S274)</f>
        <v>8500000</v>
      </c>
      <c r="H274" s="345"/>
      <c r="I274" s="345"/>
      <c r="J274" s="345"/>
      <c r="K274" s="345"/>
      <c r="L274" s="345"/>
      <c r="M274" s="345"/>
      <c r="N274" s="345"/>
      <c r="O274" s="345"/>
      <c r="P274" s="345">
        <v>8500000</v>
      </c>
      <c r="Q274" s="345"/>
      <c r="R274" s="345"/>
      <c r="S274" s="345"/>
    </row>
    <row r="275" spans="1:19" s="48" customFormat="1">
      <c r="A275" s="248">
        <v>5.0000000000000001E-3</v>
      </c>
      <c r="B275" s="55" t="s">
        <v>102</v>
      </c>
      <c r="C275" s="55" t="s">
        <v>53</v>
      </c>
      <c r="D275" s="56" t="s">
        <v>194</v>
      </c>
      <c r="E275" s="57" t="s">
        <v>15</v>
      </c>
      <c r="F275" s="249">
        <f t="shared" si="15"/>
        <v>31864.405000000002</v>
      </c>
      <c r="G275" s="267">
        <f t="shared" si="16"/>
        <v>6372881</v>
      </c>
      <c r="H275" s="345"/>
      <c r="I275" s="345"/>
      <c r="J275" s="345"/>
      <c r="K275" s="345"/>
      <c r="L275" s="345"/>
      <c r="M275" s="345"/>
      <c r="N275" s="345"/>
      <c r="O275" s="345"/>
      <c r="P275" s="345">
        <v>6372881</v>
      </c>
      <c r="Q275" s="345"/>
      <c r="R275" s="345"/>
      <c r="S275" s="345"/>
    </row>
    <row r="276" spans="1:19" s="48" customFormat="1">
      <c r="A276" s="248">
        <v>5.0000000000000001E-3</v>
      </c>
      <c r="B276" s="55" t="s">
        <v>102</v>
      </c>
      <c r="C276" s="55" t="s">
        <v>53</v>
      </c>
      <c r="D276" s="56" t="s">
        <v>195</v>
      </c>
      <c r="E276" s="57" t="s">
        <v>17</v>
      </c>
      <c r="F276" s="249">
        <f t="shared" si="15"/>
        <v>20000</v>
      </c>
      <c r="G276" s="267">
        <f t="shared" si="16"/>
        <v>4000000</v>
      </c>
      <c r="H276" s="345"/>
      <c r="I276" s="345"/>
      <c r="J276" s="345"/>
      <c r="K276" s="345"/>
      <c r="L276" s="345"/>
      <c r="M276" s="345"/>
      <c r="N276" s="345"/>
      <c r="O276" s="345"/>
      <c r="P276" s="345">
        <v>4000000</v>
      </c>
      <c r="Q276" s="345"/>
      <c r="R276" s="345"/>
      <c r="S276" s="345"/>
    </row>
    <row r="277" spans="1:19" s="48" customFormat="1">
      <c r="A277" s="248">
        <v>5.0000000000000001E-3</v>
      </c>
      <c r="B277" s="55" t="s">
        <v>102</v>
      </c>
      <c r="C277" s="55" t="s">
        <v>53</v>
      </c>
      <c r="D277" s="56" t="s">
        <v>195</v>
      </c>
      <c r="E277" s="57" t="s">
        <v>15</v>
      </c>
      <c r="F277" s="249">
        <f t="shared" si="15"/>
        <v>31864.405000000002</v>
      </c>
      <c r="G277" s="267">
        <f t="shared" si="16"/>
        <v>6372881</v>
      </c>
      <c r="H277" s="345"/>
      <c r="I277" s="345"/>
      <c r="J277" s="345"/>
      <c r="K277" s="345"/>
      <c r="L277" s="345"/>
      <c r="M277" s="345"/>
      <c r="N277" s="345"/>
      <c r="O277" s="345"/>
      <c r="P277" s="345">
        <v>6372881</v>
      </c>
      <c r="Q277" s="345"/>
      <c r="R277" s="345"/>
      <c r="S277" s="345"/>
    </row>
    <row r="278" spans="1:19" s="48" customFormat="1">
      <c r="A278" s="248">
        <v>1.2107000000000001</v>
      </c>
      <c r="B278" s="55" t="s">
        <v>103</v>
      </c>
      <c r="C278" s="55" t="s">
        <v>53</v>
      </c>
      <c r="D278" s="56" t="s">
        <v>104</v>
      </c>
      <c r="E278" s="57" t="s">
        <v>17</v>
      </c>
      <c r="F278" s="249">
        <f t="shared" ref="F278:F308" si="17">G278*A278</f>
        <v>10896.300000000001</v>
      </c>
      <c r="G278" s="268">
        <v>9000</v>
      </c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</row>
    <row r="279" spans="1:19" s="48" customFormat="1">
      <c r="A279" s="248">
        <v>1.2107000000000001</v>
      </c>
      <c r="B279" s="55" t="s">
        <v>103</v>
      </c>
      <c r="C279" s="55" t="s">
        <v>53</v>
      </c>
      <c r="D279" s="56" t="s">
        <v>104</v>
      </c>
      <c r="E279" s="57" t="s">
        <v>16</v>
      </c>
      <c r="F279" s="249">
        <f t="shared" si="17"/>
        <v>149473.02200000003</v>
      </c>
      <c r="G279" s="268">
        <v>123460</v>
      </c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</row>
    <row r="280" spans="1:19" s="48" customFormat="1">
      <c r="A280" s="248">
        <v>1.2107000000000001</v>
      </c>
      <c r="B280" s="55" t="s">
        <v>103</v>
      </c>
      <c r="C280" s="55" t="s">
        <v>53</v>
      </c>
      <c r="D280" s="56" t="s">
        <v>104</v>
      </c>
      <c r="E280" s="57" t="s">
        <v>13</v>
      </c>
      <c r="F280" s="249">
        <f t="shared" si="17"/>
        <v>11138.44</v>
      </c>
      <c r="G280" s="268">
        <v>9200</v>
      </c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</row>
    <row r="281" spans="1:19" s="48" customFormat="1">
      <c r="A281" s="248">
        <v>1.2107000000000001</v>
      </c>
      <c r="B281" s="55" t="s">
        <v>103</v>
      </c>
      <c r="C281" s="55" t="s">
        <v>53</v>
      </c>
      <c r="D281" s="56" t="s">
        <v>105</v>
      </c>
      <c r="E281" s="57" t="s">
        <v>17</v>
      </c>
      <c r="F281" s="249">
        <f t="shared" si="17"/>
        <v>10896.300000000001</v>
      </c>
      <c r="G281" s="268">
        <v>9000</v>
      </c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</row>
    <row r="282" spans="1:19" s="48" customFormat="1">
      <c r="A282" s="248">
        <v>1.2107000000000001</v>
      </c>
      <c r="B282" s="55" t="s">
        <v>103</v>
      </c>
      <c r="C282" s="55" t="s">
        <v>53</v>
      </c>
      <c r="D282" s="56" t="s">
        <v>105</v>
      </c>
      <c r="E282" s="57" t="s">
        <v>16</v>
      </c>
      <c r="F282" s="249">
        <f t="shared" si="17"/>
        <v>145909.93190000003</v>
      </c>
      <c r="G282" s="268">
        <v>120517</v>
      </c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</row>
    <row r="283" spans="1:19" s="48" customFormat="1">
      <c r="A283" s="248">
        <v>1.2107000000000001</v>
      </c>
      <c r="B283" s="55" t="s">
        <v>103</v>
      </c>
      <c r="C283" s="55" t="s">
        <v>53</v>
      </c>
      <c r="D283" s="56" t="s">
        <v>106</v>
      </c>
      <c r="E283" s="57" t="s">
        <v>14</v>
      </c>
      <c r="F283" s="249">
        <f t="shared" si="17"/>
        <v>71531.788100000005</v>
      </c>
      <c r="G283" s="268">
        <v>59083</v>
      </c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</row>
    <row r="284" spans="1:19" s="48" customFormat="1">
      <c r="A284" s="248">
        <v>1.2107000000000001</v>
      </c>
      <c r="B284" s="55" t="s">
        <v>103</v>
      </c>
      <c r="C284" s="55" t="s">
        <v>53</v>
      </c>
      <c r="D284" s="56" t="s">
        <v>106</v>
      </c>
      <c r="E284" s="57" t="s">
        <v>17</v>
      </c>
      <c r="F284" s="249">
        <f t="shared" si="17"/>
        <v>10896.300000000001</v>
      </c>
      <c r="G284" s="268">
        <v>9000</v>
      </c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</row>
    <row r="285" spans="1:19" s="48" customFormat="1">
      <c r="A285" s="248">
        <v>1.2107000000000001</v>
      </c>
      <c r="B285" s="55" t="s">
        <v>103</v>
      </c>
      <c r="C285" s="55" t="s">
        <v>53</v>
      </c>
      <c r="D285" s="56" t="s">
        <v>106</v>
      </c>
      <c r="E285" s="57" t="s">
        <v>16</v>
      </c>
      <c r="F285" s="249">
        <f t="shared" si="17"/>
        <v>99176.911900000006</v>
      </c>
      <c r="G285" s="268">
        <v>81917</v>
      </c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</row>
    <row r="286" spans="1:19" s="48" customFormat="1">
      <c r="A286" s="248">
        <v>1.2107000000000001</v>
      </c>
      <c r="B286" s="55" t="s">
        <v>103</v>
      </c>
      <c r="C286" s="55" t="s">
        <v>53</v>
      </c>
      <c r="D286" s="56" t="s">
        <v>107</v>
      </c>
      <c r="E286" s="57" t="s">
        <v>15</v>
      </c>
      <c r="F286" s="249">
        <f t="shared" si="17"/>
        <v>6683.0640000000003</v>
      </c>
      <c r="G286" s="268">
        <v>5520</v>
      </c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</row>
    <row r="287" spans="1:19" s="48" customFormat="1">
      <c r="A287" s="248">
        <v>1.2107000000000001</v>
      </c>
      <c r="B287" s="55" t="s">
        <v>103</v>
      </c>
      <c r="C287" s="55" t="s">
        <v>53</v>
      </c>
      <c r="D287" s="56" t="s">
        <v>107</v>
      </c>
      <c r="E287" s="57" t="s">
        <v>17</v>
      </c>
      <c r="F287" s="249">
        <f t="shared" si="17"/>
        <v>19371.2</v>
      </c>
      <c r="G287" s="268">
        <v>16000</v>
      </c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</row>
    <row r="288" spans="1:19" s="48" customFormat="1">
      <c r="A288" s="248">
        <v>1.2107000000000001</v>
      </c>
      <c r="B288" s="55" t="s">
        <v>103</v>
      </c>
      <c r="C288" s="55" t="s">
        <v>53</v>
      </c>
      <c r="D288" s="56" t="s">
        <v>107</v>
      </c>
      <c r="E288" s="57" t="s">
        <v>13</v>
      </c>
      <c r="F288" s="249">
        <f t="shared" si="17"/>
        <v>15860.170000000002</v>
      </c>
      <c r="G288" s="268">
        <v>13100</v>
      </c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</row>
    <row r="289" spans="1:19" s="48" customFormat="1">
      <c r="A289" s="248">
        <v>1.2107000000000001</v>
      </c>
      <c r="B289" s="55" t="s">
        <v>103</v>
      </c>
      <c r="C289" s="55" t="s">
        <v>53</v>
      </c>
      <c r="D289" s="56" t="s">
        <v>108</v>
      </c>
      <c r="E289" s="57" t="s">
        <v>17</v>
      </c>
      <c r="F289" s="249">
        <f t="shared" si="17"/>
        <v>15739.100000000002</v>
      </c>
      <c r="G289" s="268">
        <v>13000</v>
      </c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</row>
    <row r="290" spans="1:19" s="48" customFormat="1">
      <c r="A290" s="248">
        <v>1.2107000000000001</v>
      </c>
      <c r="B290" s="55" t="s">
        <v>103</v>
      </c>
      <c r="C290" s="55" t="s">
        <v>53</v>
      </c>
      <c r="D290" s="56" t="s">
        <v>108</v>
      </c>
      <c r="E290" s="57" t="s">
        <v>13</v>
      </c>
      <c r="F290" s="249">
        <f t="shared" si="17"/>
        <v>15860.170000000002</v>
      </c>
      <c r="G290" s="268">
        <v>13100</v>
      </c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</row>
    <row r="291" spans="1:19" s="48" customFormat="1">
      <c r="A291" s="248">
        <v>1.2107000000000001</v>
      </c>
      <c r="B291" s="55" t="s">
        <v>103</v>
      </c>
      <c r="C291" s="55" t="s">
        <v>53</v>
      </c>
      <c r="D291" s="56" t="s">
        <v>109</v>
      </c>
      <c r="E291" s="57" t="s">
        <v>15</v>
      </c>
      <c r="F291" s="249">
        <f t="shared" si="17"/>
        <v>15032.051200000002</v>
      </c>
      <c r="G291" s="268">
        <v>12416</v>
      </c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</row>
    <row r="292" spans="1:19" s="48" customFormat="1">
      <c r="A292" s="248">
        <v>1.2107000000000001</v>
      </c>
      <c r="B292" s="55" t="s">
        <v>103</v>
      </c>
      <c r="C292" s="55" t="s">
        <v>53</v>
      </c>
      <c r="D292" s="56" t="s">
        <v>109</v>
      </c>
      <c r="E292" s="57" t="s">
        <v>17</v>
      </c>
      <c r="F292" s="249">
        <f t="shared" si="17"/>
        <v>36387.588500000005</v>
      </c>
      <c r="G292" s="268">
        <v>30055</v>
      </c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</row>
    <row r="293" spans="1:19" s="48" customFormat="1">
      <c r="A293" s="248">
        <v>1.2107000000000001</v>
      </c>
      <c r="B293" s="55" t="s">
        <v>103</v>
      </c>
      <c r="C293" s="55" t="s">
        <v>53</v>
      </c>
      <c r="D293" s="56" t="s">
        <v>109</v>
      </c>
      <c r="E293" s="57" t="s">
        <v>13</v>
      </c>
      <c r="F293" s="249">
        <f t="shared" si="17"/>
        <v>61079.815000000002</v>
      </c>
      <c r="G293" s="268">
        <v>50450</v>
      </c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</row>
    <row r="294" spans="1:19" s="48" customFormat="1">
      <c r="A294" s="248">
        <v>1.2107000000000001</v>
      </c>
      <c r="B294" s="55" t="s">
        <v>103</v>
      </c>
      <c r="C294" s="55" t="s">
        <v>53</v>
      </c>
      <c r="D294" s="56" t="s">
        <v>110</v>
      </c>
      <c r="E294" s="57" t="s">
        <v>12</v>
      </c>
      <c r="F294" s="249">
        <f t="shared" si="17"/>
        <v>22809.588000000003</v>
      </c>
      <c r="G294" s="268">
        <v>18840</v>
      </c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</row>
    <row r="295" spans="1:19" s="48" customFormat="1">
      <c r="A295" s="248">
        <v>1.2107000000000001</v>
      </c>
      <c r="B295" s="55" t="s">
        <v>103</v>
      </c>
      <c r="C295" s="55" t="s">
        <v>53</v>
      </c>
      <c r="D295" s="56" t="s">
        <v>110</v>
      </c>
      <c r="E295" s="57" t="s">
        <v>14</v>
      </c>
      <c r="F295" s="249">
        <f t="shared" si="17"/>
        <v>55625.611500000006</v>
      </c>
      <c r="G295" s="268">
        <v>45945</v>
      </c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</row>
    <row r="296" spans="1:19" s="48" customFormat="1">
      <c r="A296" s="248">
        <v>1.2107000000000001</v>
      </c>
      <c r="B296" s="55" t="s">
        <v>103</v>
      </c>
      <c r="C296" s="55" t="s">
        <v>53</v>
      </c>
      <c r="D296" s="56" t="s">
        <v>110</v>
      </c>
      <c r="E296" s="57" t="s">
        <v>15</v>
      </c>
      <c r="F296" s="249">
        <f t="shared" si="17"/>
        <v>27337.606000000003</v>
      </c>
      <c r="G296" s="268">
        <v>22580</v>
      </c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</row>
    <row r="297" spans="1:19" s="48" customFormat="1">
      <c r="A297" s="248">
        <v>1.2107000000000001</v>
      </c>
      <c r="B297" s="55" t="s">
        <v>103</v>
      </c>
      <c r="C297" s="55" t="s">
        <v>53</v>
      </c>
      <c r="D297" s="56" t="s">
        <v>110</v>
      </c>
      <c r="E297" s="57" t="s">
        <v>17</v>
      </c>
      <c r="F297" s="249">
        <f t="shared" si="17"/>
        <v>21563.777700000002</v>
      </c>
      <c r="G297" s="268">
        <v>17811</v>
      </c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</row>
    <row r="298" spans="1:19" s="48" customFormat="1">
      <c r="A298" s="248">
        <v>1.2107000000000001</v>
      </c>
      <c r="B298" s="55" t="s">
        <v>103</v>
      </c>
      <c r="C298" s="55" t="s">
        <v>53</v>
      </c>
      <c r="D298" s="56" t="s">
        <v>110</v>
      </c>
      <c r="E298" s="57" t="s">
        <v>13</v>
      </c>
      <c r="F298" s="249">
        <f t="shared" si="17"/>
        <v>57241.896000000008</v>
      </c>
      <c r="G298" s="268">
        <v>47280</v>
      </c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</row>
    <row r="299" spans="1:19" s="48" customFormat="1">
      <c r="A299" s="248">
        <v>1.2107000000000001</v>
      </c>
      <c r="B299" s="55" t="s">
        <v>103</v>
      </c>
      <c r="C299" s="55" t="s">
        <v>53</v>
      </c>
      <c r="D299" s="56" t="s">
        <v>111</v>
      </c>
      <c r="E299" s="57" t="s">
        <v>14</v>
      </c>
      <c r="F299" s="249">
        <f t="shared" si="17"/>
        <v>55625.611500000006</v>
      </c>
      <c r="G299" s="268">
        <v>45945</v>
      </c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</row>
    <row r="300" spans="1:19" s="48" customFormat="1">
      <c r="A300" s="248">
        <v>1.2107000000000001</v>
      </c>
      <c r="B300" s="55" t="s">
        <v>103</v>
      </c>
      <c r="C300" s="55" t="s">
        <v>53</v>
      </c>
      <c r="D300" s="56" t="s">
        <v>111</v>
      </c>
      <c r="E300" s="57" t="s">
        <v>15</v>
      </c>
      <c r="F300" s="249">
        <f t="shared" si="17"/>
        <v>30742.094400000002</v>
      </c>
      <c r="G300" s="268">
        <v>25392</v>
      </c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</row>
    <row r="301" spans="1:19" s="48" customFormat="1">
      <c r="A301" s="248">
        <v>1.2107000000000001</v>
      </c>
      <c r="B301" s="55" t="s">
        <v>103</v>
      </c>
      <c r="C301" s="55" t="s">
        <v>53</v>
      </c>
      <c r="D301" s="56" t="s">
        <v>111</v>
      </c>
      <c r="E301" s="57" t="s">
        <v>17</v>
      </c>
      <c r="F301" s="249">
        <f t="shared" si="17"/>
        <v>23756.3554</v>
      </c>
      <c r="G301" s="268">
        <v>19622</v>
      </c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</row>
    <row r="302" spans="1:19" s="48" customFormat="1">
      <c r="A302" s="248">
        <v>1.2107000000000001</v>
      </c>
      <c r="B302" s="55" t="s">
        <v>103</v>
      </c>
      <c r="C302" s="55" t="s">
        <v>53</v>
      </c>
      <c r="D302" s="56" t="s">
        <v>111</v>
      </c>
      <c r="E302" s="57" t="s">
        <v>13</v>
      </c>
      <c r="F302" s="249">
        <f t="shared" si="17"/>
        <v>21017.752</v>
      </c>
      <c r="G302" s="268">
        <v>17360</v>
      </c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</row>
    <row r="303" spans="1:19" s="48" customFormat="1">
      <c r="A303" s="248">
        <v>0.28000000000000003</v>
      </c>
      <c r="B303" s="55" t="s">
        <v>116</v>
      </c>
      <c r="C303" s="55" t="s">
        <v>56</v>
      </c>
      <c r="D303" s="56" t="s">
        <v>115</v>
      </c>
      <c r="E303" s="57" t="s">
        <v>13</v>
      </c>
      <c r="F303" s="249">
        <f t="shared" si="17"/>
        <v>1737095.7772000001</v>
      </c>
      <c r="G303" s="275">
        <f t="shared" ref="G303:G308" si="18">SUM(H303:S303)</f>
        <v>6203913.4900000002</v>
      </c>
      <c r="H303" s="274">
        <v>566629.75</v>
      </c>
      <c r="I303" s="274">
        <v>681175.75</v>
      </c>
      <c r="J303" s="274">
        <v>681175.75</v>
      </c>
      <c r="K303" s="274">
        <v>949123.75</v>
      </c>
      <c r="L303" s="274">
        <v>663617</v>
      </c>
      <c r="M303" s="274">
        <v>854579.52</v>
      </c>
      <c r="N303" s="274">
        <v>788828.48</v>
      </c>
      <c r="O303" s="274">
        <v>788828.48</v>
      </c>
      <c r="P303" s="274">
        <v>229955.01</v>
      </c>
      <c r="Q303" s="58"/>
      <c r="R303" s="58"/>
      <c r="S303" s="58"/>
    </row>
    <row r="304" spans="1:19" s="48" customFormat="1">
      <c r="A304" s="248">
        <v>0.28000000000000003</v>
      </c>
      <c r="B304" s="55" t="s">
        <v>116</v>
      </c>
      <c r="C304" s="55" t="s">
        <v>56</v>
      </c>
      <c r="D304" s="56" t="s">
        <v>115</v>
      </c>
      <c r="E304" s="57" t="s">
        <v>14</v>
      </c>
      <c r="F304" s="249">
        <f t="shared" si="17"/>
        <v>75735.240000000005</v>
      </c>
      <c r="G304" s="275">
        <f t="shared" si="18"/>
        <v>270483</v>
      </c>
      <c r="H304" s="274"/>
      <c r="I304" s="274">
        <v>44172</v>
      </c>
      <c r="J304" s="274">
        <v>0</v>
      </c>
      <c r="K304" s="274">
        <v>0</v>
      </c>
      <c r="L304" s="274">
        <v>226311</v>
      </c>
      <c r="M304" s="274" t="s">
        <v>117</v>
      </c>
      <c r="N304" s="274">
        <v>0</v>
      </c>
      <c r="O304" s="274">
        <v>0</v>
      </c>
      <c r="P304" s="274">
        <v>0</v>
      </c>
      <c r="Q304" s="58"/>
      <c r="R304" s="58"/>
      <c r="S304" s="58"/>
    </row>
    <row r="305" spans="1:19" s="48" customFormat="1">
      <c r="A305" s="248">
        <v>0.28000000000000003</v>
      </c>
      <c r="B305" s="55" t="s">
        <v>116</v>
      </c>
      <c r="C305" s="55" t="s">
        <v>56</v>
      </c>
      <c r="D305" s="56" t="s">
        <v>115</v>
      </c>
      <c r="E305" s="57" t="s">
        <v>16</v>
      </c>
      <c r="F305" s="249">
        <f t="shared" si="17"/>
        <v>3011100.7164000007</v>
      </c>
      <c r="G305" s="275">
        <f t="shared" si="18"/>
        <v>10753931.130000001</v>
      </c>
      <c r="H305" s="274">
        <v>513000</v>
      </c>
      <c r="I305" s="274">
        <v>873875</v>
      </c>
      <c r="J305" s="274">
        <v>1062237</v>
      </c>
      <c r="K305" s="274">
        <v>1588829</v>
      </c>
      <c r="L305" s="274">
        <v>1588829</v>
      </c>
      <c r="M305" s="274">
        <v>1065853.25</v>
      </c>
      <c r="N305" s="274">
        <v>1559596.08</v>
      </c>
      <c r="O305" s="274">
        <v>1395022</v>
      </c>
      <c r="P305" s="274">
        <v>1106689.8</v>
      </c>
      <c r="Q305" s="58"/>
      <c r="R305" s="58"/>
      <c r="S305" s="58"/>
    </row>
    <row r="306" spans="1:19" s="48" customFormat="1">
      <c r="A306" s="248">
        <v>0.28000000000000003</v>
      </c>
      <c r="B306" s="55" t="s">
        <v>116</v>
      </c>
      <c r="C306" s="55" t="s">
        <v>56</v>
      </c>
      <c r="D306" s="56" t="s">
        <v>115</v>
      </c>
      <c r="E306" s="57" t="s">
        <v>17</v>
      </c>
      <c r="F306" s="249">
        <f t="shared" si="17"/>
        <v>1254906.3044</v>
      </c>
      <c r="G306" s="275">
        <f t="shared" si="18"/>
        <v>4481808.2299999995</v>
      </c>
      <c r="H306" s="274">
        <v>267337.59999999998</v>
      </c>
      <c r="I306" s="274">
        <v>267337.59999999998</v>
      </c>
      <c r="J306" s="274">
        <v>338021</v>
      </c>
      <c r="K306" s="274">
        <v>665239</v>
      </c>
      <c r="L306" s="274">
        <v>327218</v>
      </c>
      <c r="M306" s="274">
        <v>1007825.86</v>
      </c>
      <c r="N306" s="274">
        <v>551385.92000000004</v>
      </c>
      <c r="O306" s="274">
        <v>551385.92000000004</v>
      </c>
      <c r="P306" s="274">
        <v>506057.33</v>
      </c>
      <c r="Q306" s="58"/>
      <c r="R306" s="58"/>
      <c r="S306" s="58"/>
    </row>
    <row r="307" spans="1:19" s="48" customFormat="1">
      <c r="A307" s="248">
        <v>0.28000000000000003</v>
      </c>
      <c r="B307" s="55" t="s">
        <v>116</v>
      </c>
      <c r="C307" s="55" t="s">
        <v>56</v>
      </c>
      <c r="D307" s="56" t="s">
        <v>115</v>
      </c>
      <c r="E307" s="57" t="s">
        <v>15</v>
      </c>
      <c r="F307" s="249">
        <f t="shared" si="17"/>
        <v>715863.70520000008</v>
      </c>
      <c r="G307" s="275">
        <f t="shared" si="18"/>
        <v>2556656.09</v>
      </c>
      <c r="H307" s="274">
        <v>334400</v>
      </c>
      <c r="I307" s="274">
        <v>150128</v>
      </c>
      <c r="J307" s="274">
        <v>150128</v>
      </c>
      <c r="K307" s="274">
        <v>387219.20000000001</v>
      </c>
      <c r="L307" s="274">
        <v>317798.2</v>
      </c>
      <c r="M307" s="274">
        <v>422114.69</v>
      </c>
      <c r="N307" s="274">
        <v>0</v>
      </c>
      <c r="O307" s="274">
        <v>605598</v>
      </c>
      <c r="P307" s="274">
        <v>189270</v>
      </c>
      <c r="Q307" s="58"/>
      <c r="R307" s="58"/>
      <c r="S307" s="58"/>
    </row>
    <row r="308" spans="1:19" s="48" customFormat="1">
      <c r="A308" s="248">
        <v>0.28000000000000003</v>
      </c>
      <c r="B308" s="55" t="s">
        <v>116</v>
      </c>
      <c r="C308" s="55" t="s">
        <v>56</v>
      </c>
      <c r="D308" s="56" t="s">
        <v>115</v>
      </c>
      <c r="E308" s="57" t="s">
        <v>61</v>
      </c>
      <c r="F308" s="249">
        <f t="shared" si="17"/>
        <v>482980.4</v>
      </c>
      <c r="G308" s="275">
        <f t="shared" si="18"/>
        <v>1724930</v>
      </c>
      <c r="H308" s="274"/>
      <c r="I308" s="274">
        <v>862465</v>
      </c>
      <c r="J308" s="274">
        <v>862465</v>
      </c>
      <c r="K308" s="274">
        <v>0</v>
      </c>
      <c r="L308" s="274">
        <v>0</v>
      </c>
      <c r="M308" s="274" t="s">
        <v>118</v>
      </c>
      <c r="N308" s="274">
        <v>0</v>
      </c>
      <c r="O308" s="274">
        <v>0</v>
      </c>
      <c r="P308" s="274">
        <v>0</v>
      </c>
      <c r="Q308" s="58"/>
      <c r="R308" s="58"/>
      <c r="S308" s="58"/>
    </row>
    <row r="309" spans="1:19" s="48" customFormat="1">
      <c r="A309" s="248">
        <v>0.28000000000000003</v>
      </c>
      <c r="B309" s="55" t="s">
        <v>116</v>
      </c>
      <c r="C309" s="55" t="s">
        <v>53</v>
      </c>
      <c r="D309" s="56" t="s">
        <v>183</v>
      </c>
      <c r="E309" s="57" t="s">
        <v>13</v>
      </c>
      <c r="F309" s="249">
        <f>G309*A309</f>
        <v>6643.8372000000008</v>
      </c>
      <c r="G309" s="275">
        <f t="shared" ref="G309:G315" si="19">SUM(H309:S309)</f>
        <v>23727.99</v>
      </c>
      <c r="H309" s="274"/>
      <c r="I309" s="274"/>
      <c r="J309" s="274"/>
      <c r="K309" s="274"/>
      <c r="L309" s="274"/>
      <c r="M309" s="274"/>
      <c r="N309" s="274"/>
      <c r="O309" s="274"/>
      <c r="P309" s="274">
        <v>23727.99</v>
      </c>
      <c r="Q309" s="274"/>
      <c r="R309" s="274"/>
      <c r="S309" s="58"/>
    </row>
    <row r="310" spans="1:19" s="48" customFormat="1">
      <c r="A310" s="248">
        <v>0.28000000000000003</v>
      </c>
      <c r="B310" s="55" t="s">
        <v>116</v>
      </c>
      <c r="C310" s="55" t="s">
        <v>53</v>
      </c>
      <c r="D310" s="56" t="s">
        <v>183</v>
      </c>
      <c r="E310" s="57" t="s">
        <v>13</v>
      </c>
      <c r="F310" s="249">
        <f t="shared" ref="F310:F315" si="20">G310*A310</f>
        <v>25335.609600000003</v>
      </c>
      <c r="G310" s="275">
        <f t="shared" si="19"/>
        <v>90484.32</v>
      </c>
      <c r="H310" s="274"/>
      <c r="I310" s="274"/>
      <c r="J310" s="274"/>
      <c r="K310" s="274"/>
      <c r="L310" s="274"/>
      <c r="M310" s="274"/>
      <c r="N310" s="274"/>
      <c r="O310" s="274"/>
      <c r="P310" s="274">
        <v>90484.32</v>
      </c>
      <c r="Q310" s="274"/>
      <c r="R310" s="274"/>
      <c r="S310" s="58"/>
    </row>
    <row r="311" spans="1:19" s="48" customFormat="1">
      <c r="A311" s="248">
        <v>0.28000000000000003</v>
      </c>
      <c r="B311" s="55" t="s">
        <v>116</v>
      </c>
      <c r="C311" s="55" t="s">
        <v>53</v>
      </c>
      <c r="D311" s="56" t="s">
        <v>183</v>
      </c>
      <c r="E311" s="57" t="s">
        <v>13</v>
      </c>
      <c r="F311" s="249">
        <f t="shared" si="20"/>
        <v>19493.334000000003</v>
      </c>
      <c r="G311" s="275">
        <f t="shared" si="19"/>
        <v>69619.05</v>
      </c>
      <c r="H311" s="274"/>
      <c r="I311" s="274"/>
      <c r="J311" s="274"/>
      <c r="K311" s="274"/>
      <c r="L311" s="274"/>
      <c r="M311" s="274"/>
      <c r="N311" s="274"/>
      <c r="O311" s="274"/>
      <c r="P311" s="274">
        <v>69619.05</v>
      </c>
      <c r="Q311" s="274"/>
      <c r="R311" s="274"/>
      <c r="S311" s="58"/>
    </row>
    <row r="312" spans="1:19" s="48" customFormat="1">
      <c r="A312" s="248">
        <v>0.28000000000000003</v>
      </c>
      <c r="B312" s="55" t="s">
        <v>116</v>
      </c>
      <c r="C312" s="55" t="s">
        <v>53</v>
      </c>
      <c r="D312" s="56" t="s">
        <v>184</v>
      </c>
      <c r="E312" s="57" t="s">
        <v>13</v>
      </c>
      <c r="F312" s="249">
        <f t="shared" si="20"/>
        <v>154.58800000000002</v>
      </c>
      <c r="G312" s="275">
        <f t="shared" si="19"/>
        <v>552.1</v>
      </c>
      <c r="H312" s="274"/>
      <c r="I312" s="274"/>
      <c r="J312" s="274"/>
      <c r="K312" s="274"/>
      <c r="L312" s="274"/>
      <c r="M312" s="274"/>
      <c r="N312" s="274"/>
      <c r="O312" s="274"/>
      <c r="P312" s="274">
        <v>552.1</v>
      </c>
      <c r="Q312" s="274"/>
      <c r="R312" s="274"/>
      <c r="S312" s="58"/>
    </row>
    <row r="313" spans="1:19" s="48" customFormat="1">
      <c r="A313" s="248">
        <v>0.28000000000000003</v>
      </c>
      <c r="B313" s="55" t="s">
        <v>116</v>
      </c>
      <c r="C313" s="55" t="s">
        <v>53</v>
      </c>
      <c r="D313" s="56" t="s">
        <v>184</v>
      </c>
      <c r="E313" s="57" t="s">
        <v>13</v>
      </c>
      <c r="F313" s="249">
        <f t="shared" si="20"/>
        <v>662.71800000000007</v>
      </c>
      <c r="G313" s="275">
        <f t="shared" si="19"/>
        <v>2366.85</v>
      </c>
      <c r="H313" s="274"/>
      <c r="I313" s="274"/>
      <c r="J313" s="274"/>
      <c r="K313" s="274"/>
      <c r="L313" s="274"/>
      <c r="M313" s="274"/>
      <c r="N313" s="274"/>
      <c r="O313" s="274"/>
      <c r="P313" s="274">
        <v>2366.85</v>
      </c>
      <c r="Q313" s="274"/>
      <c r="R313" s="274"/>
      <c r="S313" s="58"/>
    </row>
    <row r="314" spans="1:19" s="48" customFormat="1">
      <c r="A314" s="248">
        <v>0.28000000000000003</v>
      </c>
      <c r="B314" s="55" t="s">
        <v>116</v>
      </c>
      <c r="C314" s="55" t="s">
        <v>53</v>
      </c>
      <c r="D314" s="56" t="s">
        <v>185</v>
      </c>
      <c r="E314" s="57" t="s">
        <v>13</v>
      </c>
      <c r="F314" s="249">
        <f t="shared" si="20"/>
        <v>4861.4356000000007</v>
      </c>
      <c r="G314" s="275">
        <f t="shared" si="19"/>
        <v>17362.27</v>
      </c>
      <c r="H314" s="274"/>
      <c r="I314" s="274"/>
      <c r="J314" s="274"/>
      <c r="K314" s="274"/>
      <c r="L314" s="274"/>
      <c r="M314" s="274"/>
      <c r="N314" s="274"/>
      <c r="O314" s="274"/>
      <c r="P314" s="274">
        <v>17362.27</v>
      </c>
      <c r="Q314" s="274"/>
      <c r="R314" s="274"/>
      <c r="S314" s="58"/>
    </row>
    <row r="315" spans="1:19" s="48" customFormat="1">
      <c r="A315" s="248">
        <v>0.28000000000000003</v>
      </c>
      <c r="B315" s="55" t="s">
        <v>116</v>
      </c>
      <c r="C315" s="55" t="s">
        <v>53</v>
      </c>
      <c r="D315" s="56" t="s">
        <v>185</v>
      </c>
      <c r="E315" s="57" t="s">
        <v>13</v>
      </c>
      <c r="F315" s="249">
        <f t="shared" si="20"/>
        <v>7235.8804000000009</v>
      </c>
      <c r="G315" s="275">
        <f t="shared" si="19"/>
        <v>25842.43</v>
      </c>
      <c r="H315" s="274"/>
      <c r="I315" s="274"/>
      <c r="J315" s="274"/>
      <c r="K315" s="274"/>
      <c r="L315" s="274"/>
      <c r="M315" s="274"/>
      <c r="N315" s="274"/>
      <c r="O315" s="274"/>
      <c r="P315" s="274">
        <v>25842.43</v>
      </c>
      <c r="Q315" s="274"/>
      <c r="R315" s="274"/>
      <c r="S315" s="58"/>
    </row>
    <row r="316" spans="1:19" ht="13.5" thickBot="1">
      <c r="F316" s="256">
        <f>SUBTOTAL(9,F8:F315)</f>
        <v>68546839.150372252</v>
      </c>
      <c r="G316" s="256"/>
      <c r="H316" s="162"/>
      <c r="I316" s="162"/>
      <c r="J316" s="162"/>
      <c r="K316" s="162"/>
      <c r="L316" s="162"/>
      <c r="M316" s="162"/>
      <c r="N316" s="162"/>
      <c r="O316" s="162"/>
      <c r="P316" s="162"/>
      <c r="Q316" s="162"/>
      <c r="R316" s="162"/>
      <c r="S316" s="162"/>
    </row>
    <row r="317" spans="1:19" ht="13.5" thickTop="1">
      <c r="F317" s="260"/>
      <c r="H317" s="162"/>
      <c r="I317" s="162"/>
      <c r="J317" s="162"/>
      <c r="K317" s="162"/>
      <c r="L317" s="162"/>
      <c r="M317" s="162"/>
      <c r="N317" s="162"/>
      <c r="O317" s="162"/>
      <c r="P317" s="162"/>
      <c r="Q317" s="162"/>
      <c r="R317" s="162"/>
      <c r="S317" s="162"/>
    </row>
    <row r="318" spans="1:19" ht="13.5" thickBot="1">
      <c r="F318" s="260"/>
      <c r="H318" s="162"/>
      <c r="I318" s="162"/>
      <c r="J318" s="162"/>
      <c r="K318" s="162"/>
      <c r="L318" s="162"/>
      <c r="M318" s="162"/>
      <c r="N318" s="162"/>
      <c r="O318" s="162"/>
      <c r="P318" s="162"/>
      <c r="Q318" s="162"/>
      <c r="R318" s="162"/>
      <c r="S318" s="162"/>
    </row>
    <row r="319" spans="1:19" ht="21.65" customHeight="1">
      <c r="C319" s="271" t="s">
        <v>180</v>
      </c>
      <c r="D319" s="272" t="s">
        <v>112</v>
      </c>
      <c r="E319" s="273" t="s">
        <v>113</v>
      </c>
      <c r="F319" s="260"/>
      <c r="H319" s="162"/>
      <c r="I319" s="162"/>
      <c r="J319" s="162"/>
      <c r="K319" s="162"/>
      <c r="L319" s="162"/>
      <c r="M319" s="162"/>
      <c r="N319" s="162"/>
      <c r="O319" s="162"/>
      <c r="P319" s="162"/>
      <c r="Q319" s="162"/>
      <c r="R319" s="162"/>
      <c r="S319" s="162"/>
    </row>
    <row r="320" spans="1:19">
      <c r="B320" s="262"/>
      <c r="C320" s="397" t="s">
        <v>49</v>
      </c>
      <c r="D320" s="398"/>
      <c r="E320" s="399"/>
      <c r="F320" s="357"/>
    </row>
    <row r="321" spans="2:6">
      <c r="B321" s="262" t="s">
        <v>49</v>
      </c>
      <c r="C321" s="263" t="s">
        <v>12</v>
      </c>
      <c r="D321" s="257">
        <f>SUMIFS(F8:F315,C8:C315,B321,E8:E315,C321)</f>
        <v>814071.56480000005</v>
      </c>
      <c r="E321" s="150">
        <f t="shared" ref="E321:E329" si="21">D321/$D$329</f>
        <v>0.22171047444454067</v>
      </c>
      <c r="F321" s="357"/>
    </row>
    <row r="322" spans="2:6">
      <c r="B322" s="262" t="s">
        <v>49</v>
      </c>
      <c r="C322" s="263" t="s">
        <v>13</v>
      </c>
      <c r="D322" s="257">
        <f>SUMIFS(F8:F315,C8:C315,B322,E8:E315,C322)</f>
        <v>1107943.4044000001</v>
      </c>
      <c r="E322" s="150">
        <f t="shared" si="21"/>
        <v>0.30174577821984577</v>
      </c>
    </row>
    <row r="323" spans="2:6">
      <c r="B323" s="262" t="s">
        <v>49</v>
      </c>
      <c r="C323" s="263" t="s">
        <v>51</v>
      </c>
      <c r="D323" s="257">
        <f>SUMIFS(F8:F315,C8:C315,B323,E8:E315,C323)</f>
        <v>42205.574399999998</v>
      </c>
      <c r="E323" s="150">
        <f t="shared" si="21"/>
        <v>1.1494588840880686E-2</v>
      </c>
    </row>
    <row r="324" spans="2:6">
      <c r="B324" s="262" t="s">
        <v>49</v>
      </c>
      <c r="C324" s="263" t="s">
        <v>14</v>
      </c>
      <c r="D324" s="257">
        <f>SUMIFS(F8:F315,C8:C315,B324,E8:E315,C324)</f>
        <v>40125.465599999996</v>
      </c>
      <c r="E324" s="150">
        <f t="shared" si="21"/>
        <v>1.0928076105532206E-2</v>
      </c>
    </row>
    <row r="325" spans="2:6">
      <c r="B325" s="262" t="s">
        <v>49</v>
      </c>
      <c r="C325" s="263" t="s">
        <v>15</v>
      </c>
      <c r="D325" s="257">
        <f>SUMIFS(F8:F315,C8:C315,B325,E8:E315,C325)</f>
        <v>306766.105836</v>
      </c>
      <c r="E325" s="150">
        <f t="shared" si="21"/>
        <v>8.3547026833093146E-2</v>
      </c>
    </row>
    <row r="326" spans="2:6">
      <c r="B326" s="262" t="s">
        <v>49</v>
      </c>
      <c r="C326" s="263" t="s">
        <v>16</v>
      </c>
      <c r="D326" s="257">
        <f>SUMIFS(F8:F315,C8:C315,B326,E8:E315,C326)</f>
        <v>807611.91800000006</v>
      </c>
      <c r="E326" s="150">
        <f t="shared" si="21"/>
        <v>0.21995120484380967</v>
      </c>
    </row>
    <row r="327" spans="2:6">
      <c r="B327" s="262" t="s">
        <v>49</v>
      </c>
      <c r="C327" s="263" t="s">
        <v>17</v>
      </c>
      <c r="D327" s="257">
        <f>SUMIFS(F8:F315,C8:C315,B327,E8:E315,C327)</f>
        <v>502149.61680000002</v>
      </c>
      <c r="E327" s="150">
        <f t="shared" si="21"/>
        <v>0.13675926613432829</v>
      </c>
    </row>
    <row r="328" spans="2:6">
      <c r="B328" s="262" t="s">
        <v>49</v>
      </c>
      <c r="C328" s="263" t="s">
        <v>61</v>
      </c>
      <c r="D328" s="257">
        <f>SUMIFS(F8:F315,C8:C315,B328,E8:E315,C328)</f>
        <v>50904</v>
      </c>
      <c r="E328" s="150">
        <f t="shared" si="21"/>
        <v>1.3863584577969646E-2</v>
      </c>
    </row>
    <row r="329" spans="2:6">
      <c r="B329" s="262"/>
      <c r="C329" s="264" t="s">
        <v>114</v>
      </c>
      <c r="D329" s="269">
        <f>SUM(D321:D328)</f>
        <v>3671777.6498360001</v>
      </c>
      <c r="E329" s="150">
        <f t="shared" si="21"/>
        <v>1</v>
      </c>
    </row>
    <row r="330" spans="2:6">
      <c r="B330" s="262"/>
      <c r="C330" s="397" t="str">
        <f>B331</f>
        <v>RBB</v>
      </c>
      <c r="D330" s="398"/>
      <c r="E330" s="399"/>
    </row>
    <row r="331" spans="2:6">
      <c r="B331" s="262" t="s">
        <v>53</v>
      </c>
      <c r="C331" s="263" t="s">
        <v>12</v>
      </c>
      <c r="D331" s="257">
        <f>SUMIFS(F8:F315,C8:C315,B331,E8:E315,C331)</f>
        <v>6857122.0008399999</v>
      </c>
      <c r="E331" s="150">
        <f>D331/$D$341</f>
        <v>0.1597785014639829</v>
      </c>
    </row>
    <row r="332" spans="2:6">
      <c r="B332" s="262" t="s">
        <v>53</v>
      </c>
      <c r="C332" s="263" t="s">
        <v>13</v>
      </c>
      <c r="D332" s="257">
        <f>SUMIFS(F8:F315,C8:C315,B332,E8:E315,C332)</f>
        <v>7990213.4695062023</v>
      </c>
      <c r="E332" s="150">
        <f t="shared" ref="E332:E341" si="22">D332/$D$341</f>
        <v>0.18618078173009622</v>
      </c>
    </row>
    <row r="333" spans="2:6">
      <c r="B333" s="262" t="s">
        <v>53</v>
      </c>
      <c r="C333" s="263" t="s">
        <v>142</v>
      </c>
      <c r="D333" s="257">
        <f>SUMIFS(F8:F315,C8:C315,B333,E8:E315,C333)</f>
        <v>215460.00000000003</v>
      </c>
      <c r="E333" s="150"/>
    </row>
    <row r="334" spans="2:6">
      <c r="B334" s="262" t="s">
        <v>53</v>
      </c>
      <c r="C334" s="263" t="s">
        <v>196</v>
      </c>
      <c r="D334" s="257">
        <f>SUMIFS(F8:F315,C8:C315,B334,E8:E315,C334)</f>
        <v>0</v>
      </c>
      <c r="E334" s="150"/>
    </row>
    <row r="335" spans="2:6">
      <c r="B335" s="262" t="s">
        <v>53</v>
      </c>
      <c r="C335" s="263" t="s">
        <v>51</v>
      </c>
      <c r="D335" s="257">
        <f>SUMIFS(F8:F315,C8:C315,B335,E8:E315,C335)</f>
        <v>157560.90240000002</v>
      </c>
      <c r="E335" s="150">
        <f t="shared" si="22"/>
        <v>3.6713427107904662E-3</v>
      </c>
    </row>
    <row r="336" spans="2:6">
      <c r="B336" s="262" t="s">
        <v>53</v>
      </c>
      <c r="C336" s="263" t="s">
        <v>14</v>
      </c>
      <c r="D336" s="257">
        <f>SUMIFS(F8:F315,C8:C315,B336,E8:E315,C336)</f>
        <v>12698408.138714608</v>
      </c>
      <c r="E336" s="150">
        <f t="shared" si="22"/>
        <v>0.29588690752961949</v>
      </c>
    </row>
    <row r="337" spans="2:7">
      <c r="B337" s="262" t="s">
        <v>53</v>
      </c>
      <c r="C337" s="263" t="s">
        <v>15</v>
      </c>
      <c r="D337" s="257">
        <f>SUMIFS(F8:F315,C8:C315,B337,E8:E315,C337)</f>
        <v>4409000.1214279998</v>
      </c>
      <c r="E337" s="150">
        <f t="shared" si="22"/>
        <v>0.10273456302366904</v>
      </c>
      <c r="G337" s="261"/>
    </row>
    <row r="338" spans="2:7">
      <c r="B338" s="262" t="s">
        <v>53</v>
      </c>
      <c r="C338" s="263" t="s">
        <v>16</v>
      </c>
      <c r="D338" s="257">
        <f>SUMIFS(F8:F315,C8:C315,B338,E8:E315,C338)</f>
        <v>7801321.1216999991</v>
      </c>
      <c r="E338" s="150">
        <f t="shared" si="22"/>
        <v>0.18177938180359771</v>
      </c>
    </row>
    <row r="339" spans="2:7">
      <c r="B339" s="262" t="s">
        <v>53</v>
      </c>
      <c r="C339" s="263" t="s">
        <v>17</v>
      </c>
      <c r="D339" s="257">
        <f>SUMIFS(F8:F315,C8:C315,B339,E8:E315,C339)</f>
        <v>2574278.6632000003</v>
      </c>
      <c r="E339" s="150">
        <f t="shared" si="22"/>
        <v>5.9983530569591013E-2</v>
      </c>
    </row>
    <row r="340" spans="2:7">
      <c r="B340" s="262" t="s">
        <v>53</v>
      </c>
      <c r="C340" s="263" t="s">
        <v>61</v>
      </c>
      <c r="D340" s="257">
        <f>SUMIFS(F8:F315,C8:C315,B340,E8:E315,C340)</f>
        <v>213060.12</v>
      </c>
      <c r="E340" s="150">
        <f t="shared" si="22"/>
        <v>4.9645356595910302E-3</v>
      </c>
    </row>
    <row r="341" spans="2:7">
      <c r="B341" s="262"/>
      <c r="C341" s="264" t="s">
        <v>114</v>
      </c>
      <c r="D341" s="269">
        <f>SUM(D331:D340)</f>
        <v>42916424.537788801</v>
      </c>
      <c r="E341" s="150">
        <f t="shared" si="22"/>
        <v>1</v>
      </c>
    </row>
    <row r="342" spans="2:7">
      <c r="B342" s="262"/>
      <c r="C342" s="397" t="str">
        <f>B343</f>
        <v>Brand</v>
      </c>
      <c r="D342" s="398"/>
      <c r="E342" s="399"/>
    </row>
    <row r="343" spans="2:7">
      <c r="B343" s="262" t="s">
        <v>56</v>
      </c>
      <c r="C343" s="263" t="s">
        <v>12</v>
      </c>
      <c r="D343" s="257">
        <f>SUMIFS(F8:F315,C8:C315,B343,E8:E315,C343)</f>
        <v>1579827</v>
      </c>
      <c r="E343" s="150">
        <f>D343/$D$352</f>
        <v>8.5679360890860062E-2</v>
      </c>
    </row>
    <row r="344" spans="2:7">
      <c r="B344" s="262" t="s">
        <v>56</v>
      </c>
      <c r="C344" s="263" t="s">
        <v>13</v>
      </c>
      <c r="D344" s="257">
        <f>SUMIFS(F8:F315,C8:C315,B344,E8:E315,C344)</f>
        <v>6688918.664547462</v>
      </c>
      <c r="E344" s="150">
        <f t="shared" ref="E344:E352" si="23">D344/$D$352</f>
        <v>0.36276267985632082</v>
      </c>
    </row>
    <row r="345" spans="2:7">
      <c r="B345" s="262" t="s">
        <v>56</v>
      </c>
      <c r="C345" s="263" t="s">
        <v>196</v>
      </c>
      <c r="D345" s="257">
        <f>SUMIFS(F9:F316,C9:C316,B345,E9:E316,C345)</f>
        <v>0</v>
      </c>
      <c r="E345" s="150"/>
    </row>
    <row r="346" spans="2:7">
      <c r="B346" s="262" t="s">
        <v>56</v>
      </c>
      <c r="C346" s="263" t="s">
        <v>51</v>
      </c>
      <c r="D346" s="257">
        <f>SUMIFS(F8:F315,C8:C315,B346,E8:E315,C346)</f>
        <v>0</v>
      </c>
      <c r="E346" s="150">
        <f t="shared" si="23"/>
        <v>0</v>
      </c>
    </row>
    <row r="347" spans="2:7">
      <c r="B347" s="262" t="s">
        <v>56</v>
      </c>
      <c r="C347" s="263" t="s">
        <v>14</v>
      </c>
      <c r="D347" s="257">
        <f>SUMIFS(F8:F315,C8:C315,B347,E8:E315,C347)</f>
        <v>1221482.2984</v>
      </c>
      <c r="E347" s="150">
        <f t="shared" si="23"/>
        <v>6.6245115868010115E-2</v>
      </c>
    </row>
    <row r="348" spans="2:7">
      <c r="B348" s="262" t="s">
        <v>56</v>
      </c>
      <c r="C348" s="263" t="s">
        <v>15</v>
      </c>
      <c r="D348" s="257">
        <f>SUMIFS(F8:F315,C8:C315,B348,E8:E315,C348)</f>
        <v>1555811.2428000001</v>
      </c>
      <c r="E348" s="150">
        <f t="shared" si="23"/>
        <v>8.4376905161083288E-2</v>
      </c>
    </row>
    <row r="349" spans="2:7">
      <c r="B349" s="262" t="s">
        <v>56</v>
      </c>
      <c r="C349" s="263" t="s">
        <v>16</v>
      </c>
      <c r="D349" s="257">
        <f>SUMIFS(F8:F315,C8:C315,B349,E8:E315,C349)</f>
        <v>4331174.6660000011</v>
      </c>
      <c r="E349" s="150">
        <f t="shared" si="23"/>
        <v>0.23489424936373693</v>
      </c>
    </row>
    <row r="350" spans="2:7">
      <c r="B350" s="262" t="s">
        <v>56</v>
      </c>
      <c r="C350" s="263" t="s">
        <v>17</v>
      </c>
      <c r="D350" s="257">
        <f>SUMIFS(F8:F315,C8:C315,B350,E8:E315,C350)</f>
        <v>2578633.7444000002</v>
      </c>
      <c r="E350" s="150">
        <f t="shared" si="23"/>
        <v>0.13984802841817329</v>
      </c>
    </row>
    <row r="351" spans="2:7">
      <c r="B351" s="262" t="s">
        <v>56</v>
      </c>
      <c r="C351" s="263" t="s">
        <v>61</v>
      </c>
      <c r="D351" s="257">
        <f>SUMIFS(F8:F315,C8:C315,B351,E8:E315,C351)</f>
        <v>482980.4</v>
      </c>
      <c r="E351" s="150">
        <f t="shared" si="23"/>
        <v>2.6193660441815435E-2</v>
      </c>
    </row>
    <row r="352" spans="2:7" ht="13.5" thickBot="1">
      <c r="B352" s="262"/>
      <c r="C352" s="265" t="s">
        <v>114</v>
      </c>
      <c r="D352" s="270">
        <f>SUM(D343:D351)</f>
        <v>18438828.016147465</v>
      </c>
      <c r="E352" s="266">
        <f t="shared" si="23"/>
        <v>1</v>
      </c>
    </row>
    <row r="353" spans="4:5">
      <c r="D353" s="258" t="b">
        <f>SUM(D329,D341,D352)=F316</f>
        <v>0</v>
      </c>
      <c r="E353" s="259"/>
    </row>
  </sheetData>
  <autoFilter ref="B7:S315" xr:uid="{5389D9F9-F732-4ABD-A2A2-5784FC0C9F5D}"/>
  <sortState xmlns:xlrd2="http://schemas.microsoft.com/office/spreadsheetml/2017/richdata2" ref="A8:S248">
    <sortCondition ref="B8:B248"/>
  </sortState>
  <mergeCells count="3">
    <mergeCell ref="C342:E342"/>
    <mergeCell ref="C330:E330"/>
    <mergeCell ref="C320:E320"/>
  </mergeCells>
  <conditionalFormatting sqref="A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ef91e0-3ad1-47a7-8bd0-ebaa033bb893" xsi:nil="true"/>
    <lcf76f155ced4ddcb4097134ff3c332f xmlns="a3ff68b8-99cc-4438-a88f-fa644e04a1ff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9A7A75932A8743A2A42841F54939B0" ma:contentTypeVersion="13" ma:contentTypeDescription="Create a new document." ma:contentTypeScope="" ma:versionID="6a801c9b30be143e849eb1f178538513">
  <xsd:schema xmlns:xsd="http://www.w3.org/2001/XMLSchema" xmlns:xs="http://www.w3.org/2001/XMLSchema" xmlns:p="http://schemas.microsoft.com/office/2006/metadata/properties" xmlns:ns2="a3ff68b8-99cc-4438-a88f-fa644e04a1ff" xmlns:ns3="e5ef91e0-3ad1-47a7-8bd0-ebaa033bb893" targetNamespace="http://schemas.microsoft.com/office/2006/metadata/properties" ma:root="true" ma:fieldsID="2ce4529abe83ff5a5a3cafe7c6855e58" ns2:_="" ns3:_="">
    <xsd:import namespace="a3ff68b8-99cc-4438-a88f-fa644e04a1ff"/>
    <xsd:import namespace="e5ef91e0-3ad1-47a7-8bd0-ebaa033bb89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ff68b8-99cc-4438-a88f-fa644e04a1f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ac8439e-0f4c-460c-87ac-674f609d5c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f91e0-3ad1-47a7-8bd0-ebaa033bb89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eb564c-9971-4e15-b8ea-64100bafb230}" ma:internalName="TaxCatchAll" ma:showField="CatchAllData" ma:web="e5ef91e0-3ad1-47a7-8bd0-ebaa033bb89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4892255-522B-45BF-BD57-63339EC09F5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4B964B-B721-424C-B289-2E85CD18785D}">
  <ds:schemaRefs>
    <ds:schemaRef ds:uri="http://schemas.microsoft.com/office/2006/metadata/properties"/>
    <ds:schemaRef ds:uri="http://schemas.microsoft.com/office/infopath/2007/PartnerControls"/>
    <ds:schemaRef ds:uri="e5ef91e0-3ad1-47a7-8bd0-ebaa033bb893"/>
    <ds:schemaRef ds:uri="a3ff68b8-99cc-4438-a88f-fa644e04a1ff"/>
  </ds:schemaRefs>
</ds:datastoreItem>
</file>

<file path=customXml/itemProps3.xml><?xml version="1.0" encoding="utf-8"?>
<ds:datastoreItem xmlns:ds="http://schemas.openxmlformats.org/officeDocument/2006/customXml" ds:itemID="{D6F411D2-9FFF-4501-94D1-0DE33C7701B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ff68b8-99cc-4438-a88f-fa644e04a1ff"/>
    <ds:schemaRef ds:uri="e5ef91e0-3ad1-47a7-8bd0-ebaa033bb89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Mnth Spend&amp;Discount Report</vt:lpstr>
      <vt:lpstr>Sheet1</vt:lpstr>
      <vt:lpstr>Sheet2</vt:lpstr>
      <vt:lpstr>Master Activity Plan (Local)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Nadine Lerm</dc:creator>
  <cp:keywords/>
  <dc:description/>
  <cp:lastModifiedBy>Hein van der Westhuizen</cp:lastModifiedBy>
  <cp:revision/>
  <dcterms:created xsi:type="dcterms:W3CDTF">2025-08-11T10:56:01Z</dcterms:created>
  <dcterms:modified xsi:type="dcterms:W3CDTF">2025-12-23T06:28:23Z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0x010100D19A7A75932A8743A2A42841F54939B0</vt:lpwstr>
  </property>
  <property fmtid="{D5CDD505-2E9C-101B-9397-08002B2CF9AE}" pid="3" name="MediaServiceImageTags">
    <vt:lpwstr/>
  </property>
</Properties>
</file>